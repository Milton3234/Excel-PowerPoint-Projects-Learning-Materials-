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Corporate Finance Institute\Templates\Marketplace Publishers\"/>
    </mc:Choice>
  </mc:AlternateContent>
  <xr:revisionPtr revIDLastSave="0" documentId="13_ncr:1_{1AAEB5B2-7043-4DBF-9A7D-8D5275461AF2}" xr6:coauthVersionLast="43" xr6:coauthVersionMax="43" xr10:uidLastSave="{00000000-0000-0000-0000-000000000000}"/>
  <bookViews>
    <workbookView xWindow="-23150" yWindow="12750" windowWidth="23260" windowHeight="12580" tabRatio="830" xr2:uid="{00000000-000D-0000-FFFF-FFFF00000000}"/>
  </bookViews>
  <sheets>
    <sheet name="Cover Page" sheetId="74" r:id="rId1"/>
    <sheet name="Inputs" sheetId="1" r:id="rId2"/>
    <sheet name="Spread Cover" sheetId="3" r:id="rId3"/>
    <sheet name="Income Statement" sheetId="4" r:id="rId4"/>
    <sheet name="Balance Sheet" sheetId="6" r:id="rId5"/>
    <sheet name="Cash Flow" sheetId="8" r:id="rId6"/>
    <sheet name="Proj" sheetId="36" r:id="rId7"/>
    <sheet name="Dividend Discount Model" sheetId="75" r:id="rId8"/>
  </sheets>
  <externalReferences>
    <externalReference r:id="rId9"/>
  </externalReferences>
  <definedNames>
    <definedName name="_1__123Graph_ACHART_9" hidden="1">'[1]op inc as pct t'!$K$11:$K$15</definedName>
    <definedName name="_2__123Graph_BCHART_9" hidden="1">'[1]op inc as pct t'!$K$11:$K$17</definedName>
    <definedName name="_3__123Graph_LBL_ACHART_9" hidden="1">'[1]op inc as pct t'!$K$11:$K$15</definedName>
    <definedName name="_4__123Graph_LBL_BCHART_9" hidden="1">'[1]op inc as pct t'!$K$11:$K$17</definedName>
    <definedName name="_Order1" hidden="1">255</definedName>
    <definedName name="_Order2" hidden="1">0</definedName>
    <definedName name="a">Proj!$B$2</definedName>
    <definedName name="abs">'Balance Sheet'!$B$2</definedName>
    <definedName name="acap" localSheetId="7">#REF!</definedName>
    <definedName name="acap">#REF!</definedName>
    <definedName name="acase">Proj!$C$217</definedName>
    <definedName name="ACCOUNT_CHANGE" hidden="1">"ACCOUNT_CHANGE"</definedName>
    <definedName name="ACCOUNTS_PAY" hidden="1">"ACCOUNTS_PAY"</definedName>
    <definedName name="ACCRUED_EXP" hidden="1">"ACCRUED_EXP"</definedName>
    <definedName name="acfs">'Cash Flow'!$B$2</definedName>
    <definedName name="acname">Proj!$D$217</definedName>
    <definedName name="acq">Inputs!$C$9</definedName>
    <definedName name="acqnetdebt">'Spread Cover'!$E$42</definedName>
    <definedName name="acqnetdebtfn">'Spread Cover'!$B$44</definedName>
    <definedName name="adcf" localSheetId="7">#REF!</definedName>
    <definedName name="adcf">#REF!</definedName>
    <definedName name="ADD_PAID_IN" hidden="1">"ADD_PAID_IN"</definedName>
    <definedName name="adiscconvention" localSheetId="7">#REF!</definedName>
    <definedName name="adiscconvention">#REF!</definedName>
    <definedName name="adshares">Inputs!$G$17</definedName>
    <definedName name="aexercise">Inputs!$G$15</definedName>
    <definedName name="aexit" localSheetId="7">#REF!</definedName>
    <definedName name="aexit">#REF!</definedName>
    <definedName name="afcf" localSheetId="7">#REF!</definedName>
    <definedName name="afcf">#REF!</definedName>
    <definedName name="afy">Inputs!$C$13</definedName>
    <definedName name="afye">Inputs!$C$14</definedName>
    <definedName name="afyshares">Inputs!$H$13</definedName>
    <definedName name="ais" localSheetId="7">'Dividend Discount Model'!$B$2</definedName>
    <definedName name="ais">'Income Statement'!$B$2</definedName>
    <definedName name="alabel1" localSheetId="7">#REF!</definedName>
    <definedName name="alabel1">#REF!</definedName>
    <definedName name="alabel2" localSheetId="7">#REF!</definedName>
    <definedName name="alabel2">#REF!</definedName>
    <definedName name="alabel3" localSheetId="7">#REF!</definedName>
    <definedName name="alabel3">#REF!</definedName>
    <definedName name="alabelswitch" localSheetId="7">#REF!</definedName>
    <definedName name="alabelswitch">#REF!</definedName>
    <definedName name="albo" localSheetId="7">#REF!</definedName>
    <definedName name="albo">#REF!</definedName>
    <definedName name="alboprice" localSheetId="7">#REF!</definedName>
    <definedName name="alboprice">#REF!</definedName>
    <definedName name="altg">Inputs!$C$21</definedName>
    <definedName name="altmdate">Inputs!$C$16</definedName>
    <definedName name="AMORTIZATION" hidden="1">"AMORTIZATION"</definedName>
    <definedName name="aoptions">Inputs!$G$14</definedName>
    <definedName name="aprice">Inputs!$G$9</definedName>
    <definedName name="aquarter">Inputs!$D$44</definedName>
    <definedName name="arsu">Inputs!$G$19</definedName>
    <definedName name="ashares">Inputs!$G$13</definedName>
    <definedName name="aspread">'Spread Cover'!$B$2</definedName>
    <definedName name="ASSET_TURNS" hidden="1">"ASSET_TURNS"</definedName>
    <definedName name="asum" localSheetId="7">#REF!</definedName>
    <definedName name="asum">#REF!</definedName>
    <definedName name="atable1" localSheetId="7">#REF!</definedName>
    <definedName name="atable1">#REF!</definedName>
    <definedName name="atable2" localSheetId="7">#REF!</definedName>
    <definedName name="atable2">#REF!</definedName>
    <definedName name="atax">Inputs!$C$20</definedName>
    <definedName name="aticker">Inputs!$C$10</definedName>
    <definedName name="awc" localSheetId="7">#REF!</definedName>
    <definedName name="awc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LPH1" localSheetId="7" hidden="1">#REF!</definedName>
    <definedName name="BLPH1" hidden="1">#REF!</definedName>
    <definedName name="BLPH10" localSheetId="7" hidden="1">#REF!</definedName>
    <definedName name="BLPH10" hidden="1">#REF!</definedName>
    <definedName name="BLPH11" localSheetId="7" hidden="1">#REF!</definedName>
    <definedName name="BLPH11" hidden="1">#REF!</definedName>
    <definedName name="BLPH12" localSheetId="7" hidden="1">#REF!</definedName>
    <definedName name="BLPH12" hidden="1">#REF!</definedName>
    <definedName name="BLPH13" localSheetId="7" hidden="1">#REF!</definedName>
    <definedName name="BLPH13" hidden="1">#REF!</definedName>
    <definedName name="BLPH14" localSheetId="7" hidden="1">#REF!</definedName>
    <definedName name="BLPH14" hidden="1">#REF!</definedName>
    <definedName name="BLPH15" localSheetId="7" hidden="1">#REF!</definedName>
    <definedName name="BLPH15" hidden="1">#REF!</definedName>
    <definedName name="BLPH16" localSheetId="7" hidden="1">#REF!</definedName>
    <definedName name="BLPH16" hidden="1">#REF!</definedName>
    <definedName name="BLPH17" localSheetId="7" hidden="1">#REF!</definedName>
    <definedName name="BLPH17" hidden="1">#REF!</definedName>
    <definedName name="BLPH18" localSheetId="7" hidden="1">#REF!</definedName>
    <definedName name="BLPH18" hidden="1">#REF!</definedName>
    <definedName name="BLPH19" localSheetId="7" hidden="1">#REF!</definedName>
    <definedName name="BLPH19" hidden="1">#REF!</definedName>
    <definedName name="BLPH2" localSheetId="7" hidden="1">#REF!</definedName>
    <definedName name="BLPH2" hidden="1">#REF!</definedName>
    <definedName name="BLPH20" localSheetId="7" hidden="1">#REF!</definedName>
    <definedName name="BLPH20" hidden="1">#REF!</definedName>
    <definedName name="BLPH21" localSheetId="7" hidden="1">#REF!</definedName>
    <definedName name="BLPH21" hidden="1">#REF!</definedName>
    <definedName name="BLPH22" localSheetId="7" hidden="1">#REF!</definedName>
    <definedName name="BLPH22" hidden="1">#REF!</definedName>
    <definedName name="BLPH23" localSheetId="7" hidden="1">#REF!</definedName>
    <definedName name="BLPH23" hidden="1">#REF!</definedName>
    <definedName name="BLPH24" localSheetId="7" hidden="1">#REF!</definedName>
    <definedName name="BLPH24" hidden="1">#REF!</definedName>
    <definedName name="BLPH25" localSheetId="7" hidden="1">#REF!</definedName>
    <definedName name="BLPH25" hidden="1">#REF!</definedName>
    <definedName name="BLPH26" localSheetId="7" hidden="1">#REF!</definedName>
    <definedName name="BLPH26" hidden="1">#REF!</definedName>
    <definedName name="BLPH27" localSheetId="7" hidden="1">#REF!</definedName>
    <definedName name="BLPH27" hidden="1">#REF!</definedName>
    <definedName name="BLPH28" localSheetId="7" hidden="1">#REF!</definedName>
    <definedName name="BLPH28" hidden="1">#REF!</definedName>
    <definedName name="BLPH29" localSheetId="7" hidden="1">#REF!</definedName>
    <definedName name="BLPH29" hidden="1">#REF!</definedName>
    <definedName name="BLPH3" localSheetId="7" hidden="1">#REF!</definedName>
    <definedName name="BLPH3" hidden="1">#REF!</definedName>
    <definedName name="BLPH30" localSheetId="7" hidden="1">#REF!</definedName>
    <definedName name="BLPH30" hidden="1">#REF!</definedName>
    <definedName name="BLPH31" localSheetId="7" hidden="1">#REF!</definedName>
    <definedName name="BLPH31" hidden="1">#REF!</definedName>
    <definedName name="BLPH32" localSheetId="7" hidden="1">#REF!</definedName>
    <definedName name="BLPH32" hidden="1">#REF!</definedName>
    <definedName name="BLPH33" localSheetId="7" hidden="1">#REF!</definedName>
    <definedName name="BLPH33" hidden="1">#REF!</definedName>
    <definedName name="BLPH34" localSheetId="7" hidden="1">#REF!</definedName>
    <definedName name="BLPH34" hidden="1">#REF!</definedName>
    <definedName name="BLPH35" localSheetId="7" hidden="1">#REF!</definedName>
    <definedName name="BLPH35" hidden="1">#REF!</definedName>
    <definedName name="BLPH36" localSheetId="7" hidden="1">#REF!</definedName>
    <definedName name="BLPH36" hidden="1">#REF!</definedName>
    <definedName name="BLPH37" localSheetId="7" hidden="1">#REF!</definedName>
    <definedName name="BLPH37" hidden="1">#REF!</definedName>
    <definedName name="BLPH38" localSheetId="7" hidden="1">#REF!</definedName>
    <definedName name="BLPH38" hidden="1">#REF!</definedName>
    <definedName name="BLPH39" localSheetId="7" hidden="1">#REF!</definedName>
    <definedName name="BLPH39" hidden="1">#REF!</definedName>
    <definedName name="BLPH4" localSheetId="7" hidden="1">#REF!</definedName>
    <definedName name="BLPH4" hidden="1">#REF!</definedName>
    <definedName name="BLPH40" localSheetId="7" hidden="1">#REF!</definedName>
    <definedName name="BLPH40" hidden="1">#REF!</definedName>
    <definedName name="BLPH41" localSheetId="7" hidden="1">#REF!</definedName>
    <definedName name="BLPH41" hidden="1">#REF!</definedName>
    <definedName name="BLPH42" localSheetId="7" hidden="1">#REF!</definedName>
    <definedName name="BLPH42" hidden="1">#REF!</definedName>
    <definedName name="BLPH43" localSheetId="7" hidden="1">#REF!</definedName>
    <definedName name="BLPH43" hidden="1">#REF!</definedName>
    <definedName name="BLPH44" localSheetId="7" hidden="1">#REF!</definedName>
    <definedName name="BLPH44" hidden="1">#REF!</definedName>
    <definedName name="BLPH45" localSheetId="7" hidden="1">#REF!</definedName>
    <definedName name="BLPH45" hidden="1">#REF!</definedName>
    <definedName name="BLPH46" localSheetId="7" hidden="1">#REF!</definedName>
    <definedName name="BLPH46" hidden="1">#REF!</definedName>
    <definedName name="BLPH47" localSheetId="7" hidden="1">#REF!</definedName>
    <definedName name="BLPH47" hidden="1">#REF!</definedName>
    <definedName name="BLPH48" localSheetId="7" hidden="1">#REF!</definedName>
    <definedName name="BLPH48" hidden="1">#REF!</definedName>
    <definedName name="BLPH49" localSheetId="7" hidden="1">#REF!</definedName>
    <definedName name="BLPH49" hidden="1">#REF!</definedName>
    <definedName name="BLPH5" localSheetId="7" hidden="1">#REF!</definedName>
    <definedName name="BLPH5" hidden="1">#REF!</definedName>
    <definedName name="BLPH50" localSheetId="7" hidden="1">#REF!</definedName>
    <definedName name="BLPH50" hidden="1">#REF!</definedName>
    <definedName name="BLPH51" localSheetId="7" hidden="1">#REF!</definedName>
    <definedName name="BLPH51" hidden="1">#REF!</definedName>
    <definedName name="BLPH52" localSheetId="7" hidden="1">#REF!</definedName>
    <definedName name="BLPH52" hidden="1">#REF!</definedName>
    <definedName name="BLPH53" localSheetId="7" hidden="1">#REF!</definedName>
    <definedName name="BLPH53" hidden="1">#REF!</definedName>
    <definedName name="BLPH54" localSheetId="7" hidden="1">#REF!</definedName>
    <definedName name="BLPH54" hidden="1">#REF!</definedName>
    <definedName name="BLPH55" localSheetId="7" hidden="1">#REF!</definedName>
    <definedName name="BLPH55" hidden="1">#REF!</definedName>
    <definedName name="BLPH56" localSheetId="7" hidden="1">#REF!</definedName>
    <definedName name="BLPH56" hidden="1">#REF!</definedName>
    <definedName name="BLPH57" localSheetId="7" hidden="1">#REF!</definedName>
    <definedName name="BLPH57" hidden="1">#REF!</definedName>
    <definedName name="BLPH58" localSheetId="7" hidden="1">#REF!</definedName>
    <definedName name="BLPH58" hidden="1">#REF!</definedName>
    <definedName name="BLPH59" localSheetId="7" hidden="1">#REF!</definedName>
    <definedName name="BLPH59" hidden="1">#REF!</definedName>
    <definedName name="BLPH6" localSheetId="7" hidden="1">#REF!</definedName>
    <definedName name="BLPH6" hidden="1">#REF!</definedName>
    <definedName name="BLPH60" localSheetId="7" hidden="1">#REF!</definedName>
    <definedName name="BLPH60" hidden="1">#REF!</definedName>
    <definedName name="BLPH61" localSheetId="7" hidden="1">#REF!</definedName>
    <definedName name="BLPH61" hidden="1">#REF!</definedName>
    <definedName name="BLPH62" localSheetId="7" hidden="1">#REF!</definedName>
    <definedName name="BLPH62" hidden="1">#REF!</definedName>
    <definedName name="BLPH63" localSheetId="7" hidden="1">#REF!</definedName>
    <definedName name="BLPH63" hidden="1">#REF!</definedName>
    <definedName name="BLPH64" localSheetId="7" hidden="1">#REF!</definedName>
    <definedName name="BLPH64" hidden="1">#REF!</definedName>
    <definedName name="BLPH65" localSheetId="7" hidden="1">#REF!</definedName>
    <definedName name="BLPH65" hidden="1">#REF!</definedName>
    <definedName name="BLPH66" localSheetId="7" hidden="1">#REF!</definedName>
    <definedName name="BLPH66" hidden="1">#REF!</definedName>
    <definedName name="BLPH67" localSheetId="7" hidden="1">#REF!</definedName>
    <definedName name="BLPH67" hidden="1">#REF!</definedName>
    <definedName name="BLPH68" localSheetId="7" hidden="1">#REF!</definedName>
    <definedName name="BLPH68" hidden="1">#REF!</definedName>
    <definedName name="BLPH69" localSheetId="7" hidden="1">#REF!</definedName>
    <definedName name="BLPH69" hidden="1">#REF!</definedName>
    <definedName name="BLPH7" localSheetId="7" hidden="1">#REF!</definedName>
    <definedName name="BLPH7" hidden="1">#REF!</definedName>
    <definedName name="BLPH8" localSheetId="7" hidden="1">#REF!</definedName>
    <definedName name="BLPH8" hidden="1">#REF!</definedName>
    <definedName name="BLPH9" localSheetId="7" hidden="1">#REF!</definedName>
    <definedName name="BLPH9" hidden="1">#REF!</definedName>
    <definedName name="BOOK_VALUE" hidden="1">"BOOK_VALUE"</definedName>
    <definedName name="BV_OVER_SHARES" hidden="1">"BV_OVER_SHARES"</definedName>
    <definedName name="CAPITAL_EXPEN" hidden="1">"CAPITAL_EXPEN"</definedName>
    <definedName name="CAPITAL_LEASE" hidden="1">"CAPITAL_LEASE"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HANGES_WORK_CAP" hidden="1">"CHANGES_WORK_CAP"</definedName>
    <definedName name="CIQWBGuid" localSheetId="0" hidden="1">"2cd8126d-26c3-430c-b7fa-a069e3a1fc62"</definedName>
    <definedName name="CIQWBGuid" hidden="1">"60540d9e-d8df-420d-a46f-fe125bb8aa33"</definedName>
    <definedName name="CITY" hidden="1">"CITY"</definedName>
    <definedName name="COMMON_STOCK" hidden="1">"COMMON_STOCK"</definedName>
    <definedName name="comp" localSheetId="7">#REF!</definedName>
    <definedName name="comp">#REF!</definedName>
    <definedName name="COMPANY_ADDRESS" hidden="1">"COMPANY_ADDRESS"</definedName>
    <definedName name="COMPANY_NAME" hidden="1">"COMPANY_NAME"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ST_REVENUE" hidden="1">"COST_REVENUE"</definedName>
    <definedName name="COUNTRY_NAME" hidden="1">"COUNTRY_NAME"</definedName>
    <definedName name="CURRENT_PORT" hidden="1">"CURRENT_PORT"</definedName>
    <definedName name="CURRENT_RATIO" hidden="1">"CURRENT_RATIO"</definedName>
    <definedName name="DAYS_PAY_OUTST" hidden="1">"DAYS_PAY_OUTST"</definedName>
    <definedName name="DAYS_SALES_OUTST" hidden="1">"DAYS_SALES_OUTST"</definedName>
    <definedName name="DEFERRED_INC_TAX" hidden="1">"DEFERRED_INC_TAX"</definedName>
    <definedName name="DEFERRED_TAXES" hidden="1">"DEFERRED_TAXES"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SCRIPTION_LONG" hidden="1">"DESCRIPTION_LONG"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VID_SHARE" hidden="1">"DIVID_SHARE"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date">Inputs!$E$6</definedName>
    <definedName name="EFFECT_SPECIAL_CHARGE" hidden="1">"EFFECT_SPECIAL_CHARGE"</definedName>
    <definedName name="EMPLOYEES" hidden="1">"EMPLOYEES"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SOP_DEBT" hidden="1">"ESOP_DEBT"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XCHANGE" hidden="1">"EXCHANGE"</definedName>
    <definedName name="EXTRA_ITEMS" hidden="1">"EXTRA_ITEMS"</definedName>
    <definedName name="FINANCING_CASH" hidden="1">"FINANCING_CASH"</definedName>
    <definedName name="FOREIGN_EXCHANGE" hidden="1">"FOREIGN_EXCHANGE"</definedName>
    <definedName name="FY">Inputs!$D$47</definedName>
    <definedName name="FY_DATE" hidden="1">"FY_DATE"</definedName>
    <definedName name="FYx">Inputs!$D$46</definedName>
    <definedName name="FYz">Inputs!$D$48</definedName>
    <definedName name="GAIN_SALE_ASSETS" hidden="1">"GAIN_SALE_ASSETS"</definedName>
    <definedName name="GOODWILL_NET" hidden="1">"GOODWILL_NET"</definedName>
    <definedName name="GROSS_DIVID" hidden="1">"GROSS_DIVID"</definedName>
    <definedName name="GROSS_MARGIN" hidden="1">"GROSS_MARGIN"</definedName>
    <definedName name="GROSS_PROFIT" hidden="1">"GROSS_PROFIT"</definedName>
    <definedName name="HIGHPRICE" hidden="1">"HIGHPRICE"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puts">Inputs!$B$3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VENTORY_TURNS" hidden="1">"INVENTORY_TURNS"</definedName>
    <definedName name="IQ_ADDIN" hidden="1">"AUTO"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ACT_FFO_REUT" hidden="1">"c3843"</definedName>
    <definedName name="IQ_EST_FFO_DIFF_REUT" hidden="1">"c3890"</definedName>
    <definedName name="IQ_EST_FFO_SURPRISE_PERCENT_REUT" hidden="1">"c3891"</definedName>
    <definedName name="IQ_EV_OVER_REVENUE_EST" hidden="1">"IQ_EV_OVER_REVENUE_EST"</definedName>
    <definedName name="IQ_EV_OVER_REVENUE_EST_1" hidden="1">"IQ_EV_OVER_REVENUE_EST_1"</definedName>
    <definedName name="IQ_EXPENSE_CODE_" hidden="1">1056</definedName>
    <definedName name="IQ_FFO_EST_REUT" hidden="1">"c3837"</definedName>
    <definedName name="IQ_FFO_HIGH_EST_REUT" hidden="1">"c3839"</definedName>
    <definedName name="IQ_FFO_LOW_EST_REUT" hidden="1">"c3840"</definedName>
    <definedName name="IQ_FFO_MEDIAN_EST_REUT" hidden="1">"c3838"</definedName>
    <definedName name="IQ_FFO_NUM_EST_REUT" hidden="1">"c3841"</definedName>
    <definedName name="IQ_FFO_STDDEV_EST_REUT" hidden="1">"c3842"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TM">2000</definedName>
    <definedName name="IQ_LTM_DATE" hidden="1">"IQ_LTM_DATE"</definedName>
    <definedName name="IQ_LTMMONTH" hidden="1">120000</definedName>
    <definedName name="IQ_MONTH">15000</definedName>
    <definedName name="IQ_MTD" hidden="1">800000</definedName>
    <definedName name="IQ_NAMES_REVISION_DATE_" localSheetId="0" hidden="1">43109.7057291667</definedName>
    <definedName name="IQ_NAMES_REVISION_DATE_" hidden="1">43109.7057291667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TM">6000</definedName>
    <definedName name="IQ_OG_TOTAL_OIL_PRODUCTON" hidden="1">"c2059"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HAREOUTSTANDING" hidden="1">"c1347"</definedName>
    <definedName name="IQ_TODAY" hidden="1">0</definedName>
    <definedName name="IQ_TOTAL_PENSION_OBLIGATION" hidden="1">"c1292"</definedName>
    <definedName name="IQ_WEEK">50000</definedName>
    <definedName name="IQ_YTD">3000</definedName>
    <definedName name="IQ_YTDMONTH" hidden="1">130000</definedName>
    <definedName name="ISS_DEBT_NET" hidden="1">"ISS_DEBT_NET"</definedName>
    <definedName name="ISS_STOCK_NET" hidden="1">"ISS_STOCK_NET"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OAN_LOSS" hidden="1">"LOAN_LOSS"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WPRICE" hidden="1">"LOWPRICE"</definedName>
    <definedName name="LTM_DATE" hidden="1">"LTM_DATE"</definedName>
    <definedName name="LTM_REVENUE_OVER_EMPLOYEES" hidden="1">"LTM_REVENUE_OVER_EMPLOYEES"</definedName>
    <definedName name="m" localSheetId="7">#REF!</definedName>
    <definedName name="m">#REF!</definedName>
    <definedName name="MARKETCAP" hidden="1">"MARKETCAP"</definedName>
    <definedName name="mcheck" localSheetId="7">#REF!</definedName>
    <definedName name="mcheck">#REF!</definedName>
    <definedName name="mergprice" localSheetId="7">#REF!</definedName>
    <definedName name="mergprice">#REF!</definedName>
    <definedName name="mfcf" localSheetId="7">#REF!</definedName>
    <definedName name="mfcf">#REF!</definedName>
    <definedName name="MINORITY_INTEREST" hidden="1">"MINORITY_INTEREST"</definedName>
    <definedName name="MISC_EARN_ADJ" hidden="1">"MISC_EARN_ADJ"</definedName>
    <definedName name="msum" localSheetId="7">#REF!</definedName>
    <definedName name="msum">#REF!</definedName>
    <definedName name="msweep" localSheetId="7">#REF!</definedName>
    <definedName name="msweep">#REF!</definedName>
    <definedName name="mtable1" localSheetId="7">#REF!</definedName>
    <definedName name="mtable1">#REF!</definedName>
    <definedName name="mtable2" localSheetId="7">#REF!</definedName>
    <definedName name="mtable2">#REF!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ON_CASH" hidden="1">"NON_CASH"</definedName>
    <definedName name="NON_INTEREST_EXP" hidden="1">"NON_INTEREST_EXP"</definedName>
    <definedName name="NON_INTEREST_INC" hidden="1">"NON_INTEREST_INC"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OPENPRICE" hidden="1">"OPENPRICE"</definedName>
    <definedName name="OPER_INC" hidden="1">"OPER_INC"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PAY_ACCRUED" hidden="1">"PAY_ACCRUED"</definedName>
    <definedName name="PERIODDATE" hidden="1">"PERIODDATE"</definedName>
    <definedName name="PREF_DIVID" hidden="1">"PREF_DIVID"</definedName>
    <definedName name="PREF_STOCK" hidden="1">"PREF_STOCK"</definedName>
    <definedName name="PREPAID_EXPEN" hidden="1">"PREPAID_EXPEN"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_xlnm.Print_Area" localSheetId="4">'Balance Sheet'!$B$2:$M$31</definedName>
    <definedName name="_xlnm.Print_Area" localSheetId="5">'Cash Flow'!$B$2:$O$42</definedName>
    <definedName name="_xlnm.Print_Area" localSheetId="0">'Cover Page'!$A$1:$P$30</definedName>
    <definedName name="_xlnm.Print_Area" localSheetId="7">'Dividend Discount Model'!$B$2:$I$26</definedName>
    <definedName name="_xlnm.Print_Area" localSheetId="3">'Income Statement'!$B$2:$Q$53</definedName>
    <definedName name="_xlnm.Print_Area" localSheetId="1">Inputs!$B$2:$H$41</definedName>
    <definedName name="_xlnm.Print_Area" localSheetId="6">Proj!$B$2:$Q$239</definedName>
    <definedName name="_xlnm.Print_Area" localSheetId="2">'Spread Cover'!$B$2:$O$40</definedName>
    <definedName name="_xlnm.Print_Titles" localSheetId="6">Proj!$2:$5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j">Inputs!$B$2</definedName>
    <definedName name="PROPERTY_GROSS" hidden="1">"PROPERTY_GROSS"</definedName>
    <definedName name="PROPERTY_NET" hidden="1">"PROPERTY_NET"</definedName>
    <definedName name="QUICK_RATIO" hidden="1">"QUICK_RATIO"</definedName>
    <definedName name="REDEEM_PREF_STOCK" hidden="1">"REDEEM_PREF_STOCK"</definedName>
    <definedName name="repay" localSheetId="7">#REF!</definedName>
    <definedName name="repay">#REF!</definedName>
    <definedName name="RESEARCH_DEV" hidden="1">"RESEARCH_DEV"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SGA" hidden="1">"SGA"</definedName>
    <definedName name="SHARESOUTSTANDING" hidden="1">"SHARESOUTSTANDING"</definedName>
    <definedName name="SHORT_TERM_INVEST" hidden="1">"SHORT_TERM_INVEST"</definedName>
    <definedName name="STATE" hidden="1">"STATE"</definedName>
    <definedName name="STOCK_BASED" hidden="1">"STOCK_BASED"</definedName>
    <definedName name="syn" localSheetId="7">#REF!</definedName>
    <definedName name="syn">#REF!</definedName>
    <definedName name="t" localSheetId="7">#REF!</definedName>
    <definedName name="t">#REF!</definedName>
    <definedName name="tar" localSheetId="7">Inputs!#REF!</definedName>
    <definedName name="tar">Inputs!#REF!</definedName>
    <definedName name="tarnetdebt" localSheetId="7">#REF!</definedName>
    <definedName name="tarnetdebt">#REF!</definedName>
    <definedName name="tarnetdebtfn" localSheetId="7">#REF!</definedName>
    <definedName name="tarnetdebtfn">#REF!</definedName>
    <definedName name="tbs" localSheetId="7">#REF!</definedName>
    <definedName name="tbs">#REF!</definedName>
    <definedName name="tcap" localSheetId="7">#REF!</definedName>
    <definedName name="tcap">#REF!</definedName>
    <definedName name="tcase" localSheetId="7">#REF!</definedName>
    <definedName name="tcase">#REF!</definedName>
    <definedName name="tcfs" localSheetId="7">#REF!</definedName>
    <definedName name="tcfs">#REF!</definedName>
    <definedName name="tcname" localSheetId="7">#REF!</definedName>
    <definedName name="tcname">#REF!</definedName>
    <definedName name="tdate">Inputs!$E$5</definedName>
    <definedName name="tdcf" localSheetId="7">#REF!</definedName>
    <definedName name="tdcf">#REF!</definedName>
    <definedName name="tdiscconvention" localSheetId="7">#REF!</definedName>
    <definedName name="tdiscconvention">#REF!</definedName>
    <definedName name="tdshares" localSheetId="7">Inputs!#REF!</definedName>
    <definedName name="tdshares">Inputs!#REF!</definedName>
    <definedName name="TemplateDate">32967</definedName>
    <definedName name="texercise" localSheetId="7">Inputs!#REF!</definedName>
    <definedName name="texercise">Inputs!#REF!</definedName>
    <definedName name="texit" localSheetId="7">#REF!</definedName>
    <definedName name="texit">#REF!</definedName>
    <definedName name="tfcf" localSheetId="7">#REF!</definedName>
    <definedName name="tfcf">#REF!</definedName>
    <definedName name="tfy" localSheetId="7">Inputs!#REF!</definedName>
    <definedName name="tfy">Inputs!#REF!</definedName>
    <definedName name="tfye" localSheetId="7">Inputs!#REF!</definedName>
    <definedName name="tfye">Inputs!#REF!</definedName>
    <definedName name="tfyshares" localSheetId="7">Inputs!#REF!</definedName>
    <definedName name="tfyshares">Inputs!#REF!</definedName>
    <definedName name="tis" localSheetId="7">#REF!</definedName>
    <definedName name="tis">#REF!</definedName>
    <definedName name="tlabel1" localSheetId="7">#REF!</definedName>
    <definedName name="tlabel1">#REF!</definedName>
    <definedName name="tlabel2" localSheetId="7">#REF!</definedName>
    <definedName name="tlabel2">#REF!</definedName>
    <definedName name="tlabel3" localSheetId="7">#REF!</definedName>
    <definedName name="tlabel3">#REF!</definedName>
    <definedName name="tlabelswitch" localSheetId="7">#REF!</definedName>
    <definedName name="tlabelswitch">#REF!</definedName>
    <definedName name="tlbo" localSheetId="7">#REF!</definedName>
    <definedName name="tlbo">#REF!</definedName>
    <definedName name="tlboprice" localSheetId="7">#REF!</definedName>
    <definedName name="tlboprice">#REF!</definedName>
    <definedName name="tltg" localSheetId="7">Inputs!#REF!</definedName>
    <definedName name="tltg">Inputs!#REF!</definedName>
    <definedName name="tltmdate" localSheetId="7">Inputs!#REF!</definedName>
    <definedName name="tltmdate">Inputs!#REF!</definedName>
    <definedName name="toptions" localSheetId="7">Inputs!#REF!</definedName>
    <definedName name="toptions">Inputs!#REF!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price" localSheetId="7">Inputs!#REF!</definedName>
    <definedName name="tprice">Inputs!#REF!</definedName>
    <definedName name="tquarter">Inputs!$D$45</definedName>
    <definedName name="TRADE_AR" hidden="1">"TRADE_AR"</definedName>
    <definedName name="TREASURY_STOCK" hidden="1">"TREASURY_STOCK"</definedName>
    <definedName name="trsu" localSheetId="7">Inputs!#REF!</definedName>
    <definedName name="trsu">Inputs!#REF!</definedName>
    <definedName name="tshares" localSheetId="7">Inputs!#REF!</definedName>
    <definedName name="tshares">Inputs!#REF!</definedName>
    <definedName name="tspread" localSheetId="7">#REF!</definedName>
    <definedName name="tspread">#REF!</definedName>
    <definedName name="tsum" localSheetId="7">#REF!</definedName>
    <definedName name="tsum">#REF!</definedName>
    <definedName name="ttable1" localSheetId="7">#REF!</definedName>
    <definedName name="ttable1">#REF!</definedName>
    <definedName name="ttable2" localSheetId="7">#REF!</definedName>
    <definedName name="ttable2">#REF!</definedName>
    <definedName name="ttax" localSheetId="7">Inputs!#REF!</definedName>
    <definedName name="ttax">Inputs!#REF!</definedName>
    <definedName name="tticker" localSheetId="7">Inputs!#REF!</definedName>
    <definedName name="tticker">Inputs!#REF!</definedName>
    <definedName name="twc" localSheetId="7">#REF!</definedName>
    <definedName name="twc">#REF!</definedName>
    <definedName name="UNREALIZED_GAIN" hidden="1">"UNREALIZED_GAIN"</definedName>
    <definedName name="UNUSUAL_EXP" hidden="1">"UNUSUAL_EXP"</definedName>
    <definedName name="US_GAAP" hidden="1">"US_GAAP"</definedName>
    <definedName name="VOLUME" hidden="1">"VOLUME"</definedName>
    <definedName name="xxx" localSheetId="7" hidden="1">#REF!</definedName>
    <definedName name="xxx" hidden="1">#REF!</definedName>
    <definedName name="xxxx" hidden="1">'[1]op inc as pct t'!$K$11:$K$17</definedName>
    <definedName name="YEARHIGH" hidden="1">"YEARHIGH"</definedName>
    <definedName name="YEARLOW" hidden="1">"YEARLOW"</definedName>
    <definedName name="Z_9AE38660_BF5A_49A3_9FC0_AD5890AFC019_.wvu.PrintArea" localSheetId="4" hidden="1">'Balance Sheet'!$B$2:$M$31</definedName>
    <definedName name="Z_9AE38660_BF5A_49A3_9FC0_AD5890AFC019_.wvu.PrintArea" localSheetId="5" hidden="1">'Cash Flow'!$B$2:$J$42</definedName>
    <definedName name="Z_9AE38660_BF5A_49A3_9FC0_AD5890AFC019_.wvu.PrintArea" localSheetId="7" hidden="1">'Dividend Discount Model'!$B$2:$G$59</definedName>
    <definedName name="Z_9AE38660_BF5A_49A3_9FC0_AD5890AFC019_.wvu.PrintArea" localSheetId="3" hidden="1">'Income Statement'!$B$2:$P$53</definedName>
    <definedName name="Z_9AE38660_BF5A_49A3_9FC0_AD5890AFC019_.wvu.PrintArea" localSheetId="1" hidden="1">Inputs!$B$2:$H$34</definedName>
    <definedName name="Z_9AE38660_BF5A_49A3_9FC0_AD5890AFC019_.wvu.PrintArea" localSheetId="6" hidden="1">Proj!$B$2:$P$214</definedName>
    <definedName name="Z_9AE38660_BF5A_49A3_9FC0_AD5890AFC019_.wvu.PrintArea" localSheetId="2" hidden="1">'Spread Cover'!$B$2:$O$40</definedName>
    <definedName name="Z_9AE38660_BF5A_49A3_9FC0_AD5890AFC019_.wvu.PrintTitles" localSheetId="6" hidden="1">Proj!$2:$5</definedName>
    <definedName name="Z_9AE38660_BF5A_49A3_9FC0_AD5890AFC019_.wvu.Rows" localSheetId="6" hidden="1">Proj!#REF!</definedName>
  </definedNames>
  <calcPr calcId="145621" calcMode="manual" iterate="1" calcCompleted="0" calcOnSave="0"/>
  <customWorkbookViews>
    <customWorkbookView name="Michael Stack - Personal View" guid="{9AE38660-BF5A-49A3-9FC0-AD5890AFC019}" mergeInterval="0" personalView="1" maximized="1" windowWidth="1276" windowHeight="827" tabRatio="830" activeSheetId="36"/>
  </customWorkbookViews>
</workbook>
</file>

<file path=xl/calcChain.xml><?xml version="1.0" encoding="utf-8"?>
<calcChain xmlns="http://schemas.openxmlformats.org/spreadsheetml/2006/main">
  <c r="B2" i="75" l="1"/>
  <c r="B3" i="75"/>
  <c r="B4" i="75"/>
  <c r="E5" i="75"/>
  <c r="E6" i="75"/>
  <c r="F6" i="75"/>
  <c r="G6" i="75"/>
  <c r="H6" i="75"/>
  <c r="I6" i="75"/>
  <c r="E8" i="75"/>
  <c r="F8" i="75"/>
  <c r="G8" i="75"/>
  <c r="H8" i="75"/>
  <c r="I8" i="75"/>
  <c r="E9" i="75"/>
  <c r="F9" i="75"/>
  <c r="G9" i="75"/>
  <c r="H9" i="75"/>
  <c r="I9" i="75"/>
  <c r="E10" i="75"/>
  <c r="F10" i="75"/>
  <c r="G10" i="75"/>
  <c r="H10" i="75"/>
  <c r="I10" i="75"/>
  <c r="I11" i="75"/>
  <c r="E12" i="75"/>
  <c r="F12" i="75"/>
  <c r="G12" i="75"/>
  <c r="H12" i="75"/>
  <c r="I12" i="75"/>
  <c r="E14" i="75"/>
  <c r="F14" i="75"/>
  <c r="G14" i="75"/>
  <c r="H14" i="75"/>
  <c r="I14" i="75"/>
  <c r="E15" i="75"/>
  <c r="F15" i="75"/>
  <c r="G15" i="75"/>
  <c r="H15" i="75"/>
  <c r="I15" i="75"/>
  <c r="E16" i="75"/>
  <c r="E17" i="75"/>
  <c r="E18" i="75"/>
  <c r="E19" i="75"/>
  <c r="D23" i="75"/>
  <c r="D24" i="75"/>
  <c r="B2" i="36"/>
  <c r="Q2" i="36"/>
  <c r="B3" i="36"/>
  <c r="Q3" i="36"/>
  <c r="B4" i="36"/>
  <c r="Q4" i="36"/>
  <c r="B7" i="36"/>
  <c r="I7" i="36"/>
  <c r="J7" i="36"/>
  <c r="K7" i="36"/>
  <c r="L7" i="36"/>
  <c r="M7" i="36"/>
  <c r="N7" i="36"/>
  <c r="O7" i="36"/>
  <c r="P7" i="36"/>
  <c r="Q7" i="36"/>
  <c r="B8" i="36"/>
  <c r="I8" i="36"/>
  <c r="J8" i="36"/>
  <c r="K8" i="36"/>
  <c r="L8" i="36"/>
  <c r="M8" i="36"/>
  <c r="N8" i="36"/>
  <c r="O8" i="36"/>
  <c r="P8" i="36"/>
  <c r="Q8" i="36"/>
  <c r="B9" i="36"/>
  <c r="I9" i="36"/>
  <c r="J9" i="36"/>
  <c r="K9" i="36"/>
  <c r="L9" i="36"/>
  <c r="M9" i="36"/>
  <c r="N9" i="36"/>
  <c r="O9" i="36"/>
  <c r="P9" i="36"/>
  <c r="Q9" i="36"/>
  <c r="B10" i="36"/>
  <c r="I10" i="36"/>
  <c r="J10" i="36"/>
  <c r="K10" i="36"/>
  <c r="L10" i="36"/>
  <c r="M10" i="36"/>
  <c r="N10" i="36"/>
  <c r="O10" i="36"/>
  <c r="P10" i="36"/>
  <c r="Q10" i="36"/>
  <c r="B11" i="36"/>
  <c r="I11" i="36"/>
  <c r="J11" i="36"/>
  <c r="K11" i="36"/>
  <c r="L11" i="36"/>
  <c r="M11" i="36"/>
  <c r="N11" i="36"/>
  <c r="O11" i="36"/>
  <c r="P11" i="36"/>
  <c r="Q11" i="36"/>
  <c r="B12" i="36"/>
  <c r="I12" i="36"/>
  <c r="J12" i="36"/>
  <c r="K12" i="36"/>
  <c r="L12" i="36"/>
  <c r="M12" i="36"/>
  <c r="N12" i="36"/>
  <c r="O12" i="36"/>
  <c r="P12" i="36"/>
  <c r="Q12" i="36"/>
  <c r="B13" i="36"/>
  <c r="I13" i="36"/>
  <c r="J13" i="36"/>
  <c r="K13" i="36"/>
  <c r="L13" i="36"/>
  <c r="M13" i="36"/>
  <c r="N13" i="36"/>
  <c r="O13" i="36"/>
  <c r="P13" i="36"/>
  <c r="Q13" i="36"/>
  <c r="B14" i="36"/>
  <c r="I14" i="36"/>
  <c r="J14" i="36"/>
  <c r="K14" i="36"/>
  <c r="L14" i="36"/>
  <c r="M14" i="36"/>
  <c r="N14" i="36"/>
  <c r="O14" i="36"/>
  <c r="P14" i="36"/>
  <c r="Q14" i="36"/>
  <c r="B15" i="36"/>
  <c r="I15" i="36"/>
  <c r="J15" i="36"/>
  <c r="K15" i="36"/>
  <c r="L15" i="36"/>
  <c r="M15" i="36"/>
  <c r="N15" i="36"/>
  <c r="O15" i="36"/>
  <c r="P15" i="36"/>
  <c r="Q15" i="36"/>
  <c r="B16" i="36"/>
  <c r="I16" i="36"/>
  <c r="J16" i="36"/>
  <c r="K16" i="36"/>
  <c r="B17" i="36"/>
  <c r="I17" i="36"/>
  <c r="J17" i="36"/>
  <c r="K17" i="36"/>
  <c r="L17" i="36"/>
  <c r="M17" i="36"/>
  <c r="N17" i="36"/>
  <c r="O17" i="36"/>
  <c r="P17" i="36"/>
  <c r="Q17" i="36"/>
  <c r="B18" i="36"/>
  <c r="I18" i="36"/>
  <c r="J18" i="36"/>
  <c r="K18" i="36"/>
  <c r="L18" i="36"/>
  <c r="M18" i="36"/>
  <c r="N18" i="36"/>
  <c r="O18" i="36"/>
  <c r="P18" i="36"/>
  <c r="Q18" i="36"/>
  <c r="B19" i="36"/>
  <c r="I19" i="36"/>
  <c r="J19" i="36"/>
  <c r="K19" i="36"/>
  <c r="L19" i="36"/>
  <c r="M19" i="36"/>
  <c r="N19" i="36"/>
  <c r="O19" i="36"/>
  <c r="P19" i="36"/>
  <c r="Q19" i="36"/>
  <c r="I20" i="36"/>
  <c r="J20" i="36"/>
  <c r="K20" i="36"/>
  <c r="L20" i="36"/>
  <c r="M20" i="36"/>
  <c r="N20" i="36"/>
  <c r="O20" i="36"/>
  <c r="P20" i="36"/>
  <c r="Q20" i="36"/>
  <c r="I21" i="36"/>
  <c r="J21" i="36"/>
  <c r="K21" i="36"/>
  <c r="L21" i="36"/>
  <c r="M21" i="36"/>
  <c r="N21" i="36"/>
  <c r="O21" i="36"/>
  <c r="P21" i="36"/>
  <c r="Q21" i="36"/>
  <c r="I23" i="36"/>
  <c r="J23" i="36"/>
  <c r="K23" i="36"/>
  <c r="L23" i="36"/>
  <c r="M23" i="36"/>
  <c r="N23" i="36"/>
  <c r="O23" i="36"/>
  <c r="P23" i="36"/>
  <c r="Q23" i="36"/>
  <c r="I26" i="36"/>
  <c r="J26" i="36"/>
  <c r="K26" i="36"/>
  <c r="L26" i="36"/>
  <c r="M26" i="36"/>
  <c r="N26" i="36"/>
  <c r="O26" i="36"/>
  <c r="P26" i="36"/>
  <c r="Q26" i="36"/>
  <c r="I29" i="36"/>
  <c r="J29" i="36"/>
  <c r="K29" i="36"/>
  <c r="L29" i="36"/>
  <c r="M29" i="36"/>
  <c r="N29" i="36"/>
  <c r="O29" i="36"/>
  <c r="P29" i="36"/>
  <c r="Q29" i="36"/>
  <c r="I30" i="36"/>
  <c r="J30" i="36"/>
  <c r="K30" i="36"/>
  <c r="L30" i="36"/>
  <c r="M30" i="36"/>
  <c r="N30" i="36"/>
  <c r="O30" i="36"/>
  <c r="P30" i="36"/>
  <c r="Q30" i="36"/>
  <c r="I31" i="36"/>
  <c r="J31" i="36"/>
  <c r="K31" i="36"/>
  <c r="L31" i="36"/>
  <c r="M31" i="36"/>
  <c r="N31" i="36"/>
  <c r="O31" i="36"/>
  <c r="P31" i="36"/>
  <c r="Q31" i="36"/>
  <c r="I32" i="36"/>
  <c r="J32" i="36"/>
  <c r="K32" i="36"/>
  <c r="L32" i="36"/>
  <c r="M32" i="36"/>
  <c r="N32" i="36"/>
  <c r="O32" i="36"/>
  <c r="P32" i="36"/>
  <c r="Q32" i="36"/>
  <c r="I35" i="36"/>
  <c r="J35" i="36"/>
  <c r="K35" i="36"/>
  <c r="L35" i="36"/>
  <c r="M35" i="36"/>
  <c r="N35" i="36"/>
  <c r="O35" i="36"/>
  <c r="P35" i="36"/>
  <c r="Q35" i="36"/>
  <c r="B36" i="36"/>
  <c r="I36" i="36"/>
  <c r="J36" i="36"/>
  <c r="K36" i="36"/>
  <c r="L36" i="36"/>
  <c r="M36" i="36"/>
  <c r="N36" i="36"/>
  <c r="O36" i="36"/>
  <c r="P36" i="36"/>
  <c r="Q36" i="36"/>
  <c r="I37" i="36"/>
  <c r="J37" i="36"/>
  <c r="K37" i="36"/>
  <c r="L37" i="36"/>
  <c r="M37" i="36"/>
  <c r="N37" i="36"/>
  <c r="O37" i="36"/>
  <c r="P37" i="36"/>
  <c r="Q37" i="36"/>
  <c r="I38" i="36"/>
  <c r="J38" i="36"/>
  <c r="K38" i="36"/>
  <c r="L38" i="36"/>
  <c r="M38" i="36"/>
  <c r="N38" i="36"/>
  <c r="O38" i="36"/>
  <c r="P38" i="36"/>
  <c r="Q38" i="36"/>
  <c r="I39" i="36"/>
  <c r="J39" i="36"/>
  <c r="K39" i="36"/>
  <c r="L39" i="36"/>
  <c r="M39" i="36"/>
  <c r="N39" i="36"/>
  <c r="O39" i="36"/>
  <c r="P39" i="36"/>
  <c r="Q39" i="36"/>
  <c r="I40" i="36"/>
  <c r="J40" i="36"/>
  <c r="K40" i="36"/>
  <c r="L40" i="36"/>
  <c r="M40" i="36"/>
  <c r="N40" i="36"/>
  <c r="O40" i="36"/>
  <c r="P40" i="36"/>
  <c r="Q40" i="36"/>
  <c r="J43" i="36"/>
  <c r="K43" i="36"/>
  <c r="L43" i="36"/>
  <c r="M43" i="36"/>
  <c r="N43" i="36"/>
  <c r="O43" i="36"/>
  <c r="P43" i="36"/>
  <c r="Q43" i="36"/>
  <c r="J44" i="36"/>
  <c r="K44" i="36"/>
  <c r="J45" i="36"/>
  <c r="K45" i="36"/>
  <c r="L45" i="36"/>
  <c r="M45" i="36"/>
  <c r="N45" i="36"/>
  <c r="O45" i="36"/>
  <c r="P45" i="36"/>
  <c r="Q45" i="36"/>
  <c r="J46" i="36"/>
  <c r="K46" i="36"/>
  <c r="L46" i="36"/>
  <c r="M46" i="36"/>
  <c r="N46" i="36"/>
  <c r="O46" i="36"/>
  <c r="P46" i="36"/>
  <c r="Q46" i="36"/>
  <c r="B47" i="36"/>
  <c r="J47" i="36"/>
  <c r="K47" i="36"/>
  <c r="L47" i="36"/>
  <c r="M47" i="36"/>
  <c r="N47" i="36"/>
  <c r="O47" i="36"/>
  <c r="P47" i="36"/>
  <c r="Q47" i="36"/>
  <c r="B50" i="36"/>
  <c r="J50" i="36"/>
  <c r="K50" i="36"/>
  <c r="L50" i="36"/>
  <c r="M50" i="36"/>
  <c r="N50" i="36"/>
  <c r="O50" i="36"/>
  <c r="P50" i="36"/>
  <c r="Q50" i="36"/>
  <c r="B52" i="36"/>
  <c r="J52" i="36"/>
  <c r="K52" i="36"/>
  <c r="L52" i="36"/>
  <c r="M52" i="36"/>
  <c r="N52" i="36"/>
  <c r="O52" i="36"/>
  <c r="P52" i="36"/>
  <c r="Q52" i="36"/>
  <c r="B53" i="36"/>
  <c r="J53" i="36"/>
  <c r="K53" i="36"/>
  <c r="L53" i="36"/>
  <c r="M53" i="36"/>
  <c r="N53" i="36"/>
  <c r="O53" i="36"/>
  <c r="P53" i="36"/>
  <c r="Q53" i="36"/>
  <c r="B54" i="36"/>
  <c r="J54" i="36"/>
  <c r="K54" i="36"/>
  <c r="L54" i="36"/>
  <c r="M54" i="36"/>
  <c r="N54" i="36"/>
  <c r="O54" i="36"/>
  <c r="P54" i="36"/>
  <c r="Q54" i="36"/>
  <c r="B55" i="36"/>
  <c r="J55" i="36"/>
  <c r="K55" i="36"/>
  <c r="L55" i="36"/>
  <c r="M55" i="36"/>
  <c r="N55" i="36"/>
  <c r="O55" i="36"/>
  <c r="P55" i="36"/>
  <c r="Q55" i="36"/>
  <c r="B56" i="36"/>
  <c r="J56" i="36"/>
  <c r="K56" i="36"/>
  <c r="L56" i="36"/>
  <c r="M56" i="36"/>
  <c r="N56" i="36"/>
  <c r="O56" i="36"/>
  <c r="P56" i="36"/>
  <c r="Q56" i="36"/>
  <c r="B57" i="36"/>
  <c r="J57" i="36"/>
  <c r="K57" i="36"/>
  <c r="L57" i="36"/>
  <c r="M57" i="36"/>
  <c r="N57" i="36"/>
  <c r="O57" i="36"/>
  <c r="P57" i="36"/>
  <c r="Q57" i="36"/>
  <c r="B58" i="36"/>
  <c r="J58" i="36"/>
  <c r="K58" i="36"/>
  <c r="L58" i="36"/>
  <c r="M58" i="36"/>
  <c r="N58" i="36"/>
  <c r="O58" i="36"/>
  <c r="P58" i="36"/>
  <c r="Q58" i="36"/>
  <c r="J59" i="36"/>
  <c r="K59" i="36"/>
  <c r="L59" i="36"/>
  <c r="M59" i="36"/>
  <c r="N59" i="36"/>
  <c r="O59" i="36"/>
  <c r="P59" i="36"/>
  <c r="Q59" i="36"/>
  <c r="B62" i="36"/>
  <c r="J62" i="36"/>
  <c r="K62" i="36"/>
  <c r="L62" i="36"/>
  <c r="M62" i="36"/>
  <c r="N62" i="36"/>
  <c r="O62" i="36"/>
  <c r="P62" i="36"/>
  <c r="Q62" i="36"/>
  <c r="B63" i="36"/>
  <c r="J63" i="36"/>
  <c r="K63" i="36"/>
  <c r="L63" i="36"/>
  <c r="M63" i="36"/>
  <c r="N63" i="36"/>
  <c r="O63" i="36"/>
  <c r="P63" i="36"/>
  <c r="Q63" i="36"/>
  <c r="B64" i="36"/>
  <c r="J64" i="36"/>
  <c r="K64" i="36"/>
  <c r="L64" i="36"/>
  <c r="M64" i="36"/>
  <c r="N64" i="36"/>
  <c r="O64" i="36"/>
  <c r="P64" i="36"/>
  <c r="Q64" i="36"/>
  <c r="B65" i="36"/>
  <c r="J65" i="36"/>
  <c r="K65" i="36"/>
  <c r="L65" i="36"/>
  <c r="M65" i="36"/>
  <c r="N65" i="36"/>
  <c r="O65" i="36"/>
  <c r="P65" i="36"/>
  <c r="Q65" i="36"/>
  <c r="B66" i="36"/>
  <c r="J66" i="36"/>
  <c r="K66" i="36"/>
  <c r="B67" i="36"/>
  <c r="J67" i="36"/>
  <c r="K67" i="36"/>
  <c r="L67" i="36"/>
  <c r="M67" i="36"/>
  <c r="N67" i="36"/>
  <c r="O67" i="36"/>
  <c r="P67" i="36"/>
  <c r="Q67" i="36"/>
  <c r="B68" i="36"/>
  <c r="J68" i="36"/>
  <c r="K68" i="36"/>
  <c r="L68" i="36"/>
  <c r="M68" i="36"/>
  <c r="N68" i="36"/>
  <c r="O68" i="36"/>
  <c r="P68" i="36"/>
  <c r="Q68" i="36"/>
  <c r="J69" i="36"/>
  <c r="K69" i="36"/>
  <c r="L69" i="36"/>
  <c r="M69" i="36"/>
  <c r="N69" i="36"/>
  <c r="O69" i="36"/>
  <c r="P69" i="36"/>
  <c r="Q69" i="36"/>
  <c r="J71" i="36"/>
  <c r="K71" i="36"/>
  <c r="L71" i="36"/>
  <c r="M71" i="36"/>
  <c r="N71" i="36"/>
  <c r="O71" i="36"/>
  <c r="P71" i="36"/>
  <c r="Q71" i="36"/>
  <c r="B75" i="36"/>
  <c r="L75" i="36"/>
  <c r="M75" i="36"/>
  <c r="N75" i="36"/>
  <c r="O75" i="36"/>
  <c r="P75" i="36"/>
  <c r="Q75" i="36"/>
  <c r="L76" i="36"/>
  <c r="M76" i="36"/>
  <c r="N76" i="36"/>
  <c r="O76" i="36"/>
  <c r="P76" i="36"/>
  <c r="Q76" i="36"/>
  <c r="L77" i="36"/>
  <c r="M77" i="36"/>
  <c r="N77" i="36"/>
  <c r="O77" i="36"/>
  <c r="P77" i="36"/>
  <c r="Q77" i="36"/>
  <c r="L79" i="36"/>
  <c r="M79" i="36"/>
  <c r="N79" i="36"/>
  <c r="O79" i="36"/>
  <c r="P79" i="36"/>
  <c r="Q79" i="36"/>
  <c r="L80" i="36"/>
  <c r="M80" i="36"/>
  <c r="N80" i="36"/>
  <c r="O80" i="36"/>
  <c r="P80" i="36"/>
  <c r="Q80" i="36"/>
  <c r="L81" i="36"/>
  <c r="M81" i="36"/>
  <c r="N81" i="36"/>
  <c r="O81" i="36"/>
  <c r="P81" i="36"/>
  <c r="Q81" i="36"/>
  <c r="L83" i="36"/>
  <c r="M83" i="36"/>
  <c r="N83" i="36"/>
  <c r="O83" i="36"/>
  <c r="P83" i="36"/>
  <c r="Q83" i="36"/>
  <c r="L84" i="36"/>
  <c r="M84" i="36"/>
  <c r="N84" i="36"/>
  <c r="O84" i="36"/>
  <c r="P84" i="36"/>
  <c r="Q84" i="36"/>
  <c r="L86" i="36"/>
  <c r="M86" i="36"/>
  <c r="N86" i="36"/>
  <c r="O86" i="36"/>
  <c r="P86" i="36"/>
  <c r="Q86" i="36"/>
  <c r="L88" i="36"/>
  <c r="M88" i="36"/>
  <c r="N88" i="36"/>
  <c r="O88" i="36"/>
  <c r="P88" i="36"/>
  <c r="Q88" i="36"/>
  <c r="L89" i="36"/>
  <c r="M89" i="36"/>
  <c r="N89" i="36"/>
  <c r="O89" i="36"/>
  <c r="P89" i="36"/>
  <c r="Q89" i="36"/>
  <c r="F90" i="36"/>
  <c r="L90" i="36"/>
  <c r="M90" i="36"/>
  <c r="N90" i="36"/>
  <c r="O90" i="36"/>
  <c r="P90" i="36"/>
  <c r="Q90" i="36"/>
  <c r="L91" i="36"/>
  <c r="M91" i="36"/>
  <c r="N91" i="36"/>
  <c r="O91" i="36"/>
  <c r="P91" i="36"/>
  <c r="Q91" i="36"/>
  <c r="L92" i="36"/>
  <c r="M92" i="36"/>
  <c r="N92" i="36"/>
  <c r="O92" i="36"/>
  <c r="P92" i="36"/>
  <c r="Q92" i="36"/>
  <c r="L93" i="36"/>
  <c r="M93" i="36"/>
  <c r="N93" i="36"/>
  <c r="O93" i="36"/>
  <c r="P93" i="36"/>
  <c r="Q93" i="36"/>
  <c r="L95" i="36"/>
  <c r="M95" i="36"/>
  <c r="N95" i="36"/>
  <c r="O95" i="36"/>
  <c r="P95" i="36"/>
  <c r="Q95" i="36"/>
  <c r="L97" i="36"/>
  <c r="M97" i="36"/>
  <c r="N97" i="36"/>
  <c r="O97" i="36"/>
  <c r="P97" i="36"/>
  <c r="Q97" i="36"/>
  <c r="L98" i="36"/>
  <c r="M98" i="36"/>
  <c r="N98" i="36"/>
  <c r="O98" i="36"/>
  <c r="P98" i="36"/>
  <c r="Q98" i="36"/>
  <c r="L100" i="36"/>
  <c r="M100" i="36"/>
  <c r="N100" i="36"/>
  <c r="O100" i="36"/>
  <c r="P100" i="36"/>
  <c r="Q100" i="36"/>
  <c r="L101" i="36"/>
  <c r="M101" i="36"/>
  <c r="N101" i="36"/>
  <c r="O101" i="36"/>
  <c r="P101" i="36"/>
  <c r="Q101" i="36"/>
  <c r="B104" i="36"/>
  <c r="K104" i="36"/>
  <c r="L104" i="36"/>
  <c r="M104" i="36"/>
  <c r="N104" i="36"/>
  <c r="O104" i="36"/>
  <c r="P104" i="36"/>
  <c r="Q104" i="36"/>
  <c r="L106" i="36"/>
  <c r="M106" i="36"/>
  <c r="N106" i="36"/>
  <c r="O106" i="36"/>
  <c r="P106" i="36"/>
  <c r="Q106" i="36"/>
  <c r="L107" i="36"/>
  <c r="M107" i="36"/>
  <c r="N107" i="36"/>
  <c r="O107" i="36"/>
  <c r="P107" i="36"/>
  <c r="Q107" i="36"/>
  <c r="L108" i="36"/>
  <c r="M108" i="36"/>
  <c r="N108" i="36"/>
  <c r="O108" i="36"/>
  <c r="P108" i="36"/>
  <c r="Q108" i="36"/>
  <c r="L109" i="36"/>
  <c r="M109" i="36"/>
  <c r="N109" i="36"/>
  <c r="O109" i="36"/>
  <c r="P109" i="36"/>
  <c r="Q109" i="36"/>
  <c r="L110" i="36"/>
  <c r="M110" i="36"/>
  <c r="N110" i="36"/>
  <c r="O110" i="36"/>
  <c r="P110" i="36"/>
  <c r="Q110" i="36"/>
  <c r="L111" i="36"/>
  <c r="M111" i="36"/>
  <c r="N111" i="36"/>
  <c r="O111" i="36"/>
  <c r="P111" i="36"/>
  <c r="Q111" i="36"/>
  <c r="L114" i="36"/>
  <c r="M114" i="36"/>
  <c r="N114" i="36"/>
  <c r="O114" i="36"/>
  <c r="P114" i="36"/>
  <c r="Q114" i="36"/>
  <c r="L115" i="36"/>
  <c r="M115" i="36"/>
  <c r="N115" i="36"/>
  <c r="O115" i="36"/>
  <c r="P115" i="36"/>
  <c r="Q115" i="36"/>
  <c r="L116" i="36"/>
  <c r="M116" i="36"/>
  <c r="N116" i="36"/>
  <c r="O116" i="36"/>
  <c r="P116" i="36"/>
  <c r="Q116" i="36"/>
  <c r="L117" i="36"/>
  <c r="M117" i="36"/>
  <c r="N117" i="36"/>
  <c r="O117" i="36"/>
  <c r="P117" i="36"/>
  <c r="Q117" i="36"/>
  <c r="K118" i="36"/>
  <c r="L118" i="36"/>
  <c r="M118" i="36"/>
  <c r="N118" i="36"/>
  <c r="O118" i="36"/>
  <c r="P118" i="36"/>
  <c r="Q118" i="36"/>
  <c r="K121" i="36"/>
  <c r="L121" i="36"/>
  <c r="M121" i="36"/>
  <c r="N121" i="36"/>
  <c r="O121" i="36"/>
  <c r="P121" i="36"/>
  <c r="Q121" i="36"/>
  <c r="K122" i="36"/>
  <c r="L122" i="36"/>
  <c r="M122" i="36"/>
  <c r="N122" i="36"/>
  <c r="O122" i="36"/>
  <c r="P122" i="36"/>
  <c r="Q122" i="36"/>
  <c r="B125" i="36"/>
  <c r="L125" i="36"/>
  <c r="M125" i="36"/>
  <c r="N125" i="36"/>
  <c r="O125" i="36"/>
  <c r="P125" i="36"/>
  <c r="Q125" i="36"/>
  <c r="B126" i="36"/>
  <c r="L126" i="36"/>
  <c r="M126" i="36"/>
  <c r="N126" i="36"/>
  <c r="O126" i="36"/>
  <c r="P126" i="36"/>
  <c r="Q126" i="36"/>
  <c r="B127" i="36"/>
  <c r="L128" i="36"/>
  <c r="M128" i="36"/>
  <c r="N128" i="36"/>
  <c r="O128" i="36"/>
  <c r="P128" i="36"/>
  <c r="Q128" i="36"/>
  <c r="B131" i="36"/>
  <c r="L131" i="36"/>
  <c r="M131" i="36"/>
  <c r="N131" i="36"/>
  <c r="O131" i="36"/>
  <c r="P131" i="36"/>
  <c r="Q131" i="36"/>
  <c r="L132" i="36"/>
  <c r="M132" i="36"/>
  <c r="N132" i="36"/>
  <c r="O132" i="36"/>
  <c r="P132" i="36"/>
  <c r="Q132" i="36"/>
  <c r="B133" i="36"/>
  <c r="L133" i="36"/>
  <c r="M133" i="36"/>
  <c r="N133" i="36"/>
  <c r="O133" i="36"/>
  <c r="P133" i="36"/>
  <c r="Q133" i="36"/>
  <c r="B134" i="36"/>
  <c r="L134" i="36"/>
  <c r="M134" i="36"/>
  <c r="N134" i="36"/>
  <c r="O134" i="36"/>
  <c r="P134" i="36"/>
  <c r="Q134" i="36"/>
  <c r="B135" i="36"/>
  <c r="L135" i="36"/>
  <c r="M135" i="36"/>
  <c r="N135" i="36"/>
  <c r="O135" i="36"/>
  <c r="P135" i="36"/>
  <c r="Q135" i="36"/>
  <c r="F136" i="36"/>
  <c r="L136" i="36"/>
  <c r="M136" i="36"/>
  <c r="N136" i="36"/>
  <c r="O136" i="36"/>
  <c r="P136" i="36"/>
  <c r="Q136" i="36"/>
  <c r="L137" i="36"/>
  <c r="M137" i="36"/>
  <c r="N137" i="36"/>
  <c r="O137" i="36"/>
  <c r="P137" i="36"/>
  <c r="Q137" i="36"/>
  <c r="L138" i="36"/>
  <c r="M138" i="36"/>
  <c r="N138" i="36"/>
  <c r="O138" i="36"/>
  <c r="P138" i="36"/>
  <c r="Q138" i="36"/>
  <c r="L139" i="36"/>
  <c r="M139" i="36"/>
  <c r="N139" i="36"/>
  <c r="O139" i="36"/>
  <c r="P139" i="36"/>
  <c r="Q139" i="36"/>
  <c r="B142" i="36"/>
  <c r="L142" i="36"/>
  <c r="M142" i="36"/>
  <c r="N142" i="36"/>
  <c r="O142" i="36"/>
  <c r="P142" i="36"/>
  <c r="Q142" i="36"/>
  <c r="M144" i="36"/>
  <c r="N144" i="36"/>
  <c r="O144" i="36"/>
  <c r="P144" i="36"/>
  <c r="Q144" i="36"/>
  <c r="L145" i="36"/>
  <c r="M145" i="36"/>
  <c r="N145" i="36"/>
  <c r="O145" i="36"/>
  <c r="P145" i="36"/>
  <c r="Q145" i="36"/>
  <c r="M146" i="36"/>
  <c r="N146" i="36"/>
  <c r="O146" i="36"/>
  <c r="P146" i="36"/>
  <c r="Q146" i="36"/>
  <c r="L147" i="36"/>
  <c r="M147" i="36"/>
  <c r="N147" i="36"/>
  <c r="O147" i="36"/>
  <c r="P147" i="36"/>
  <c r="Q147" i="36"/>
  <c r="B151" i="36"/>
  <c r="L151" i="36"/>
  <c r="M151" i="36"/>
  <c r="N151" i="36"/>
  <c r="O151" i="36"/>
  <c r="P151" i="36"/>
  <c r="Q151" i="36"/>
  <c r="B152" i="36"/>
  <c r="L152" i="36"/>
  <c r="M152" i="36"/>
  <c r="N152" i="36"/>
  <c r="O152" i="36"/>
  <c r="P152" i="36"/>
  <c r="Q152" i="36"/>
  <c r="B153" i="36"/>
  <c r="L153" i="36"/>
  <c r="M153" i="36"/>
  <c r="N153" i="36"/>
  <c r="O153" i="36"/>
  <c r="P153" i="36"/>
  <c r="Q153" i="36"/>
  <c r="B154" i="36"/>
  <c r="L154" i="36"/>
  <c r="M154" i="36"/>
  <c r="N154" i="36"/>
  <c r="O154" i="36"/>
  <c r="P154" i="36"/>
  <c r="Q154" i="36"/>
  <c r="B155" i="36"/>
  <c r="L155" i="36"/>
  <c r="M155" i="36"/>
  <c r="N155" i="36"/>
  <c r="O155" i="36"/>
  <c r="P155" i="36"/>
  <c r="Q155" i="36"/>
  <c r="B156" i="36"/>
  <c r="L156" i="36"/>
  <c r="M156" i="36"/>
  <c r="N156" i="36"/>
  <c r="O156" i="36"/>
  <c r="P156" i="36"/>
  <c r="Q156" i="36"/>
  <c r="B159" i="36"/>
  <c r="J159" i="36"/>
  <c r="K159" i="36"/>
  <c r="L159" i="36"/>
  <c r="M159" i="36"/>
  <c r="N159" i="36"/>
  <c r="O159" i="36"/>
  <c r="P159" i="36"/>
  <c r="Q159" i="36"/>
  <c r="J160" i="36"/>
  <c r="K160" i="36"/>
  <c r="L160" i="36"/>
  <c r="M160" i="36"/>
  <c r="N160" i="36"/>
  <c r="O160" i="36"/>
  <c r="P160" i="36"/>
  <c r="Q160" i="36"/>
  <c r="J161" i="36"/>
  <c r="K161" i="36"/>
  <c r="L161" i="36"/>
  <c r="M161" i="36"/>
  <c r="N161" i="36"/>
  <c r="O161" i="36"/>
  <c r="P161" i="36"/>
  <c r="Q161" i="36"/>
  <c r="J162" i="36"/>
  <c r="K162" i="36"/>
  <c r="L162" i="36"/>
  <c r="M162" i="36"/>
  <c r="N162" i="36"/>
  <c r="O162" i="36"/>
  <c r="P162" i="36"/>
  <c r="Q162" i="36"/>
  <c r="J163" i="36"/>
  <c r="K163" i="36"/>
  <c r="L163" i="36"/>
  <c r="M163" i="36"/>
  <c r="N163" i="36"/>
  <c r="O163" i="36"/>
  <c r="P163" i="36"/>
  <c r="Q163" i="36"/>
  <c r="J164" i="36"/>
  <c r="K164" i="36"/>
  <c r="L164" i="36"/>
  <c r="M164" i="36"/>
  <c r="N164" i="36"/>
  <c r="O164" i="36"/>
  <c r="P164" i="36"/>
  <c r="Q164" i="36"/>
  <c r="J165" i="36"/>
  <c r="K165" i="36"/>
  <c r="L165" i="36"/>
  <c r="M165" i="36"/>
  <c r="N165" i="36"/>
  <c r="O165" i="36"/>
  <c r="P165" i="36"/>
  <c r="Q165" i="36"/>
  <c r="J167" i="36"/>
  <c r="K167" i="36"/>
  <c r="L167" i="36"/>
  <c r="M167" i="36"/>
  <c r="N167" i="36"/>
  <c r="O167" i="36"/>
  <c r="P167" i="36"/>
  <c r="Q167" i="36"/>
  <c r="J168" i="36"/>
  <c r="K168" i="36"/>
  <c r="L168" i="36"/>
  <c r="M168" i="36"/>
  <c r="N168" i="36"/>
  <c r="O168" i="36"/>
  <c r="P168" i="36"/>
  <c r="Q168" i="36"/>
  <c r="J169" i="36"/>
  <c r="K169" i="36"/>
  <c r="L169" i="36"/>
  <c r="M169" i="36"/>
  <c r="N169" i="36"/>
  <c r="O169" i="36"/>
  <c r="P169" i="36"/>
  <c r="Q169" i="36"/>
  <c r="J170" i="36"/>
  <c r="K170" i="36"/>
  <c r="L170" i="36"/>
  <c r="M170" i="36"/>
  <c r="N170" i="36"/>
  <c r="O170" i="36"/>
  <c r="P170" i="36"/>
  <c r="Q170" i="36"/>
  <c r="J172" i="36"/>
  <c r="K172" i="36"/>
  <c r="L172" i="36"/>
  <c r="M172" i="36"/>
  <c r="N172" i="36"/>
  <c r="O172" i="36"/>
  <c r="P172" i="36"/>
  <c r="Q172" i="36"/>
  <c r="J173" i="36"/>
  <c r="K173" i="36"/>
  <c r="L173" i="36"/>
  <c r="M173" i="36"/>
  <c r="N173" i="36"/>
  <c r="O173" i="36"/>
  <c r="P173" i="36"/>
  <c r="Q173" i="36"/>
  <c r="B176" i="36"/>
  <c r="L176" i="36"/>
  <c r="M176" i="36"/>
  <c r="N176" i="36"/>
  <c r="O176" i="36"/>
  <c r="P176" i="36"/>
  <c r="Q176" i="36"/>
  <c r="I177" i="36"/>
  <c r="J177" i="36"/>
  <c r="M177" i="36"/>
  <c r="N177" i="36"/>
  <c r="O177" i="36"/>
  <c r="P177" i="36"/>
  <c r="Q177" i="36"/>
  <c r="R177" i="36"/>
  <c r="I178" i="36"/>
  <c r="J178" i="36"/>
  <c r="M178" i="36"/>
  <c r="N178" i="36"/>
  <c r="O178" i="36"/>
  <c r="P178" i="36"/>
  <c r="Q178" i="36"/>
  <c r="M179" i="36"/>
  <c r="N179" i="36"/>
  <c r="O179" i="36"/>
  <c r="P179" i="36"/>
  <c r="Q179" i="36"/>
  <c r="L180" i="36"/>
  <c r="M180" i="36"/>
  <c r="N180" i="36"/>
  <c r="O180" i="36"/>
  <c r="P180" i="36"/>
  <c r="Q180" i="36"/>
  <c r="L184" i="36"/>
  <c r="M184" i="36"/>
  <c r="N184" i="36"/>
  <c r="O184" i="36"/>
  <c r="P184" i="36"/>
  <c r="Q184" i="36"/>
  <c r="L186" i="36"/>
  <c r="M186" i="36"/>
  <c r="N186" i="36"/>
  <c r="O186" i="36"/>
  <c r="P186" i="36"/>
  <c r="Q186" i="36"/>
  <c r="L187" i="36"/>
  <c r="M187" i="36"/>
  <c r="N187" i="36"/>
  <c r="O187" i="36"/>
  <c r="P187" i="36"/>
  <c r="Q187" i="36"/>
  <c r="L188" i="36"/>
  <c r="M188" i="36"/>
  <c r="N188" i="36"/>
  <c r="O188" i="36"/>
  <c r="P188" i="36"/>
  <c r="Q188" i="36"/>
  <c r="L190" i="36"/>
  <c r="M190" i="36"/>
  <c r="N190" i="36"/>
  <c r="O190" i="36"/>
  <c r="P190" i="36"/>
  <c r="Q190" i="36"/>
  <c r="L191" i="36"/>
  <c r="M191" i="36"/>
  <c r="N191" i="36"/>
  <c r="O191" i="36"/>
  <c r="P191" i="36"/>
  <c r="Q191" i="36"/>
  <c r="L192" i="36"/>
  <c r="M192" i="36"/>
  <c r="N192" i="36"/>
  <c r="O192" i="36"/>
  <c r="P192" i="36"/>
  <c r="Q192" i="36"/>
  <c r="L193" i="36"/>
  <c r="M193" i="36"/>
  <c r="N193" i="36"/>
  <c r="O193" i="36"/>
  <c r="P193" i="36"/>
  <c r="Q193" i="36"/>
  <c r="G194" i="36"/>
  <c r="L194" i="36"/>
  <c r="M194" i="36"/>
  <c r="N194" i="36"/>
  <c r="O194" i="36"/>
  <c r="P194" i="36"/>
  <c r="Q194" i="36"/>
  <c r="B197" i="36"/>
  <c r="I197" i="36"/>
  <c r="J197" i="36"/>
  <c r="K197" i="36"/>
  <c r="L197" i="36"/>
  <c r="M197" i="36"/>
  <c r="N197" i="36"/>
  <c r="O197" i="36"/>
  <c r="P197" i="36"/>
  <c r="Q197" i="36"/>
  <c r="I198" i="36"/>
  <c r="J198" i="36"/>
  <c r="K198" i="36"/>
  <c r="L198" i="36"/>
  <c r="M198" i="36"/>
  <c r="N198" i="36"/>
  <c r="O198" i="36"/>
  <c r="P198" i="36"/>
  <c r="Q198" i="36"/>
  <c r="I199" i="36"/>
  <c r="J199" i="36"/>
  <c r="K199" i="36"/>
  <c r="L199" i="36"/>
  <c r="M199" i="36"/>
  <c r="N199" i="36"/>
  <c r="O199" i="36"/>
  <c r="P199" i="36"/>
  <c r="Q199" i="36"/>
  <c r="I201" i="36"/>
  <c r="J201" i="36"/>
  <c r="K201" i="36"/>
  <c r="L201" i="36"/>
  <c r="M201" i="36"/>
  <c r="N201" i="36"/>
  <c r="O201" i="36"/>
  <c r="P201" i="36"/>
  <c r="Q201" i="36"/>
  <c r="I202" i="36"/>
  <c r="J202" i="36"/>
  <c r="K202" i="36"/>
  <c r="L202" i="36"/>
  <c r="M202" i="36"/>
  <c r="N202" i="36"/>
  <c r="O202" i="36"/>
  <c r="P202" i="36"/>
  <c r="Q202" i="36"/>
  <c r="B204" i="36"/>
  <c r="J204" i="36"/>
  <c r="K204" i="36"/>
  <c r="L204" i="36"/>
  <c r="M204" i="36"/>
  <c r="N204" i="36"/>
  <c r="O204" i="36"/>
  <c r="P204" i="36"/>
  <c r="Q204" i="36"/>
  <c r="J205" i="36"/>
  <c r="K205" i="36"/>
  <c r="L205" i="36"/>
  <c r="M205" i="36"/>
  <c r="N205" i="36"/>
  <c r="O205" i="36"/>
  <c r="P205" i="36"/>
  <c r="Q205" i="36"/>
  <c r="J206" i="36"/>
  <c r="K206" i="36"/>
  <c r="L206" i="36"/>
  <c r="M206" i="36"/>
  <c r="N206" i="36"/>
  <c r="O206" i="36"/>
  <c r="P206" i="36"/>
  <c r="Q206" i="36"/>
  <c r="J208" i="36"/>
  <c r="K208" i="36"/>
  <c r="L208" i="36"/>
  <c r="M208" i="36"/>
  <c r="N208" i="36"/>
  <c r="O208" i="36"/>
  <c r="P208" i="36"/>
  <c r="Q208" i="36"/>
  <c r="K209" i="36"/>
  <c r="J210" i="36"/>
  <c r="K210" i="36"/>
  <c r="L210" i="36"/>
  <c r="M210" i="36"/>
  <c r="N210" i="36"/>
  <c r="O210" i="36"/>
  <c r="P210" i="36"/>
  <c r="Q210" i="36"/>
  <c r="J212" i="36"/>
  <c r="K212" i="36"/>
  <c r="L212" i="36"/>
  <c r="M212" i="36"/>
  <c r="N212" i="36"/>
  <c r="O212" i="36"/>
  <c r="P212" i="36"/>
  <c r="Q212" i="36"/>
  <c r="J213" i="36"/>
  <c r="K213" i="36"/>
  <c r="L213" i="36"/>
  <c r="M213" i="36"/>
  <c r="N213" i="36"/>
  <c r="O213" i="36"/>
  <c r="P213" i="36"/>
  <c r="Q213" i="36"/>
  <c r="D217" i="36"/>
  <c r="H217" i="36"/>
  <c r="L217" i="36"/>
  <c r="M217" i="36"/>
  <c r="N217" i="36"/>
  <c r="O217" i="36"/>
  <c r="P217" i="36"/>
  <c r="Q217" i="36"/>
  <c r="K219" i="36"/>
  <c r="L219" i="36"/>
  <c r="M219" i="36"/>
  <c r="N219" i="36"/>
  <c r="O219" i="36"/>
  <c r="P219" i="36"/>
  <c r="Q219" i="36"/>
  <c r="L220" i="36"/>
  <c r="M220" i="36"/>
  <c r="N220" i="36"/>
  <c r="O220" i="36"/>
  <c r="P220" i="36"/>
  <c r="Q220" i="36"/>
  <c r="K221" i="36"/>
  <c r="N221" i="36"/>
  <c r="O221" i="36"/>
  <c r="P221" i="36"/>
  <c r="Q221" i="36"/>
  <c r="K222" i="36"/>
  <c r="N222" i="36"/>
  <c r="O222" i="36"/>
  <c r="P222" i="36"/>
  <c r="Q222" i="36"/>
  <c r="K223" i="36"/>
  <c r="N223" i="36"/>
  <c r="O223" i="36"/>
  <c r="P223" i="36"/>
  <c r="Q223" i="36"/>
  <c r="K224" i="36"/>
  <c r="N224" i="36"/>
  <c r="O224" i="36"/>
  <c r="P224" i="36"/>
  <c r="Q224" i="36"/>
  <c r="K226" i="36"/>
  <c r="L226" i="36"/>
  <c r="M226" i="36"/>
  <c r="N226" i="36"/>
  <c r="O226" i="36"/>
  <c r="P226" i="36"/>
  <c r="Q226" i="36"/>
  <c r="K227" i="36"/>
  <c r="K228" i="36"/>
  <c r="N228" i="36"/>
  <c r="O228" i="36"/>
  <c r="P228" i="36"/>
  <c r="Q228" i="36"/>
  <c r="K229" i="36"/>
  <c r="N229" i="36"/>
  <c r="O229" i="36"/>
  <c r="P229" i="36"/>
  <c r="Q229" i="36"/>
  <c r="K230" i="36"/>
  <c r="N230" i="36"/>
  <c r="O230" i="36"/>
  <c r="P230" i="36"/>
  <c r="Q230" i="36"/>
  <c r="K231" i="36"/>
  <c r="N231" i="36"/>
  <c r="O231" i="36"/>
  <c r="P231" i="36"/>
  <c r="Q231" i="36"/>
  <c r="K233" i="36"/>
  <c r="L233" i="36"/>
  <c r="M233" i="36"/>
  <c r="N233" i="36"/>
  <c r="O233" i="36"/>
  <c r="P233" i="36"/>
  <c r="Q233" i="36"/>
  <c r="K234" i="36"/>
  <c r="N234" i="36"/>
  <c r="O234" i="36"/>
  <c r="P234" i="36"/>
  <c r="Q234" i="36"/>
  <c r="K235" i="36"/>
  <c r="N235" i="36"/>
  <c r="O235" i="36"/>
  <c r="P235" i="36"/>
  <c r="Q235" i="36"/>
  <c r="K236" i="36"/>
  <c r="N236" i="36"/>
  <c r="O236" i="36"/>
  <c r="P236" i="36"/>
  <c r="Q236" i="36"/>
  <c r="K237" i="36"/>
  <c r="N237" i="36"/>
  <c r="O237" i="36"/>
  <c r="P237" i="36"/>
  <c r="Q237" i="36"/>
  <c r="K238" i="36"/>
  <c r="N238" i="36"/>
  <c r="O238" i="36"/>
  <c r="P238" i="36"/>
  <c r="Q238" i="36"/>
  <c r="B2" i="8"/>
  <c r="B3" i="8"/>
  <c r="B4" i="8"/>
  <c r="G5" i="8"/>
  <c r="K5" i="8"/>
  <c r="N5" i="8"/>
  <c r="G6" i="8"/>
  <c r="H6" i="8"/>
  <c r="I6" i="8"/>
  <c r="K6" i="8"/>
  <c r="L6" i="8"/>
  <c r="N6" i="8"/>
  <c r="G8" i="8"/>
  <c r="H8" i="8"/>
  <c r="I8" i="8"/>
  <c r="K8" i="8"/>
  <c r="L8" i="8"/>
  <c r="N8" i="8"/>
  <c r="N9" i="8"/>
  <c r="G10" i="8"/>
  <c r="H10" i="8"/>
  <c r="I10" i="8"/>
  <c r="K10" i="8"/>
  <c r="L10" i="8"/>
  <c r="N10" i="8"/>
  <c r="N11" i="8"/>
  <c r="N12" i="8"/>
  <c r="N13" i="8"/>
  <c r="G14" i="8"/>
  <c r="H14" i="8"/>
  <c r="I14" i="8"/>
  <c r="K14" i="8"/>
  <c r="L14" i="8"/>
  <c r="N14" i="8"/>
  <c r="G15" i="8"/>
  <c r="H15" i="8"/>
  <c r="I15" i="8"/>
  <c r="K15" i="8"/>
  <c r="L15" i="8"/>
  <c r="N15" i="8"/>
  <c r="N18" i="8"/>
  <c r="G19" i="8"/>
  <c r="H19" i="8"/>
  <c r="I19" i="8"/>
  <c r="L19" i="8"/>
  <c r="N19" i="8"/>
  <c r="G20" i="8"/>
  <c r="H20" i="8"/>
  <c r="I20" i="8"/>
  <c r="K20" i="8"/>
  <c r="L20" i="8"/>
  <c r="N20" i="8"/>
  <c r="G21" i="8"/>
  <c r="H21" i="8"/>
  <c r="I21" i="8"/>
  <c r="K21" i="8"/>
  <c r="L21" i="8"/>
  <c r="N21" i="8"/>
  <c r="N24" i="8"/>
  <c r="N25" i="8"/>
  <c r="N26" i="8"/>
  <c r="N27" i="8"/>
  <c r="L28" i="8"/>
  <c r="N28" i="8"/>
  <c r="N29" i="8"/>
  <c r="I30" i="8"/>
  <c r="K30" i="8"/>
  <c r="N30" i="8"/>
  <c r="G31" i="8"/>
  <c r="H31" i="8"/>
  <c r="I31" i="8"/>
  <c r="K31" i="8"/>
  <c r="L31" i="8"/>
  <c r="N31" i="8"/>
  <c r="G32" i="8"/>
  <c r="H32" i="8"/>
  <c r="I32" i="8"/>
  <c r="K32" i="8"/>
  <c r="L32" i="8"/>
  <c r="N32" i="8"/>
  <c r="N34" i="8"/>
  <c r="G36" i="8"/>
  <c r="H36" i="8"/>
  <c r="I36" i="8"/>
  <c r="K36" i="8"/>
  <c r="L36" i="8"/>
  <c r="N36" i="8"/>
  <c r="H38" i="8"/>
  <c r="I38" i="8"/>
  <c r="K38" i="8"/>
  <c r="L38" i="8"/>
  <c r="N38" i="8"/>
  <c r="G39" i="8"/>
  <c r="H39" i="8"/>
  <c r="I39" i="8"/>
  <c r="K39" i="8"/>
  <c r="L39" i="8"/>
  <c r="N39" i="8"/>
  <c r="B42" i="8"/>
  <c r="H44" i="8"/>
  <c r="I44" i="8"/>
  <c r="K44" i="8"/>
  <c r="L44" i="8"/>
  <c r="N44" i="8"/>
  <c r="H45" i="8"/>
  <c r="I45" i="8"/>
  <c r="K45" i="8"/>
  <c r="L45" i="8"/>
  <c r="N45" i="8"/>
  <c r="B2" i="6"/>
  <c r="B3" i="6"/>
  <c r="H5" i="6"/>
  <c r="H6" i="6"/>
  <c r="I6" i="6"/>
  <c r="K6" i="6"/>
  <c r="L6" i="6"/>
  <c r="O8" i="6"/>
  <c r="H9" i="6"/>
  <c r="I9" i="6"/>
  <c r="K9" i="6"/>
  <c r="L9" i="6"/>
  <c r="H11" i="6"/>
  <c r="H13" i="6"/>
  <c r="H14" i="6"/>
  <c r="I14" i="6"/>
  <c r="K14" i="6"/>
  <c r="L14" i="6"/>
  <c r="H15" i="6"/>
  <c r="I15" i="6"/>
  <c r="K15" i="6"/>
  <c r="L15" i="6"/>
  <c r="O18" i="6"/>
  <c r="I19" i="6"/>
  <c r="H20" i="6"/>
  <c r="I20" i="6"/>
  <c r="K20" i="6"/>
  <c r="L20" i="6"/>
  <c r="O20" i="6"/>
  <c r="H21" i="6"/>
  <c r="I21" i="6"/>
  <c r="K21" i="6"/>
  <c r="L21" i="6"/>
  <c r="O22" i="6"/>
  <c r="O23" i="6"/>
  <c r="H24" i="6"/>
  <c r="I24" i="6"/>
  <c r="O24" i="6"/>
  <c r="H25" i="6"/>
  <c r="I25" i="6"/>
  <c r="K25" i="6"/>
  <c r="L25" i="6"/>
  <c r="H28" i="6"/>
  <c r="I28" i="6"/>
  <c r="K28" i="6"/>
  <c r="L28" i="6"/>
  <c r="O28" i="6"/>
  <c r="H29" i="6"/>
  <c r="I29" i="6"/>
  <c r="K29" i="6"/>
  <c r="L29" i="6"/>
  <c r="O29" i="6"/>
  <c r="B31" i="6"/>
  <c r="H33" i="6"/>
  <c r="I33" i="6"/>
  <c r="K33" i="6"/>
  <c r="L33" i="6"/>
  <c r="H36" i="6"/>
  <c r="I36" i="6"/>
  <c r="K36" i="6"/>
  <c r="L36" i="6"/>
  <c r="H37" i="6"/>
  <c r="I37" i="6"/>
  <c r="K37" i="6"/>
  <c r="L37" i="6"/>
  <c r="H39" i="6"/>
  <c r="I39" i="6"/>
  <c r="K39" i="6"/>
  <c r="L39" i="6"/>
  <c r="O39" i="6"/>
  <c r="H40" i="6"/>
  <c r="I40" i="6"/>
  <c r="K40" i="6"/>
  <c r="L40" i="6"/>
  <c r="O40" i="6"/>
  <c r="H42" i="6"/>
  <c r="I42" i="6"/>
  <c r="K42" i="6"/>
  <c r="L42" i="6"/>
  <c r="O42" i="6"/>
  <c r="H43" i="6"/>
  <c r="I43" i="6"/>
  <c r="K43" i="6"/>
  <c r="L43" i="6"/>
  <c r="O43" i="6"/>
  <c r="H44" i="6"/>
  <c r="I44" i="6"/>
  <c r="K44" i="6"/>
  <c r="L44" i="6"/>
  <c r="O44" i="6"/>
  <c r="B2" i="4"/>
  <c r="B3" i="4"/>
  <c r="B4" i="4"/>
  <c r="G5" i="4"/>
  <c r="K5" i="4"/>
  <c r="G6" i="4"/>
  <c r="H6" i="4"/>
  <c r="I6" i="4"/>
  <c r="K6" i="4"/>
  <c r="L6" i="4"/>
  <c r="N6" i="4"/>
  <c r="P6" i="4"/>
  <c r="N7" i="4"/>
  <c r="P7" i="4"/>
  <c r="N8" i="4"/>
  <c r="P8" i="4"/>
  <c r="G9" i="4"/>
  <c r="H9" i="4"/>
  <c r="I9" i="4"/>
  <c r="K9" i="4"/>
  <c r="L9" i="4"/>
  <c r="N9" i="4"/>
  <c r="P9" i="4"/>
  <c r="L10" i="4"/>
  <c r="N10" i="4"/>
  <c r="P10" i="4"/>
  <c r="G11" i="4"/>
  <c r="H11" i="4"/>
  <c r="I11" i="4"/>
  <c r="K11" i="4"/>
  <c r="L11" i="4"/>
  <c r="N11" i="4"/>
  <c r="P11" i="4"/>
  <c r="N12" i="4"/>
  <c r="P12" i="4"/>
  <c r="L13" i="4"/>
  <c r="N13" i="4"/>
  <c r="P13" i="4"/>
  <c r="G14" i="4"/>
  <c r="H14" i="4"/>
  <c r="I14" i="4"/>
  <c r="K14" i="4"/>
  <c r="L14" i="4"/>
  <c r="N14" i="4"/>
  <c r="P14" i="4"/>
  <c r="N15" i="4"/>
  <c r="P15" i="4"/>
  <c r="G16" i="4"/>
  <c r="H16" i="4"/>
  <c r="I16" i="4"/>
  <c r="K16" i="4"/>
  <c r="L16" i="4"/>
  <c r="N16" i="4"/>
  <c r="P16" i="4"/>
  <c r="N17" i="4"/>
  <c r="P17" i="4"/>
  <c r="G18" i="4"/>
  <c r="H18" i="4"/>
  <c r="I18" i="4"/>
  <c r="K18" i="4"/>
  <c r="L18" i="4"/>
  <c r="N18" i="4"/>
  <c r="P18" i="4"/>
  <c r="N19" i="4"/>
  <c r="P19" i="4"/>
  <c r="G20" i="4"/>
  <c r="H20" i="4"/>
  <c r="I20" i="4"/>
  <c r="K20" i="4"/>
  <c r="L20" i="4"/>
  <c r="N20" i="4"/>
  <c r="P20" i="4"/>
  <c r="N22" i="4"/>
  <c r="P22" i="4"/>
  <c r="G25" i="4"/>
  <c r="H25" i="4"/>
  <c r="I25" i="4"/>
  <c r="K25" i="4"/>
  <c r="L25" i="4"/>
  <c r="N25" i="4"/>
  <c r="P25" i="4"/>
  <c r="G26" i="4"/>
  <c r="H26" i="4"/>
  <c r="I26" i="4"/>
  <c r="K26" i="4"/>
  <c r="L26" i="4"/>
  <c r="N26" i="4"/>
  <c r="G27" i="4"/>
  <c r="H27" i="4"/>
  <c r="I27" i="4"/>
  <c r="K27" i="4"/>
  <c r="L27" i="4"/>
  <c r="N27" i="4"/>
  <c r="P27" i="4"/>
  <c r="G28" i="4"/>
  <c r="H28" i="4"/>
  <c r="I28" i="4"/>
  <c r="K28" i="4"/>
  <c r="L28" i="4"/>
  <c r="N28" i="4"/>
  <c r="P28" i="4"/>
  <c r="B31" i="4"/>
  <c r="G31" i="4"/>
  <c r="H31" i="4"/>
  <c r="I31" i="4"/>
  <c r="K31" i="4"/>
  <c r="L31" i="4"/>
  <c r="N31" i="4"/>
  <c r="P31" i="4"/>
  <c r="B32" i="4"/>
  <c r="G32" i="4"/>
  <c r="H32" i="4"/>
  <c r="I32" i="4"/>
  <c r="K32" i="4"/>
  <c r="L32" i="4"/>
  <c r="N32" i="4"/>
  <c r="P32" i="4"/>
  <c r="B33" i="4"/>
  <c r="G33" i="4"/>
  <c r="H33" i="4"/>
  <c r="I33" i="4"/>
  <c r="K33" i="4"/>
  <c r="L33" i="4"/>
  <c r="N33" i="4"/>
  <c r="P33" i="4"/>
  <c r="B34" i="4"/>
  <c r="G34" i="4"/>
  <c r="H34" i="4"/>
  <c r="I34" i="4"/>
  <c r="K34" i="4"/>
  <c r="L34" i="4"/>
  <c r="N34" i="4"/>
  <c r="P34" i="4"/>
  <c r="B35" i="4"/>
  <c r="G35" i="4"/>
  <c r="H35" i="4"/>
  <c r="I35" i="4"/>
  <c r="K35" i="4"/>
  <c r="L35" i="4"/>
  <c r="N35" i="4"/>
  <c r="P35" i="4"/>
  <c r="B36" i="4"/>
  <c r="G36" i="4"/>
  <c r="H36" i="4"/>
  <c r="I36" i="4"/>
  <c r="K36" i="4"/>
  <c r="L36" i="4"/>
  <c r="N36" i="4"/>
  <c r="P36" i="4"/>
  <c r="G39" i="4"/>
  <c r="H39" i="4"/>
  <c r="I39" i="4"/>
  <c r="K39" i="4"/>
  <c r="L39" i="4"/>
  <c r="N39" i="4"/>
  <c r="G40" i="4"/>
  <c r="H40" i="4"/>
  <c r="I40" i="4"/>
  <c r="K40" i="4"/>
  <c r="L40" i="4"/>
  <c r="N40" i="4"/>
  <c r="G41" i="4"/>
  <c r="H41" i="4"/>
  <c r="I41" i="4"/>
  <c r="K41" i="4"/>
  <c r="L41" i="4"/>
  <c r="N41" i="4"/>
  <c r="G42" i="4"/>
  <c r="H42" i="4"/>
  <c r="I42" i="4"/>
  <c r="K42" i="4"/>
  <c r="L42" i="4"/>
  <c r="N42" i="4"/>
  <c r="G43" i="4"/>
  <c r="H43" i="4"/>
  <c r="I43" i="4"/>
  <c r="K43" i="4"/>
  <c r="L43" i="4"/>
  <c r="N43" i="4"/>
  <c r="B46" i="4"/>
  <c r="H46" i="4"/>
  <c r="I46" i="4"/>
  <c r="L46" i="4"/>
  <c r="B47" i="4"/>
  <c r="H47" i="4"/>
  <c r="I47" i="4"/>
  <c r="L47" i="4"/>
  <c r="B48" i="4"/>
  <c r="H48" i="4"/>
  <c r="I48" i="4"/>
  <c r="L48" i="4"/>
  <c r="B49" i="4"/>
  <c r="H49" i="4"/>
  <c r="I49" i="4"/>
  <c r="L49" i="4"/>
  <c r="B50" i="4"/>
  <c r="H50" i="4"/>
  <c r="I50" i="4"/>
  <c r="L50" i="4"/>
  <c r="B52" i="4"/>
  <c r="K58" i="4"/>
  <c r="G59" i="4"/>
  <c r="H59" i="4"/>
  <c r="I59" i="4"/>
  <c r="K59" i="4"/>
  <c r="L59" i="4"/>
  <c r="G65" i="4"/>
  <c r="H65" i="4"/>
  <c r="I65" i="4"/>
  <c r="K65" i="4"/>
  <c r="L65" i="4"/>
  <c r="G71" i="4"/>
  <c r="H71" i="4"/>
  <c r="I71" i="4"/>
  <c r="K71" i="4"/>
  <c r="L71" i="4"/>
  <c r="G77" i="4"/>
  <c r="H77" i="4"/>
  <c r="I77" i="4"/>
  <c r="K77" i="4"/>
  <c r="L77" i="4"/>
  <c r="G79" i="4"/>
  <c r="H79" i="4"/>
  <c r="I79" i="4"/>
  <c r="K79" i="4"/>
  <c r="L79" i="4"/>
  <c r="G85" i="4"/>
  <c r="H85" i="4"/>
  <c r="I85" i="4"/>
  <c r="K85" i="4"/>
  <c r="L85" i="4"/>
  <c r="G87" i="4"/>
  <c r="H87" i="4"/>
  <c r="I87" i="4"/>
  <c r="K87" i="4"/>
  <c r="L87" i="4"/>
  <c r="G90" i="4"/>
  <c r="H90" i="4"/>
  <c r="I90" i="4"/>
  <c r="K90" i="4"/>
  <c r="L90" i="4"/>
  <c r="G92" i="4"/>
  <c r="H92" i="4"/>
  <c r="I92" i="4"/>
  <c r="K92" i="4"/>
  <c r="L92" i="4"/>
  <c r="B2" i="3"/>
  <c r="B3" i="3"/>
  <c r="E7" i="3"/>
  <c r="J7" i="3"/>
  <c r="E8" i="3"/>
  <c r="J8" i="3"/>
  <c r="O8" i="3"/>
  <c r="B9" i="3"/>
  <c r="E9" i="3"/>
  <c r="O9" i="3"/>
  <c r="J10" i="3"/>
  <c r="O10" i="3"/>
  <c r="J11" i="3"/>
  <c r="O11" i="3"/>
  <c r="J12" i="3"/>
  <c r="O12" i="3"/>
  <c r="O13" i="3"/>
  <c r="J14" i="3"/>
  <c r="G15" i="3"/>
  <c r="J15" i="3"/>
  <c r="O15" i="3"/>
  <c r="G16" i="3"/>
  <c r="J16" i="3"/>
  <c r="O16" i="3"/>
  <c r="J17" i="3"/>
  <c r="J19" i="3"/>
  <c r="J20" i="3"/>
  <c r="E21" i="3"/>
  <c r="J21" i="3"/>
  <c r="B24" i="3"/>
  <c r="E24" i="3"/>
  <c r="E25" i="3"/>
  <c r="G25" i="3"/>
  <c r="J25" i="3"/>
  <c r="E26" i="3"/>
  <c r="O26" i="3"/>
  <c r="E27" i="3"/>
  <c r="O27" i="3"/>
  <c r="E28" i="3"/>
  <c r="G28" i="3"/>
  <c r="J28" i="3"/>
  <c r="O28" i="3"/>
  <c r="E29" i="3"/>
  <c r="G29" i="3"/>
  <c r="J29" i="3"/>
  <c r="N29" i="3"/>
  <c r="O29" i="3"/>
  <c r="E30" i="3"/>
  <c r="O30" i="3"/>
  <c r="E31" i="3"/>
  <c r="E32" i="3"/>
  <c r="J32" i="3"/>
  <c r="G33" i="3"/>
  <c r="J33" i="3"/>
  <c r="G34" i="3"/>
  <c r="J34" i="3"/>
  <c r="B37" i="3"/>
  <c r="B38" i="3"/>
  <c r="B39" i="3"/>
  <c r="B40" i="3"/>
  <c r="B42" i="3"/>
  <c r="E42" i="3"/>
  <c r="B44" i="3"/>
  <c r="G12" i="1"/>
  <c r="H12" i="1"/>
  <c r="G14" i="1"/>
  <c r="G15" i="1"/>
  <c r="G16" i="1"/>
  <c r="G17" i="1"/>
  <c r="D25" i="1"/>
  <c r="E25" i="1"/>
  <c r="D26" i="1"/>
  <c r="E26" i="1"/>
  <c r="D27" i="1"/>
  <c r="E27" i="1"/>
  <c r="D28" i="1"/>
  <c r="E28" i="1"/>
  <c r="D29" i="1"/>
  <c r="E29" i="1"/>
  <c r="D30" i="1"/>
  <c r="E30" i="1"/>
  <c r="B31" i="1"/>
  <c r="C31" i="1"/>
  <c r="D31" i="1"/>
  <c r="E31" i="1"/>
  <c r="B34" i="1"/>
  <c r="D34" i="1"/>
  <c r="E34" i="1"/>
  <c r="F34" i="1"/>
  <c r="G34" i="1"/>
  <c r="F35" i="1"/>
  <c r="G35" i="1"/>
  <c r="F37" i="1"/>
  <c r="G37" i="1"/>
  <c r="D38" i="1"/>
  <c r="E38" i="1"/>
  <c r="F38" i="1"/>
  <c r="G38" i="1"/>
  <c r="F39" i="1"/>
  <c r="G39" i="1"/>
  <c r="B44" i="1"/>
  <c r="D4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G19" authorId="0" shapeId="0" xr:uid="{00000000-0006-0000-0100-000001000000}">
      <text>
        <r>
          <rPr>
            <sz val="9"/>
            <color indexed="81"/>
            <rFont val="Tahoma"/>
            <family val="2"/>
          </rPr>
          <t>RSU's not taken into account for calculation of Equity Value / Enterprise Value on the Spread Covers, but included in fully-diluted shares for the purposes of the LBO and Merger tabs</t>
        </r>
      </text>
    </comment>
    <comment ref="B23" authorId="0" shapeId="0" xr:uid="{00000000-0006-0000-0100-000002000000}">
      <text>
        <r>
          <rPr>
            <sz val="9"/>
            <color indexed="81"/>
            <rFont val="Tahoma"/>
            <family val="2"/>
          </rPr>
          <t>Note: Default methodology is to use Options Outstanding in all analyses; however, in some cases, Options Exercisable may be used for trading valuations</t>
        </r>
      </text>
    </comment>
    <comment ref="D33" authorId="0" shapeId="0" xr:uid="{00000000-0006-0000-0100-000003000000}">
      <text>
        <r>
          <rPr>
            <sz val="9"/>
            <color indexed="81"/>
            <rFont val="Tahoma"/>
            <family val="2"/>
          </rPr>
          <t>Enter street estimates from Thomson to reference when making street projections.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29" authorId="0" shapeId="0" xr:uid="{00000000-0006-0000-0200-000001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  <comment ref="B30" authorId="0" shapeId="0" xr:uid="{00000000-0006-0000-0200-000002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  <author>Michael Stack</author>
  </authors>
  <commentList>
    <comment ref="B6" authorId="0" shapeId="0" xr:uid="{00000000-0006-0000-0600-000001000000}">
      <text>
        <r>
          <rPr>
            <sz val="9"/>
            <color indexed="81"/>
            <rFont val="Tahoma"/>
            <family val="2"/>
          </rPr>
          <t>Historical Income Statement line items linked to values adjusted for non-recurrings</t>
        </r>
      </text>
    </comment>
    <comment ref="E150" authorId="0" shapeId="0" xr:uid="{00000000-0006-0000-0600-000002000000}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I178" authorId="0" shapeId="0" xr:uid="{00000000-0006-0000-0600-000003000000}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J178" authorId="0" shapeId="0" xr:uid="{00000000-0006-0000-0600-000004000000}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G188" authorId="1" shapeId="0" xr:uid="{00000000-0006-0000-0600-000005000000}">
      <text>
        <r>
          <rPr>
            <sz val="8"/>
            <color indexed="81"/>
            <rFont val="Tahoma"/>
            <family val="2"/>
          </rPr>
          <t>ie - 0.25 = repo end Q1
      0.50 = repo end Q2
      0.75 = repo end Q3</t>
        </r>
      </text>
    </comment>
  </commentList>
</comments>
</file>

<file path=xl/sharedStrings.xml><?xml version="1.0" encoding="utf-8"?>
<sst xmlns="http://schemas.openxmlformats.org/spreadsheetml/2006/main" count="419" uniqueCount="317">
  <si>
    <t>Enterprise Value</t>
  </si>
  <si>
    <t>Balance</t>
  </si>
  <si>
    <t>Assets</t>
  </si>
  <si>
    <t>Cash</t>
  </si>
  <si>
    <t>Property, Plant &amp; Equipment</t>
  </si>
  <si>
    <t>TOTAL ASSETS</t>
  </si>
  <si>
    <t>Liabilities and Shareholders' Equity</t>
  </si>
  <si>
    <t>Minority Interest</t>
  </si>
  <si>
    <t>Preferred Stock</t>
  </si>
  <si>
    <t>Total Debt / Total Capitalization</t>
  </si>
  <si>
    <t>Net Debt / Net Capitalization</t>
  </si>
  <si>
    <t>EBITDA</t>
  </si>
  <si>
    <t>Net Income</t>
  </si>
  <si>
    <t>Total</t>
  </si>
  <si>
    <t>Interest Expense, Net</t>
  </si>
  <si>
    <t>Pre-Tax Income</t>
  </si>
  <si>
    <t>Calculation of EBITDA</t>
  </si>
  <si>
    <t>Depreciation and Amortization</t>
  </si>
  <si>
    <t>Growth Rates</t>
  </si>
  <si>
    <t>Stock Issues/(Repurchases)</t>
  </si>
  <si>
    <t>Cash at End of Period</t>
  </si>
  <si>
    <t>Revolver - Beginning Balance</t>
  </si>
  <si>
    <t>Revolver - Ending Balance</t>
  </si>
  <si>
    <t>Revolver</t>
  </si>
  <si>
    <t>Total Debt</t>
  </si>
  <si>
    <t>Total Capitalization</t>
  </si>
  <si>
    <t>Scheduled Principal Repayments</t>
  </si>
  <si>
    <t>Total Principal Repayments</t>
  </si>
  <si>
    <t>Total Interest Expense</t>
  </si>
  <si>
    <t>Ownership</t>
  </si>
  <si>
    <t>Selected Inputs</t>
  </si>
  <si>
    <t>Stock Price</t>
  </si>
  <si>
    <t>Options Outstanding</t>
  </si>
  <si>
    <t>Option Equivalent Shares</t>
  </si>
  <si>
    <t>LTM EPS</t>
  </si>
  <si>
    <t>LTM</t>
  </si>
  <si>
    <t>Shares Outstanding</t>
  </si>
  <si>
    <t>Long-Term Debt</t>
  </si>
  <si>
    <t>Interest Expense</t>
  </si>
  <si>
    <t>Capital Expenditures</t>
  </si>
  <si>
    <t>Income Statement</t>
  </si>
  <si>
    <t>Balance Sheet</t>
  </si>
  <si>
    <t>Cash Flow Statement</t>
  </si>
  <si>
    <t>Selected Balance Sheet Assumptions</t>
  </si>
  <si>
    <t>(Amounts in Millions, Except Per Share Data)</t>
  </si>
  <si>
    <t>Today's Date</t>
  </si>
  <si>
    <t>Income Taxes</t>
  </si>
  <si>
    <t>Capitalization</t>
  </si>
  <si>
    <t>Equity Value</t>
  </si>
  <si>
    <t xml:space="preserve">    TOTAL ASSETS</t>
  </si>
  <si>
    <t>Shareholders' Equity</t>
  </si>
  <si>
    <t>Cash at Beginning of Period</t>
  </si>
  <si>
    <t>Enterprise Value as a Multiple of:</t>
  </si>
  <si>
    <t>%</t>
  </si>
  <si>
    <t>Tax Rate</t>
  </si>
  <si>
    <t>Total Debt / EBITDA</t>
  </si>
  <si>
    <t>Shares</t>
  </si>
  <si>
    <t>Min. Cash</t>
  </si>
  <si>
    <t>per share</t>
  </si>
  <si>
    <t>Scheduled Debt Repayments</t>
  </si>
  <si>
    <t>Low</t>
  </si>
  <si>
    <t>High</t>
  </si>
  <si>
    <t>Diluted Shares Outstanding</t>
  </si>
  <si>
    <t>Selected Income Statement Assumptions</t>
  </si>
  <si>
    <t>Case</t>
  </si>
  <si>
    <t>CAGR</t>
  </si>
  <si>
    <t>Margins</t>
  </si>
  <si>
    <t>As of</t>
  </si>
  <si>
    <t>Operating Activities</t>
  </si>
  <si>
    <t>Investing Activities</t>
  </si>
  <si>
    <t>Financing Activities</t>
  </si>
  <si>
    <t>Diluted Weighted Average Shares</t>
  </si>
  <si>
    <t>Other Expense, Net</t>
  </si>
  <si>
    <t>Diluted Weighted Average Shares Outstanding</t>
  </si>
  <si>
    <t xml:space="preserve">    TOTAL LIABILITIES AND EQUITY</t>
  </si>
  <si>
    <t>Net Cash Provided By (Used In) Operating Activities</t>
  </si>
  <si>
    <t>Net Cash Provided By (Used In) Investing Activities</t>
  </si>
  <si>
    <t>Net Cash Provided By (Used In) Financing Activities</t>
  </si>
  <si>
    <t>Net Increase/(Decrease) in Cash &amp; Cash Equivalents</t>
  </si>
  <si>
    <t>Cash &amp; Cash Equivalents at Beginning of Period</t>
  </si>
  <si>
    <t>Cash &amp; Cash Equivalents at End of Period</t>
  </si>
  <si>
    <t>Stock Information</t>
  </si>
  <si>
    <t>Ticker Symbol</t>
  </si>
  <si>
    <t xml:space="preserve">As of </t>
  </si>
  <si>
    <t>Stock Exchange</t>
  </si>
  <si>
    <t>52-Week Stock Price</t>
  </si>
  <si>
    <t>Annual Dividend</t>
  </si>
  <si>
    <t>Dividend Yield</t>
  </si>
  <si>
    <t>Dividend Payout Ratio</t>
  </si>
  <si>
    <t>Market Capitalization and Firm Value</t>
  </si>
  <si>
    <t>Valuation</t>
  </si>
  <si>
    <t>Percent of</t>
  </si>
  <si>
    <t>Public and Other</t>
  </si>
  <si>
    <t>Fiscal Year End</t>
  </si>
  <si>
    <t>P/E Ratios:</t>
  </si>
  <si>
    <t>Beneficial</t>
  </si>
  <si>
    <t>Other Insiders</t>
  </si>
  <si>
    <t>Transaction Effective Date</t>
  </si>
  <si>
    <t>Capitalization Summary and Calculation of Net Interest Expense</t>
  </si>
  <si>
    <t>Weighted Average Shares</t>
  </si>
  <si>
    <t>Other Long-Term Assets</t>
  </si>
  <si>
    <t>Other Long-Term Liabilities</t>
  </si>
  <si>
    <t>LTM Date</t>
  </si>
  <si>
    <t>Proxy Date</t>
  </si>
  <si>
    <t>Plus:  Total Debt</t>
  </si>
  <si>
    <t>Plus:  Minority Interest</t>
  </si>
  <si>
    <t>Plus:  Preferred Stock</t>
  </si>
  <si>
    <t>Less:  Cash &amp; Cash Equivalents</t>
  </si>
  <si>
    <t>Strike</t>
  </si>
  <si>
    <t>Net Sales</t>
  </si>
  <si>
    <t>LTM Net Sales</t>
  </si>
  <si>
    <t>Credit Statistics</t>
  </si>
  <si>
    <t>Net Debt / EBITDA</t>
  </si>
  <si>
    <t>(Amounts in Millions)</t>
  </si>
  <si>
    <t>Total Non-Recurring Items After Tax</t>
  </si>
  <si>
    <t>Check</t>
  </si>
  <si>
    <t>% of Sales</t>
  </si>
  <si>
    <t>Term Loan</t>
  </si>
  <si>
    <t>Diluted EPS</t>
  </si>
  <si>
    <t>Calculation of Shares Outstanding</t>
  </si>
  <si>
    <t>Projected Stock Price Repurchase at Premium</t>
  </si>
  <si>
    <t>Net Debt</t>
  </si>
  <si>
    <t>Avg. Exercise Price</t>
  </si>
  <si>
    <t>Source</t>
  </si>
  <si>
    <t>Case Name</t>
  </si>
  <si>
    <t>Cash Flow from Operating Activities</t>
  </si>
  <si>
    <t>Cash Flow from Investing Activities</t>
  </si>
  <si>
    <t>Cash Flow from Financing Activities</t>
  </si>
  <si>
    <t>Amortization</t>
  </si>
  <si>
    <t>Goodwill</t>
  </si>
  <si>
    <t>Top 10 Institutions</t>
  </si>
  <si>
    <t>Revolver Beginning Balance</t>
  </si>
  <si>
    <t>Beginning Cash</t>
  </si>
  <si>
    <t>Free Cash Flow before Revolver</t>
  </si>
  <si>
    <t>Minimum Cash</t>
  </si>
  <si>
    <t>Revolver Ending Balance</t>
  </si>
  <si>
    <t>Borrowings / (Repayments)</t>
  </si>
  <si>
    <t>Borrowings / (Repayments) Under Revolver</t>
  </si>
  <si>
    <t>Interest Income</t>
  </si>
  <si>
    <t>Tangible Book Value</t>
  </si>
  <si>
    <t>Other Intangible Assets</t>
  </si>
  <si>
    <t>5-Year Stock Price</t>
  </si>
  <si>
    <t>Depreciation &amp; Amortization</t>
  </si>
  <si>
    <t>Credit Rating</t>
  </si>
  <si>
    <t>S&amp;P</t>
  </si>
  <si>
    <t>Moody's</t>
  </si>
  <si>
    <t>[ ]</t>
  </si>
  <si>
    <t>Revolver Size</t>
  </si>
  <si>
    <t>Balance Sheet Cash</t>
  </si>
  <si>
    <t>Net Capitalization</t>
  </si>
  <si>
    <t>Date &amp; Calendarization Adjustments</t>
  </si>
  <si>
    <t>[ Source ]</t>
  </si>
  <si>
    <t>FYE Date</t>
  </si>
  <si>
    <t>LTG Rate</t>
  </si>
  <si>
    <t>Restricted Stock Units</t>
  </si>
  <si>
    <t>Last FY</t>
  </si>
  <si>
    <t>Co. Name</t>
  </si>
  <si>
    <t>Effect of Exchange Rates on Cash &amp; Cash Equivalents</t>
  </si>
  <si>
    <t xml:space="preserve">Non-Recurring Items </t>
  </si>
  <si>
    <t>Enter Charges as Positive</t>
  </si>
  <si>
    <t>Repurchased Shares</t>
  </si>
  <si>
    <t>Ending Shares</t>
  </si>
  <si>
    <t>Timing</t>
  </si>
  <si>
    <t>CAGR = Compounded Annual Growth Rate.</t>
  </si>
  <si>
    <t>Repurchase Premium</t>
  </si>
  <si>
    <t>[ a Case 2 ]</t>
  </si>
  <si>
    <t>[ a Case 3 ]</t>
  </si>
  <si>
    <t>[ a Case 4 ]</t>
  </si>
  <si>
    <t>[ a Case 5 ]</t>
  </si>
  <si>
    <t>Net Change in Cash</t>
  </si>
  <si>
    <t>Adjusted for Non-Recurring Items</t>
  </si>
  <si>
    <t>Adjusted EBITDA</t>
  </si>
  <si>
    <t>Total Non-Recurrings Before Tax</t>
  </si>
  <si>
    <t>Short-Term Debt and Curr. Portion of Long-Term Debt</t>
  </si>
  <si>
    <t>Capitalization and Leverage Statistics</t>
  </si>
  <si>
    <t>Undrawn Revolver Fee</t>
  </si>
  <si>
    <t>LIBOR Curve</t>
  </si>
  <si>
    <t>Beginning</t>
  </si>
  <si>
    <t>Middle</t>
  </si>
  <si>
    <t>End</t>
  </si>
  <si>
    <t>Average</t>
  </si>
  <si>
    <t>Effective Interest Rates</t>
  </si>
  <si>
    <t>LIBOR Rates</t>
  </si>
  <si>
    <t>Margin</t>
  </si>
  <si>
    <t>Floor</t>
  </si>
  <si>
    <t>LIBOR</t>
  </si>
  <si>
    <t>L</t>
  </si>
  <si>
    <t>F</t>
  </si>
  <si>
    <t>Fixed /</t>
  </si>
  <si>
    <t>Fixed Rate</t>
  </si>
  <si>
    <t>Interest Rate Calculation</t>
  </si>
  <si>
    <t>Total Share Repurchases (Enter as Positive)</t>
  </si>
  <si>
    <t>Shares Issued</t>
  </si>
  <si>
    <t>Beginning Basic Shares Outstanding</t>
  </si>
  <si>
    <t>Beginning Diluted Shares Outstanding</t>
  </si>
  <si>
    <t>Basic Weighted Average Shares</t>
  </si>
  <si>
    <t>Inputs</t>
  </si>
  <si>
    <t>Consensus Street Estimates</t>
  </si>
  <si>
    <t>Shares Sold Short</t>
  </si>
  <si>
    <t>Short Int. as % of Shares Out.</t>
  </si>
  <si>
    <t>Taxes</t>
  </si>
  <si>
    <t>Income Tax Rate</t>
  </si>
  <si>
    <t>Dividends</t>
  </si>
  <si>
    <t>Projected Stock Price at Forward P/E Multiple:</t>
  </si>
  <si>
    <t>Other Investing Activities</t>
  </si>
  <si>
    <t xml:space="preserve">Depreciation </t>
  </si>
  <si>
    <t>Ticker</t>
  </si>
  <si>
    <t>Exchange</t>
  </si>
  <si>
    <t>Financial Information</t>
  </si>
  <si>
    <t>Average Daily Volume (3 Mo.)</t>
  </si>
  <si>
    <t>GAAP Financials</t>
  </si>
  <si>
    <t>(Adjusted) Margins</t>
  </si>
  <si>
    <t>(Adjusted) Growth Rates</t>
  </si>
  <si>
    <t>Tax Effect of Non-Recurrings</t>
  </si>
  <si>
    <t>&lt;-- Includes Min. Int. and Pref. Stock -- For EV calculations only -- Not for leverage calculations</t>
  </si>
  <si>
    <t>Long-Term EPS Growth (a)</t>
  </si>
  <si>
    <t xml:space="preserve">  Shares Date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</si>
  <si>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</si>
  <si>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</si>
  <si>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</si>
  <si>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</si>
  <si>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</si>
  <si>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</si>
  <si>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</si>
  <si>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</si>
  <si>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</si>
  <si>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</si>
  <si>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COLE</t>
  </si>
  <si>
    <t>NASDAQ</t>
  </si>
  <si>
    <t>BBB</t>
  </si>
  <si>
    <t>Baa2</t>
  </si>
  <si>
    <t>Severance Costs</t>
  </si>
  <si>
    <t>Stock Based Compensation</t>
  </si>
  <si>
    <t>Shareholder A</t>
  </si>
  <si>
    <t>Wall street consensus</t>
  </si>
  <si>
    <t>Research Provider</t>
  </si>
  <si>
    <t>% Growth</t>
  </si>
  <si>
    <t>LTM Net Income</t>
  </si>
  <si>
    <t>Loans / Deposits</t>
  </si>
  <si>
    <t>Equity / Total Capitalization</t>
  </si>
  <si>
    <t>P/TBV Ratio</t>
  </si>
  <si>
    <t>Debt / EBITDA</t>
  </si>
  <si>
    <t>Loans Receivable, Net</t>
  </si>
  <si>
    <t>Deposits</t>
  </si>
  <si>
    <t>Net Interest Income</t>
  </si>
  <si>
    <t>Provision for Loan Losses</t>
  </si>
  <si>
    <t>Net Interest Income after Provision for Loan Losses</t>
  </si>
  <si>
    <t>Other Income</t>
  </si>
  <si>
    <t>Operating Expenses</t>
  </si>
  <si>
    <t>Number of Branches</t>
  </si>
  <si>
    <t>Net Interest Income Margin</t>
  </si>
  <si>
    <t>Non-Recurrings Affecting Net Interest Income ("NIM")</t>
  </si>
  <si>
    <t>Loan Adjustment</t>
  </si>
  <si>
    <t>Non-Recurrings Affecting Operating Expenses</t>
  </si>
  <si>
    <t>Other Cash Flow Items</t>
  </si>
  <si>
    <t>Deferred tax (benefit) provision</t>
  </si>
  <si>
    <t>Interest and Dividends Receivable</t>
  </si>
  <si>
    <t>(Decrease) Increase in Deposits</t>
  </si>
  <si>
    <t>Increase (decrease) in short-term borrowings</t>
  </si>
  <si>
    <t>Net proceeds from issuance of subordinated notes</t>
  </si>
  <si>
    <t>Exercise of stock options</t>
  </si>
  <si>
    <t>Purchase of treasury stock</t>
  </si>
  <si>
    <t>Acquisition of common stock by ESOP</t>
  </si>
  <si>
    <t>Dividends Paid</t>
  </si>
  <si>
    <t>Change in interest and dividends receivable</t>
  </si>
  <si>
    <t>Change in Loans Receivable, Net</t>
  </si>
  <si>
    <t>Other Financing Activities</t>
  </si>
  <si>
    <t>Merger Expenses</t>
  </si>
  <si>
    <t>COLEMAN BANK</t>
  </si>
  <si>
    <t>OpEx Margin</t>
  </si>
  <si>
    <t>% Yield</t>
  </si>
  <si>
    <t>Loans/Deposit Ratio</t>
  </si>
  <si>
    <t>Receivable Days</t>
  </si>
  <si>
    <t>Changes in Interest and Dividends Receivable</t>
  </si>
  <si>
    <t>Change in Deposits</t>
  </si>
  <si>
    <t>Federal Home Loan Advances</t>
  </si>
  <si>
    <t>Repurchase Agreement Loans</t>
  </si>
  <si>
    <t>Deposit Interest Expense</t>
  </si>
  <si>
    <t>Interest Income Growth</t>
  </si>
  <si>
    <t>Loss Provision %</t>
  </si>
  <si>
    <t>% Cost of Deposits</t>
  </si>
  <si>
    <t>Equity / Total Assets</t>
  </si>
  <si>
    <t>Debt / Equity Ratio</t>
  </si>
  <si>
    <t>Return on Tangible Equity</t>
  </si>
  <si>
    <t>Return on Equity</t>
  </si>
  <si>
    <t>Return on Assets</t>
  </si>
  <si>
    <t>Financial Ratios, Capitalization and Leverage Statistics</t>
  </si>
  <si>
    <t>Shares Outstanding (b)</t>
  </si>
  <si>
    <t>Option Equivalent Shares (c)</t>
  </si>
  <si>
    <t>Beneficial Ownership by Category (d)</t>
  </si>
  <si>
    <t>Tangible Book Value (i.e. Tier I Capital)</t>
  </si>
  <si>
    <t>Tier I Capital Ratio (TBV to Total Assets)</t>
  </si>
  <si>
    <t>Core Tier I Equity Ratio</t>
  </si>
  <si>
    <t>Operating Income</t>
  </si>
  <si>
    <t>Non-Recurrings Affecting Other Above Operating Income</t>
  </si>
  <si>
    <t>Non-Recurrings Affecting Other Below Operating Income</t>
  </si>
  <si>
    <r>
      <t xml:space="preserve">Total Non-Recurrings </t>
    </r>
    <r>
      <rPr>
        <u/>
        <sz val="10"/>
        <rFont val="Arial Narrow"/>
        <family val="2"/>
      </rPr>
      <t>Below</t>
    </r>
    <r>
      <rPr>
        <sz val="10"/>
        <rFont val="Arial Narrow"/>
        <family val="2"/>
      </rPr>
      <t xml:space="preserve"> Operating Income</t>
    </r>
  </si>
  <si>
    <r>
      <t xml:space="preserve">Total Non-Recurrings </t>
    </r>
    <r>
      <rPr>
        <u/>
        <sz val="10"/>
        <rFont val="Arial Narrow"/>
        <family val="2"/>
      </rPr>
      <t>Above</t>
    </r>
    <r>
      <rPr>
        <sz val="10"/>
        <rFont val="Arial Narrow"/>
        <family val="2"/>
      </rPr>
      <t xml:space="preserve"> Operating Income</t>
    </r>
  </si>
  <si>
    <t>Spread Cover</t>
  </si>
  <si>
    <t>Financial Forecast</t>
  </si>
  <si>
    <t>Dividend Discount Model</t>
  </si>
  <si>
    <t>Project FIG Model</t>
  </si>
  <si>
    <t>Implied Dividend</t>
  </si>
  <si>
    <t>Discount Rate</t>
  </si>
  <si>
    <t>Discount Factor</t>
  </si>
  <si>
    <t>Terminal Value</t>
  </si>
  <si>
    <t>Price / Book Value</t>
  </si>
  <si>
    <t>Terminal Book Value</t>
  </si>
  <si>
    <t>Total Value Stream</t>
  </si>
  <si>
    <t>Net Present Value</t>
  </si>
  <si>
    <t>Fully Diluted Shares Outstanding</t>
  </si>
  <si>
    <t>Implied Share Price</t>
  </si>
  <si>
    <t>Note: Discounted to December 31, 2019.</t>
  </si>
  <si>
    <t>Assumed Payout Ratio</t>
  </si>
  <si>
    <t>% Gain (Loss) over Market Price</t>
  </si>
  <si>
    <t>Company Information</t>
  </si>
  <si>
    <t>Bank Financial Model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</si>
</sst>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1">
    <numFmt numFmtId="43" formatCode="_-* #,##0.00_-;\-* #,##0.00_-;_-* &quot;-&quot;??_-;_-@_-"/>
    <numFmt numFmtId="164" formatCode="&quot;$&quot;#,##0.00_);\(&quot;$&quot;#,##0.00\)"/>
    <numFmt numFmtId="165" formatCode="&quot;$&quot;#,##0.00_);[Red]\(&quot;$&quot;#,##0.00\)"/>
    <numFmt numFmtId="166" formatCode="_(* #,##0_);_(* \(#,##0\);_(* &quot;-&quot;_);_(@_)"/>
    <numFmt numFmtId="167" formatCode="_(* #,##0.00_);_(* \(#,##0.00\);_(* &quot;-&quot;??_);_(@_)"/>
    <numFmt numFmtId="168" formatCode="0.0%_);[Red]\(0.0%\)"/>
    <numFmt numFmtId="169" formatCode="0.0%"/>
    <numFmt numFmtId="170" formatCode="0.000\ \x"/>
    <numFmt numFmtId="171" formatCode="&quot;$&quot;#,##0.0_);[Red]\(&quot;$&quot;#,##0.0\)"/>
    <numFmt numFmtId="172" formatCode="#,##0.0_);[Red]\(#,##0.0\)"/>
    <numFmt numFmtId="173" formatCode="0.0\ \x"/>
    <numFmt numFmtId="174" formatCode="0_);[Red]\(0\)"/>
    <numFmt numFmtId="175" formatCode="0.0%\ ;\(0.0%\)"/>
    <numFmt numFmtId="176" formatCode="#,##0.0;[Red]\(#,##0.0\)"/>
    <numFmt numFmtId="177" formatCode="0.00_);\(0.00\)"/>
    <numFmt numFmtId="178" formatCode="&quot;$&quot;#,##0.0_);\(&quot;$&quot;#,##0.0\)"/>
    <numFmt numFmtId="179" formatCode="#,##0.0_);\(#,##0.0\)"/>
    <numFmt numFmtId="180" formatCode="0.0%_);\(0.0%\)"/>
    <numFmt numFmtId="181" formatCode="#,##0.000\ ;\(#,##0.000\)"/>
    <numFmt numFmtId="182" formatCode="0.0%;\(0.0%\)"/>
    <numFmt numFmtId="183" formatCode="_(* #,##0.0\ \ _);_(* \(#,##0.0\ \ \ ;_(* &quot;-&quot;??_);_(@_)"/>
    <numFmt numFmtId="184" formatCode="#,##0.0\ "/>
    <numFmt numFmtId="185" formatCode="_$&quot;$&quot;#,##0.00_);[Red]_$\(&quot;$&quot;#,##0.00\);_$&quot;$&quot;0.00_);_$@_)"/>
    <numFmt numFmtId="186" formatCode="_(&quot;$&quot;* #,##0.0_);_(&quot;$&quot;* \(#,##0.0\);_(&quot;$&quot;* &quot;-&quot;?_);_(@_)"/>
    <numFmt numFmtId="187" formatCode="mmmm\ d\,\ yyyy"/>
    <numFmt numFmtId="188" formatCode="_(* #,##0.0_%_);_(* \(#,##0.0_%\);_(* &quot; - &quot;_%_);_(@_)"/>
    <numFmt numFmtId="189" formatCode="_(* #,##0.0%_);_(* \(#,##0.0%\);_(* &quot; - &quot;\%_);_(@_)"/>
    <numFmt numFmtId="190" formatCode="_(* #,##0_);_(* \(#,##0\);_(* &quot; - &quot;_);_(@_)"/>
    <numFmt numFmtId="191" formatCode="_(* #,##0.0_);_(* \(#,##0.0\);_(* &quot; - &quot;_);_(@_)"/>
    <numFmt numFmtId="192" formatCode="_(* #,##0.00_);_(* \(#,##0.00\);_(* &quot; - &quot;_);_(@_)"/>
    <numFmt numFmtId="193" formatCode="_(* #,##0.000_);_(* \(#,##0.000\);_(* &quot; - &quot;_);_(@_)"/>
    <numFmt numFmtId="194" formatCode="#,##0;\(#,##0\);&quot;-&quot;"/>
    <numFmt numFmtId="195" formatCode="mmmm\ d\,"/>
    <numFmt numFmtId="196" formatCode="0.0\ \x;\(0.0\ \x\)"/>
    <numFmt numFmtId="197" formatCode="[White]General;[White]General;[White]General;[White]General"/>
    <numFmt numFmtId="198" formatCode="&quot;x&quot;;&quot;x&quot;;&quot;x&quot;;&quot;x&quot;"/>
    <numFmt numFmtId="199" formatCode="0.00_)"/>
    <numFmt numFmtId="200" formatCode="0000"/>
    <numFmt numFmtId="201" formatCode="000000"/>
    <numFmt numFmtId="202" formatCode="hh:mm:ss"/>
    <numFmt numFmtId="203" formatCode="&quot;$&quot;#,##0;&quot;$&quot;\(#,##0"/>
    <numFmt numFmtId="204" formatCode="0.000_);\(0.000\)"/>
    <numFmt numFmtId="205" formatCode="#,##0;\(#,##0"/>
    <numFmt numFmtId="206" formatCode="&quot;$&quot;#,##0.00;&quot;$&quot;\(#,##0.00"/>
    <numFmt numFmtId="207" formatCode="#,##0.0_);\(#,##0.0\);&quot;-&quot;_);@_)"/>
    <numFmt numFmtId="208" formatCode="&quot;$&quot;#,##0.00_);\(&quot;$&quot;#,##0.00\);&quot;-&quot;_);@_)"/>
    <numFmt numFmtId="209" formatCode="&quot;$&quot;#,##0.0_);\(&quot;$&quot;#,##0.0\);&quot;--&quot;_);@_)"/>
    <numFmt numFmtId="210" formatCode="&quot;$&quot;#,##0.00_);\(&quot;$&quot;#,##0.00\);&quot;--&quot;_);@_)"/>
    <numFmt numFmtId="211" formatCode="#,##0.0_);\(#,##0.0\);&quot;--&quot;_);@_)"/>
    <numFmt numFmtId="212" formatCode="0.0%_);\(0.0%\);&quot;--&quot;_%_)"/>
    <numFmt numFmtId="213" formatCode="#,##0.00_);\(#,##0.00\);&quot;--&quot;_);@_)"/>
    <numFmt numFmtId="214" formatCode="#,##0.0%_);\(#,##0.0%\);&quot;-&quot;_%_);@_%_)"/>
    <numFmt numFmtId="215" formatCode="m/d/yy;@"/>
    <numFmt numFmtId="216" formatCode="#,##0_);\(#,##0\);&quot;--&quot;_);@_)"/>
    <numFmt numFmtId="217" formatCode="[$-409]mmm\-yy;@"/>
    <numFmt numFmtId="218" formatCode="#,##0.0%_);\(#,##0.0%\);&quot;--&quot;_%_);@_%_)"/>
    <numFmt numFmtId="219" formatCode="m/d/yy\ h:mm;@"/>
    <numFmt numFmtId="220" formatCode="0000&quot;A&quot;_)"/>
    <numFmt numFmtId="221" formatCode="0000&quot;E&quot;_)"/>
    <numFmt numFmtId="222" formatCode="0000&quot;P&quot;_)"/>
    <numFmt numFmtId="223" formatCode="#,##0.00%_);\(#,##0.00%\);&quot;--&quot;_%_);@_%_)"/>
    <numFmt numFmtId="224" formatCode="0000&quot;E&quot;"/>
    <numFmt numFmtId="225" formatCode="0000&quot;P&quot;"/>
    <numFmt numFmtId="226" formatCode="0.0\ \x_);\(0.0\ \x\);&quot;--&quot;_ _x_);@_ _x_)"/>
    <numFmt numFmtId="227" formatCode="0.000"/>
    <numFmt numFmtId="228" formatCode="0000&quot;A&quot;"/>
    <numFmt numFmtId="229" formatCode="mmm\-yy_)"/>
    <numFmt numFmtId="230" formatCode="#,##0.00000000000000"/>
    <numFmt numFmtId="231" formatCode="0.00000000000000"/>
    <numFmt numFmtId="232" formatCode="0&quot; bps&quot;"/>
    <numFmt numFmtId="233" formatCode="_(* #,##0_);_(* \(#,##0\);_(* &quot;-&quot;??_);_(@_)"/>
  </numFmts>
  <fonts count="93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6"/>
      <name val="Arial"/>
      <family val="2"/>
    </font>
    <font>
      <sz val="10"/>
      <name val="Times New Roman"/>
      <family val="1"/>
    </font>
    <font>
      <sz val="11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b/>
      <u val="singleAccounting"/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u val="double"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10"/>
      <name val="Wingdings"/>
      <charset val="2"/>
    </font>
    <font>
      <sz val="8"/>
      <color indexed="9"/>
      <name val="Arial"/>
      <family val="2"/>
    </font>
    <font>
      <sz val="8"/>
      <color indexed="9"/>
      <name val="Geneva"/>
      <family val="2"/>
    </font>
    <font>
      <sz val="12"/>
      <color indexed="9"/>
      <name val="Arial"/>
      <family val="2"/>
    </font>
    <font>
      <sz val="8"/>
      <name val="Helv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i/>
      <sz val="16"/>
      <color indexed="9"/>
      <name val="Helvetica"/>
      <family val="2"/>
    </font>
    <font>
      <b/>
      <sz val="10"/>
      <color indexed="9"/>
      <name val="MS Sans Serif"/>
      <family val="2"/>
    </font>
    <font>
      <sz val="11"/>
      <name val="Times New Roman"/>
      <family val="1"/>
    </font>
    <font>
      <b/>
      <sz val="8"/>
      <color indexed="9"/>
      <name val="Times"/>
      <family val="1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10"/>
      <color indexed="12"/>
      <name val="Arial Narrow"/>
      <family val="2"/>
    </font>
    <font>
      <sz val="10"/>
      <color indexed="11"/>
      <name val="Arial Narrow"/>
      <family val="2"/>
    </font>
    <font>
      <sz val="10"/>
      <name val="Arial Narrow"/>
      <family val="2"/>
    </font>
    <font>
      <b/>
      <sz val="10"/>
      <color indexed="12"/>
      <name val="Arial Narrow"/>
      <family val="2"/>
    </font>
    <font>
      <b/>
      <sz val="12"/>
      <color indexed="9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i/>
      <sz val="10"/>
      <name val="Arial Narrow"/>
      <family val="2"/>
    </font>
    <font>
      <u/>
      <sz val="10"/>
      <name val="Arial Narrow"/>
      <family val="2"/>
    </font>
    <font>
      <sz val="10"/>
      <color rgb="FF00B050"/>
      <name val="Arial Narrow"/>
      <family val="2"/>
    </font>
    <font>
      <sz val="10"/>
      <color indexed="8"/>
      <name val="Arial Narrow"/>
      <family val="2"/>
    </font>
    <font>
      <sz val="8"/>
      <name val="Arial Narrow"/>
      <family val="2"/>
    </font>
    <font>
      <sz val="8.25"/>
      <name val="Arial Narrow"/>
      <family val="2"/>
    </font>
    <font>
      <sz val="8.25"/>
      <color indexed="12"/>
      <name val="Arial Narrow"/>
      <family val="2"/>
    </font>
    <font>
      <sz val="18"/>
      <color rgb="FF00B050"/>
      <name val="Arial Narrow"/>
      <family val="2"/>
    </font>
    <font>
      <b/>
      <sz val="14"/>
      <color theme="0"/>
      <name val="Arial Narrow"/>
      <family val="2"/>
    </font>
    <font>
      <sz val="10"/>
      <color theme="0"/>
      <name val="Arial Narrow"/>
      <family val="2"/>
    </font>
    <font>
      <sz val="7"/>
      <color theme="0"/>
      <name val="Arial Narrow"/>
      <family val="2"/>
    </font>
    <font>
      <i/>
      <sz val="10"/>
      <color indexed="12"/>
      <name val="Arial Narrow"/>
      <family val="2"/>
    </font>
    <font>
      <sz val="10"/>
      <color indexed="14"/>
      <name val="Arial Narrow"/>
      <family val="2"/>
    </font>
    <font>
      <sz val="8"/>
      <color rgb="FF00B050"/>
      <name val="Arial Narrow"/>
      <family val="2"/>
    </font>
    <font>
      <sz val="8"/>
      <color indexed="12"/>
      <name val="Arial Narrow"/>
      <family val="2"/>
    </font>
    <font>
      <b/>
      <sz val="10"/>
      <color rgb="FFC00000"/>
      <name val="Arial Narrow"/>
      <family val="2"/>
    </font>
    <font>
      <i/>
      <sz val="8"/>
      <name val="Arial Narrow"/>
      <family val="2"/>
    </font>
    <font>
      <b/>
      <sz val="10"/>
      <color theme="1"/>
      <name val="Arial Narrow"/>
      <family val="2"/>
    </font>
    <font>
      <b/>
      <sz val="16"/>
      <color theme="0"/>
      <name val="Arial Narrow"/>
      <family val="2"/>
    </font>
    <font>
      <i/>
      <sz val="10"/>
      <color rgb="FF00B050"/>
      <name val="Arial Narrow"/>
      <family val="2"/>
    </font>
    <font>
      <b/>
      <sz val="10"/>
      <color indexed="8"/>
      <name val="Arial Narrow"/>
      <family val="2"/>
    </font>
    <font>
      <sz val="10"/>
      <color indexed="9"/>
      <name val="Arial Narrow"/>
      <family val="2"/>
    </font>
    <font>
      <b/>
      <sz val="12"/>
      <name val="Arial Narrow"/>
      <family val="2"/>
    </font>
    <font>
      <b/>
      <i/>
      <sz val="10"/>
      <name val="Arial Narrow"/>
      <family val="2"/>
    </font>
    <font>
      <sz val="14"/>
      <name val="Arial Narrow"/>
      <family val="2"/>
    </font>
    <font>
      <sz val="14"/>
      <color theme="0"/>
      <name val="Arial Narrow"/>
      <family val="2"/>
    </font>
    <font>
      <b/>
      <u/>
      <sz val="10"/>
      <name val="Arial Narrow"/>
      <family val="2"/>
    </font>
    <font>
      <u/>
      <sz val="10"/>
      <color indexed="14"/>
      <name val="Arial Narrow"/>
      <family val="2"/>
    </font>
    <font>
      <b/>
      <sz val="12"/>
      <color theme="0"/>
      <name val="Arial Narrow"/>
      <family val="2"/>
    </font>
    <font>
      <sz val="18"/>
      <color indexed="14"/>
      <name val="Arial Narrow"/>
      <family val="2"/>
    </font>
    <font>
      <b/>
      <sz val="11"/>
      <color theme="1"/>
      <name val="Arial Narrow"/>
      <family val="2"/>
    </font>
    <font>
      <sz val="10"/>
      <color indexed="13"/>
      <name val="Arial Narrow"/>
      <family val="2"/>
    </font>
    <font>
      <b/>
      <i/>
      <sz val="18"/>
      <color rgb="FFFF0000"/>
      <name val="Arial Narrow"/>
      <family val="2"/>
    </font>
    <font>
      <b/>
      <sz val="10"/>
      <color indexed="17"/>
      <name val="Arial Narrow"/>
      <family val="2"/>
    </font>
    <font>
      <sz val="16"/>
      <color rgb="FF00B050"/>
      <name val="Arial Narrow"/>
      <family val="2"/>
    </font>
    <font>
      <sz val="7"/>
      <color rgb="FF00B050"/>
      <name val="Arial Narrow"/>
      <family val="2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u/>
      <sz val="10"/>
      <color theme="10"/>
      <name val="Arial"/>
      <family val="2"/>
    </font>
    <font>
      <u/>
      <sz val="10"/>
      <color rgb="FF132E57"/>
      <name val="Arial"/>
      <family val="2"/>
    </font>
    <font>
      <u/>
      <sz val="10"/>
      <color theme="1"/>
      <name val="Arial"/>
      <family val="2"/>
    </font>
    <font>
      <sz val="11"/>
      <color theme="0"/>
      <name val="Arial Narrow"/>
      <family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sz val="18"/>
      <color indexed="12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ED9423"/>
        <bgColor indexed="64"/>
      </patternFill>
    </fill>
    <fill>
      <patternFill patternType="solid">
        <fgColor rgb="FFED942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/>
      <right style="thin">
        <color indexed="18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/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theme="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9">
    <xf numFmtId="0" fontId="0" fillId="0" borderId="0" applyNumberFormat="0" applyFont="0" applyFill="0" applyBorder="0" applyAlignment="0" applyProtection="0"/>
    <xf numFmtId="178" fontId="6" fillId="0" borderId="0">
      <alignment horizontal="right"/>
    </xf>
    <xf numFmtId="164" fontId="6" fillId="0" borderId="0">
      <alignment horizontal="right"/>
    </xf>
    <xf numFmtId="0" fontId="3" fillId="0" borderId="0" applyNumberFormat="0" applyFont="0" applyFill="0" applyBorder="0" applyAlignment="0" applyProtection="0"/>
    <xf numFmtId="200" fontId="17" fillId="0" borderId="0">
      <alignment horizontal="left"/>
    </xf>
    <xf numFmtId="201" fontId="18" fillId="0" borderId="0">
      <alignment horizontal="left"/>
    </xf>
    <xf numFmtId="183" fontId="3" fillId="0" borderId="1" applyFont="0" applyFill="0" applyBorder="0" applyAlignment="0" applyProtection="0"/>
    <xf numFmtId="184" fontId="3" fillId="0" borderId="0" applyFont="0" applyFill="0" applyBorder="0" applyAlignment="0" applyProtection="0">
      <alignment horizontal="center"/>
    </xf>
    <xf numFmtId="202" fontId="19" fillId="0" borderId="0"/>
    <xf numFmtId="185" fontId="3" fillId="0" borderId="0"/>
    <xf numFmtId="0" fontId="6" fillId="0" borderId="2" applyBorder="0">
      <alignment horizontal="centerContinuous"/>
    </xf>
    <xf numFmtId="167" fontId="2" fillId="0" borderId="0" applyFont="0" applyFill="0" applyBorder="0" applyAlignment="0" applyProtection="0"/>
    <xf numFmtId="172" fontId="3" fillId="0" borderId="0" applyFill="0" applyBorder="0" applyAlignment="0" applyProtection="0"/>
    <xf numFmtId="174" fontId="3" fillId="0" borderId="0" applyFont="0" applyFill="0" applyBorder="0" applyAlignment="0" applyProtection="0">
      <protection locked="0"/>
    </xf>
    <xf numFmtId="186" fontId="7" fillId="0" borderId="0"/>
    <xf numFmtId="203" fontId="20" fillId="0" borderId="0" applyFill="0" applyBorder="0">
      <alignment horizontal="right"/>
    </xf>
    <xf numFmtId="177" fontId="20" fillId="0" borderId="0" applyFill="0" applyBorder="0">
      <alignment horizontal="right"/>
    </xf>
    <xf numFmtId="206" fontId="20" fillId="0" borderId="2" applyFill="0" applyBorder="0">
      <alignment horizontal="right"/>
    </xf>
    <xf numFmtId="187" fontId="6" fillId="0" borderId="3">
      <alignment horizontal="centerContinuous"/>
    </xf>
    <xf numFmtId="171" fontId="7" fillId="0" borderId="0"/>
    <xf numFmtId="164" fontId="3" fillId="0" borderId="4" applyFont="0" applyFill="0" applyBorder="0" applyAlignment="0" applyProtection="0"/>
    <xf numFmtId="170" fontId="6" fillId="0" borderId="5"/>
    <xf numFmtId="188" fontId="8" fillId="0" borderId="0">
      <alignment horizontal="right" vertical="top"/>
    </xf>
    <xf numFmtId="189" fontId="9" fillId="0" borderId="0">
      <alignment horizontal="right" vertical="top"/>
    </xf>
    <xf numFmtId="189" fontId="8" fillId="0" borderId="0">
      <alignment horizontal="right" vertical="top"/>
    </xf>
    <xf numFmtId="190" fontId="3" fillId="0" borderId="0" applyFill="0" applyBorder="0">
      <alignment horizontal="right" vertical="top"/>
    </xf>
    <xf numFmtId="191" fontId="3" fillId="0" borderId="0" applyFill="0" applyBorder="0">
      <alignment horizontal="right" vertical="top"/>
    </xf>
    <xf numFmtId="192" fontId="3" fillId="0" borderId="0" applyFill="0" applyBorder="0">
      <alignment horizontal="right" vertical="top"/>
    </xf>
    <xf numFmtId="193" fontId="3" fillId="0" borderId="0" applyFill="0" applyBorder="0">
      <alignment horizontal="right" vertical="top"/>
    </xf>
    <xf numFmtId="0" fontId="10" fillId="0" borderId="0">
      <alignment horizontal="center" wrapText="1"/>
    </xf>
    <xf numFmtId="194" fontId="11" fillId="0" borderId="0" applyFill="0" applyBorder="0">
      <alignment vertical="top"/>
    </xf>
    <xf numFmtId="194" fontId="12" fillId="0" borderId="0" applyFill="0" applyBorder="0" applyProtection="0">
      <alignment vertical="top"/>
    </xf>
    <xf numFmtId="194" fontId="13" fillId="0" borderId="0">
      <alignment vertical="top"/>
    </xf>
    <xf numFmtId="166" fontId="3" fillId="0" borderId="0" applyFill="0" applyBorder="0" applyAlignment="0" applyProtection="0">
      <alignment horizontal="right" vertical="top"/>
    </xf>
    <xf numFmtId="194" fontId="5" fillId="0" borderId="0"/>
    <xf numFmtId="0" fontId="3" fillId="0" borderId="0" applyFill="0" applyBorder="0">
      <alignment horizontal="left" vertical="top"/>
    </xf>
    <xf numFmtId="0" fontId="17" fillId="2" borderId="0"/>
    <xf numFmtId="0" fontId="21" fillId="0" borderId="0">
      <alignment horizontal="right"/>
    </xf>
    <xf numFmtId="0" fontId="22" fillId="0" borderId="6"/>
    <xf numFmtId="0" fontId="22" fillId="0" borderId="4">
      <alignment horizontal="left" vertical="center"/>
    </xf>
    <xf numFmtId="179" fontId="4" fillId="0" borderId="0" applyFill="0" applyBorder="0" applyAlignment="0" applyProtection="0"/>
    <xf numFmtId="0" fontId="17" fillId="3" borderId="0"/>
    <xf numFmtId="37" fontId="4" fillId="0" borderId="0"/>
    <xf numFmtId="195" fontId="6" fillId="0" borderId="0"/>
    <xf numFmtId="196" fontId="6" fillId="0" borderId="0"/>
    <xf numFmtId="199" fontId="23" fillId="0" borderId="0"/>
    <xf numFmtId="205" fontId="20" fillId="0" borderId="0" applyFill="0" applyBorder="0">
      <alignment horizontal="right"/>
    </xf>
    <xf numFmtId="204" fontId="20" fillId="0" borderId="0" applyFill="0">
      <alignment horizontal="right"/>
    </xf>
    <xf numFmtId="177" fontId="20" fillId="0" borderId="0" applyFill="0" applyBorder="0">
      <alignment horizontal="right"/>
    </xf>
    <xf numFmtId="169" fontId="19" fillId="0" borderId="0"/>
    <xf numFmtId="10" fontId="19" fillId="0" borderId="0"/>
    <xf numFmtId="0" fontId="19" fillId="0" borderId="0"/>
    <xf numFmtId="15" fontId="19" fillId="0" borderId="0"/>
    <xf numFmtId="4" fontId="19" fillId="0" borderId="0"/>
    <xf numFmtId="0" fontId="24" fillId="0" borderId="7">
      <alignment horizontal="center"/>
    </xf>
    <xf numFmtId="3" fontId="19" fillId="0" borderId="0"/>
    <xf numFmtId="0" fontId="19" fillId="0" borderId="0"/>
    <xf numFmtId="179" fontId="6" fillId="0" borderId="0">
      <alignment horizontal="right"/>
    </xf>
    <xf numFmtId="14" fontId="6" fillId="0" borderId="3">
      <alignment horizontal="centerContinuous"/>
    </xf>
    <xf numFmtId="0" fontId="25" fillId="0" borderId="0">
      <alignment horizontal="left"/>
    </xf>
    <xf numFmtId="0" fontId="12" fillId="0" borderId="0">
      <alignment horizontal="centerContinuous"/>
    </xf>
    <xf numFmtId="0" fontId="26" fillId="0" borderId="0"/>
    <xf numFmtId="0" fontId="14" fillId="0" borderId="0">
      <alignment horizontal="fill"/>
    </xf>
    <xf numFmtId="0" fontId="15" fillId="0" borderId="0"/>
    <xf numFmtId="197" fontId="15" fillId="0" borderId="0"/>
    <xf numFmtId="198" fontId="16" fillId="4" borderId="0">
      <alignment horizontal="center"/>
    </xf>
    <xf numFmtId="0" fontId="29" fillId="0" borderId="0"/>
    <xf numFmtId="0" fontId="1" fillId="0" borderId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9" fillId="0" borderId="0" applyAlignment="0"/>
    <xf numFmtId="0" fontId="80" fillId="0" borderId="0" applyAlignment="0"/>
    <xf numFmtId="0" fontId="81" fillId="12" borderId="0" applyAlignment="0"/>
    <xf numFmtId="43" fontId="1" fillId="0" borderId="0" applyFont="0" applyFill="0" applyBorder="0" applyAlignment="0" applyProtection="0"/>
    <xf numFmtId="167" fontId="73" fillId="0" borderId="0" applyFont="0" applyFill="0" applyBorder="0" applyAlignment="0" applyProtection="0"/>
    <xf numFmtId="0" fontId="82" fillId="0" borderId="0" applyAlignment="0"/>
    <xf numFmtId="0" fontId="83" fillId="13" borderId="0" applyAlignment="0"/>
    <xf numFmtId="0" fontId="84" fillId="14" borderId="0" applyAlignment="0"/>
    <xf numFmtId="0" fontId="85" fillId="0" borderId="0" applyAlignment="0"/>
    <xf numFmtId="0" fontId="73" fillId="0" borderId="0"/>
    <xf numFmtId="9" fontId="1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86" fillId="6" borderId="0" applyAlignment="0"/>
    <xf numFmtId="0" fontId="87" fillId="0" borderId="0" applyAlignment="0"/>
    <xf numFmtId="0" fontId="88" fillId="0" borderId="0" applyAlignment="0"/>
    <xf numFmtId="0" fontId="89" fillId="0" borderId="0" applyAlignment="0"/>
    <xf numFmtId="0" fontId="90" fillId="0" borderId="0" applyAlignment="0"/>
    <xf numFmtId="0" fontId="15" fillId="0" borderId="0" applyAlignment="0"/>
    <xf numFmtId="0" fontId="91" fillId="0" borderId="0" applyAlignment="0"/>
  </cellStyleXfs>
  <cellXfs count="481">
    <xf numFmtId="0" fontId="0" fillId="0" borderId="0" xfId="0"/>
    <xf numFmtId="0" fontId="30" fillId="0" borderId="0" xfId="3" applyFont="1"/>
    <xf numFmtId="0" fontId="31" fillId="0" borderId="0" xfId="3" applyFont="1" applyBorder="1"/>
    <xf numFmtId="0" fontId="32" fillId="0" borderId="0" xfId="3" applyFont="1"/>
    <xf numFmtId="0" fontId="32" fillId="0" borderId="0" xfId="3" applyFont="1" applyBorder="1"/>
    <xf numFmtId="0" fontId="32" fillId="0" borderId="7" xfId="3" applyFont="1" applyBorder="1" applyAlignment="1">
      <alignment horizontal="centerContinuous"/>
    </xf>
    <xf numFmtId="0" fontId="32" fillId="0" borderId="0" xfId="3" applyFont="1" applyBorder="1" applyAlignment="1">
      <alignment horizontal="centerContinuous"/>
    </xf>
    <xf numFmtId="0" fontId="32" fillId="0" borderId="0" xfId="3" applyFont="1" applyAlignment="1">
      <alignment horizontal="centerContinuous"/>
    </xf>
    <xf numFmtId="0" fontId="31" fillId="0" borderId="0" xfId="3" applyFont="1" applyFill="1"/>
    <xf numFmtId="0" fontId="32" fillId="0" borderId="0" xfId="3" applyFont="1" applyFill="1"/>
    <xf numFmtId="0" fontId="32" fillId="0" borderId="0" xfId="3" applyFont="1" applyFill="1" applyAlignment="1"/>
    <xf numFmtId="215" fontId="30" fillId="0" borderId="0" xfId="3" applyNumberFormat="1" applyFont="1" applyFill="1" applyBorder="1" applyAlignment="1">
      <alignment horizontal="right"/>
    </xf>
    <xf numFmtId="4" fontId="30" fillId="0" borderId="0" xfId="3" applyNumberFormat="1" applyFont="1" applyFill="1" applyAlignment="1">
      <alignment horizontal="right"/>
    </xf>
    <xf numFmtId="211" fontId="32" fillId="0" borderId="0" xfId="3" quotePrefix="1" applyNumberFormat="1" applyFont="1" applyFill="1"/>
    <xf numFmtId="0" fontId="32" fillId="0" borderId="0" xfId="3" applyFont="1" applyFill="1" applyBorder="1"/>
    <xf numFmtId="211" fontId="32" fillId="0" borderId="0" xfId="3" applyNumberFormat="1" applyFont="1" applyFill="1" applyBorder="1"/>
    <xf numFmtId="0" fontId="30" fillId="0" borderId="0" xfId="3" applyFont="1" applyFill="1" applyBorder="1"/>
    <xf numFmtId="210" fontId="33" fillId="0" borderId="0" xfId="3" applyNumberFormat="1" applyFont="1" applyFill="1" applyBorder="1" applyAlignment="1">
      <alignment horizontal="right"/>
    </xf>
    <xf numFmtId="0" fontId="32" fillId="0" borderId="2" xfId="3" applyFont="1" applyFill="1" applyBorder="1" applyAlignment="1">
      <alignment horizontal="centerContinuous"/>
    </xf>
    <xf numFmtId="0" fontId="32" fillId="0" borderId="0" xfId="3" applyFont="1" applyFill="1" applyBorder="1" applyAlignment="1">
      <alignment horizontal="center"/>
    </xf>
    <xf numFmtId="200" fontId="30" fillId="0" borderId="0" xfId="3" applyNumberFormat="1" applyFont="1" applyFill="1" applyBorder="1" applyAlignment="1">
      <alignment horizontal="right"/>
    </xf>
    <xf numFmtId="211" fontId="30" fillId="0" borderId="26" xfId="3" applyNumberFormat="1" applyFont="1" applyFill="1" applyBorder="1" applyAlignment="1">
      <alignment horizontal="right"/>
    </xf>
    <xf numFmtId="211" fontId="30" fillId="0" borderId="24" xfId="3" applyNumberFormat="1" applyFont="1" applyFill="1" applyBorder="1" applyAlignment="1">
      <alignment horizontal="right"/>
    </xf>
    <xf numFmtId="211" fontId="32" fillId="0" borderId="0" xfId="3" applyNumberFormat="1" applyFont="1" applyFill="1" applyBorder="1" applyAlignment="1">
      <alignment horizontal="right"/>
    </xf>
    <xf numFmtId="210" fontId="32" fillId="0" borderId="0" xfId="3" applyNumberFormat="1" applyFont="1" applyFill="1" applyBorder="1" applyAlignment="1">
      <alignment horizontal="right"/>
    </xf>
    <xf numFmtId="211" fontId="32" fillId="0" borderId="8" xfId="3" applyNumberFormat="1" applyFont="1" applyFill="1" applyBorder="1" applyAlignment="1">
      <alignment horizontal="right"/>
    </xf>
    <xf numFmtId="211" fontId="30" fillId="0" borderId="0" xfId="3" applyNumberFormat="1" applyFont="1" applyFill="1" applyBorder="1" applyAlignment="1">
      <alignment horizontal="right"/>
    </xf>
    <xf numFmtId="218" fontId="30" fillId="0" borderId="0" xfId="3" applyNumberFormat="1" applyFont="1" applyFill="1" applyBorder="1" applyAlignment="1">
      <alignment horizontal="right"/>
    </xf>
    <xf numFmtId="211" fontId="30" fillId="0" borderId="0" xfId="3" applyNumberFormat="1" applyFont="1" applyFill="1" applyBorder="1"/>
    <xf numFmtId="0" fontId="33" fillId="0" borderId="0" xfId="3" applyFont="1" applyFill="1" applyBorder="1"/>
    <xf numFmtId="212" fontId="33" fillId="0" borderId="0" xfId="3" applyNumberFormat="1" applyFont="1" applyFill="1" applyBorder="1" applyAlignment="1">
      <alignment horizontal="right"/>
    </xf>
    <xf numFmtId="211" fontId="32" fillId="0" borderId="0" xfId="3" applyNumberFormat="1" applyFont="1" applyFill="1"/>
    <xf numFmtId="0" fontId="32" fillId="0" borderId="8" xfId="3" applyFont="1" applyFill="1" applyBorder="1" applyAlignment="1">
      <alignment horizontal="center"/>
    </xf>
    <xf numFmtId="211" fontId="30" fillId="0" borderId="14" xfId="3" applyNumberFormat="1" applyFont="1" applyFill="1" applyBorder="1" applyAlignment="1" applyProtection="1">
      <alignment horizontal="right" indent="2"/>
      <protection locked="0"/>
    </xf>
    <xf numFmtId="210" fontId="30" fillId="0" borderId="13" xfId="3" applyNumberFormat="1" applyFont="1" applyFill="1" applyBorder="1" applyAlignment="1" applyProtection="1">
      <alignment horizontal="right" indent="1"/>
      <protection locked="0"/>
    </xf>
    <xf numFmtId="213" fontId="32" fillId="0" borderId="13" xfId="11" applyNumberFormat="1" applyFont="1" applyFill="1" applyBorder="1" applyAlignment="1" applyProtection="1">
      <alignment horizontal="right" indent="1"/>
      <protection locked="0"/>
    </xf>
    <xf numFmtId="210" fontId="32" fillId="0" borderId="12" xfId="11" applyNumberFormat="1" applyFont="1" applyFill="1" applyBorder="1" applyAlignment="1" applyProtection="1">
      <alignment horizontal="right" indent="1"/>
      <protection locked="0"/>
    </xf>
    <xf numFmtId="211" fontId="30" fillId="0" borderId="0" xfId="3" applyNumberFormat="1" applyFont="1" applyFill="1" applyBorder="1" applyAlignment="1" applyProtection="1">
      <alignment horizontal="right" indent="2"/>
      <protection locked="0"/>
    </xf>
    <xf numFmtId="213" fontId="30" fillId="0" borderId="0" xfId="3" applyNumberFormat="1" applyFont="1" applyFill="1" applyBorder="1" applyAlignment="1" applyProtection="1">
      <alignment horizontal="right" indent="1"/>
      <protection locked="0"/>
    </xf>
    <xf numFmtId="213" fontId="32" fillId="0" borderId="0" xfId="11" applyNumberFormat="1" applyFont="1" applyFill="1" applyBorder="1" applyAlignment="1" applyProtection="1">
      <alignment horizontal="right" indent="1"/>
      <protection locked="0"/>
    </xf>
    <xf numFmtId="211" fontId="32" fillId="0" borderId="14" xfId="3" applyNumberFormat="1" applyFont="1" applyFill="1" applyBorder="1" applyAlignment="1" applyProtection="1">
      <alignment horizontal="right" indent="2"/>
      <protection locked="0"/>
    </xf>
    <xf numFmtId="210" fontId="32" fillId="0" borderId="13" xfId="3" applyNumberFormat="1" applyFont="1" applyFill="1" applyBorder="1" applyAlignment="1" applyProtection="1">
      <alignment horizontal="right" indent="1"/>
      <protection locked="0"/>
    </xf>
    <xf numFmtId="0" fontId="32" fillId="0" borderId="0" xfId="3" applyFont="1" applyFill="1" applyBorder="1" applyAlignment="1">
      <alignment horizontal="left"/>
    </xf>
    <xf numFmtId="0" fontId="32" fillId="0" borderId="0" xfId="3" applyFont="1" applyFill="1" applyBorder="1" applyAlignment="1">
      <alignment horizontal="centerContinuous"/>
    </xf>
    <xf numFmtId="0" fontId="38" fillId="0" borderId="0" xfId="3" applyFont="1" applyFill="1" applyBorder="1" applyAlignment="1">
      <alignment horizontal="left"/>
    </xf>
    <xf numFmtId="217" fontId="32" fillId="0" borderId="4" xfId="3" applyNumberFormat="1" applyFont="1" applyFill="1" applyBorder="1" applyAlignment="1">
      <alignment horizontal="center"/>
    </xf>
    <xf numFmtId="217" fontId="32" fillId="0" borderId="0" xfId="3" applyNumberFormat="1" applyFont="1" applyFill="1" applyBorder="1" applyAlignment="1">
      <alignment horizontal="center"/>
    </xf>
    <xf numFmtId="209" fontId="30" fillId="0" borderId="0" xfId="3" applyNumberFormat="1" applyFont="1" applyFill="1" applyBorder="1"/>
    <xf numFmtId="209" fontId="30" fillId="0" borderId="0" xfId="3" applyNumberFormat="1" applyFont="1" applyFill="1" applyBorder="1" applyAlignment="1"/>
    <xf numFmtId="179" fontId="32" fillId="0" borderId="0" xfId="3" applyNumberFormat="1" applyFont="1" applyFill="1" applyBorder="1"/>
    <xf numFmtId="218" fontId="30" fillId="0" borderId="0" xfId="3" applyNumberFormat="1" applyFont="1" applyFill="1" applyBorder="1"/>
    <xf numFmtId="211" fontId="30" fillId="0" borderId="0" xfId="3" applyNumberFormat="1" applyFont="1" applyFill="1" applyBorder="1" applyAlignment="1"/>
    <xf numFmtId="209" fontId="32" fillId="0" borderId="0" xfId="3" applyNumberFormat="1" applyFont="1" applyFill="1" applyBorder="1"/>
    <xf numFmtId="210" fontId="30" fillId="0" borderId="0" xfId="3" applyNumberFormat="1" applyFont="1" applyFill="1" applyBorder="1"/>
    <xf numFmtId="210" fontId="32" fillId="0" borderId="0" xfId="3" applyNumberFormat="1" applyFont="1" applyFill="1" applyBorder="1"/>
    <xf numFmtId="211" fontId="32" fillId="0" borderId="0" xfId="3" applyNumberFormat="1" applyFont="1" applyBorder="1"/>
    <xf numFmtId="209" fontId="30" fillId="0" borderId="0" xfId="3" applyNumberFormat="1" applyFont="1" applyBorder="1" applyAlignment="1">
      <alignment horizontal="right"/>
    </xf>
    <xf numFmtId="207" fontId="41" fillId="0" borderId="0" xfId="3" applyNumberFormat="1" applyFont="1" applyFill="1" applyBorder="1"/>
    <xf numFmtId="208" fontId="42" fillId="0" borderId="0" xfId="3" applyNumberFormat="1" applyFont="1" applyFill="1" applyBorder="1"/>
    <xf numFmtId="181" fontId="43" fillId="0" borderId="0" xfId="3" applyNumberFormat="1" applyFont="1" applyFill="1" applyBorder="1"/>
    <xf numFmtId="229" fontId="39" fillId="0" borderId="0" xfId="3" applyNumberFormat="1" applyFont="1" applyAlignment="1">
      <alignment horizontal="right"/>
    </xf>
    <xf numFmtId="0" fontId="32" fillId="0" borderId="0" xfId="0" applyFont="1"/>
    <xf numFmtId="0" fontId="44" fillId="0" borderId="0" xfId="3" applyFont="1" applyFill="1" applyBorder="1"/>
    <xf numFmtId="0" fontId="48" fillId="0" borderId="0" xfId="3" applyFont="1" applyAlignment="1">
      <alignment horizontal="left"/>
    </xf>
    <xf numFmtId="0" fontId="32" fillId="0" borderId="0" xfId="3" applyFont="1" applyAlignment="1">
      <alignment vertical="center"/>
    </xf>
    <xf numFmtId="0" fontId="32" fillId="0" borderId="0" xfId="3" quotePrefix="1" applyFont="1" applyAlignment="1">
      <alignment horizontal="left"/>
    </xf>
    <xf numFmtId="211" fontId="39" fillId="0" borderId="0" xfId="3" applyNumberFormat="1" applyFont="1" applyAlignment="1">
      <alignment horizontal="right"/>
    </xf>
    <xf numFmtId="0" fontId="32" fillId="0" borderId="0" xfId="3" applyFont="1" applyAlignment="1">
      <alignment horizontal="center"/>
    </xf>
    <xf numFmtId="217" fontId="32" fillId="0" borderId="0" xfId="3" applyNumberFormat="1" applyFont="1" applyBorder="1" applyAlignment="1">
      <alignment horizontal="center"/>
    </xf>
    <xf numFmtId="217" fontId="39" fillId="0" borderId="2" xfId="3" applyNumberFormat="1" applyFont="1" applyBorder="1" applyAlignment="1">
      <alignment horizontal="centerContinuous"/>
    </xf>
    <xf numFmtId="14" fontId="39" fillId="0" borderId="0" xfId="3" applyNumberFormat="1" applyFont="1" applyAlignment="1">
      <alignment horizontal="left"/>
    </xf>
    <xf numFmtId="210" fontId="39" fillId="0" borderId="0" xfId="3" applyNumberFormat="1" applyFont="1"/>
    <xf numFmtId="0" fontId="39" fillId="0" borderId="0" xfId="3" applyFont="1"/>
    <xf numFmtId="173" fontId="32" fillId="0" borderId="0" xfId="3" applyNumberFormat="1" applyFont="1" applyBorder="1" applyAlignment="1">
      <alignment horizontal="right"/>
    </xf>
    <xf numFmtId="226" fontId="32" fillId="0" borderId="0" xfId="3" applyNumberFormat="1" applyFont="1" applyBorder="1" applyAlignment="1">
      <alignment horizontal="right"/>
    </xf>
    <xf numFmtId="209" fontId="39" fillId="0" borderId="0" xfId="3" applyNumberFormat="1" applyFont="1"/>
    <xf numFmtId="226" fontId="39" fillId="0" borderId="0" xfId="3" applyNumberFormat="1" applyFont="1" applyBorder="1" applyAlignment="1">
      <alignment horizontal="right"/>
    </xf>
    <xf numFmtId="211" fontId="39" fillId="0" borderId="0" xfId="3" applyNumberFormat="1" applyFont="1"/>
    <xf numFmtId="215" fontId="30" fillId="0" borderId="0" xfId="3" applyNumberFormat="1" applyFont="1" applyAlignment="1">
      <alignment horizontal="left"/>
    </xf>
    <xf numFmtId="210" fontId="30" fillId="0" borderId="0" xfId="3" applyNumberFormat="1" applyFont="1"/>
    <xf numFmtId="0" fontId="32" fillId="0" borderId="0" xfId="3" applyFont="1" applyAlignment="1">
      <alignment vertical="top"/>
    </xf>
    <xf numFmtId="215" fontId="30" fillId="0" borderId="0" xfId="3" applyNumberFormat="1" applyFont="1" applyAlignment="1">
      <alignment horizontal="left" vertical="top"/>
    </xf>
    <xf numFmtId="213" fontId="30" fillId="0" borderId="0" xfId="3" applyNumberFormat="1" applyFont="1" applyAlignment="1">
      <alignment vertical="top"/>
    </xf>
    <xf numFmtId="172" fontId="39" fillId="0" borderId="0" xfId="3" applyNumberFormat="1" applyFont="1"/>
    <xf numFmtId="215" fontId="30" fillId="0" borderId="0" xfId="3" applyNumberFormat="1" applyFont="1"/>
    <xf numFmtId="165" fontId="32" fillId="0" borderId="0" xfId="3" applyNumberFormat="1" applyFont="1"/>
    <xf numFmtId="210" fontId="39" fillId="0" borderId="0" xfId="3" applyNumberFormat="1" applyFont="1" applyAlignment="1">
      <alignment horizontal="right"/>
    </xf>
    <xf numFmtId="218" fontId="39" fillId="0" borderId="0" xfId="3" applyNumberFormat="1" applyFont="1" applyFill="1" applyAlignment="1">
      <alignment horizontal="right"/>
    </xf>
    <xf numFmtId="213" fontId="39" fillId="0" borderId="0" xfId="3" applyNumberFormat="1" applyFont="1"/>
    <xf numFmtId="218" fontId="39" fillId="0" borderId="0" xfId="3" applyNumberFormat="1" applyFont="1" applyAlignment="1">
      <alignment vertical="top"/>
    </xf>
    <xf numFmtId="211" fontId="30" fillId="0" borderId="0" xfId="3" applyNumberFormat="1" applyFont="1" applyAlignment="1">
      <alignment horizontal="right"/>
    </xf>
    <xf numFmtId="211" fontId="30" fillId="0" borderId="0" xfId="3" applyNumberFormat="1" applyFont="1" applyAlignment="1">
      <alignment vertical="top"/>
    </xf>
    <xf numFmtId="211" fontId="49" fillId="0" borderId="0" xfId="3" applyNumberFormat="1" applyFont="1" applyAlignment="1">
      <alignment vertical="top"/>
    </xf>
    <xf numFmtId="218" fontId="32" fillId="0" borderId="0" xfId="3" applyNumberFormat="1" applyFont="1" applyAlignment="1">
      <alignment vertical="top"/>
    </xf>
    <xf numFmtId="218" fontId="40" fillId="0" borderId="0" xfId="3" applyNumberFormat="1" applyFont="1" applyAlignment="1">
      <alignment horizontal="right"/>
    </xf>
    <xf numFmtId="211" fontId="40" fillId="0" borderId="0" xfId="3" applyNumberFormat="1" applyFont="1" applyAlignment="1">
      <alignment horizontal="right"/>
    </xf>
    <xf numFmtId="14" fontId="30" fillId="0" borderId="0" xfId="3" applyNumberFormat="1" applyFont="1" applyAlignment="1">
      <alignment horizontal="left"/>
    </xf>
    <xf numFmtId="39" fontId="30" fillId="0" borderId="0" xfId="3" applyNumberFormat="1" applyFont="1" applyAlignment="1">
      <alignment vertical="top"/>
    </xf>
    <xf numFmtId="179" fontId="40" fillId="0" borderId="0" xfId="3" applyNumberFormat="1" applyFont="1" applyAlignment="1">
      <alignment horizontal="right"/>
    </xf>
    <xf numFmtId="14" fontId="39" fillId="0" borderId="0" xfId="3" applyNumberFormat="1" applyFont="1"/>
    <xf numFmtId="210" fontId="32" fillId="0" borderId="0" xfId="3" applyNumberFormat="1" applyFont="1"/>
    <xf numFmtId="0" fontId="38" fillId="0" borderId="0" xfId="3" applyFont="1"/>
    <xf numFmtId="211" fontId="39" fillId="0" borderId="0" xfId="3" applyNumberFormat="1" applyFont="1" applyBorder="1"/>
    <xf numFmtId="218" fontId="32" fillId="0" borderId="0" xfId="3" applyNumberFormat="1" applyFont="1"/>
    <xf numFmtId="0" fontId="32" fillId="0" borderId="0" xfId="3" applyFont="1" applyBorder="1" applyAlignment="1">
      <alignment horizontal="center"/>
    </xf>
    <xf numFmtId="211" fontId="39" fillId="0" borderId="2" xfId="3" applyNumberFormat="1" applyFont="1" applyBorder="1"/>
    <xf numFmtId="226" fontId="32" fillId="0" borderId="0" xfId="3" applyNumberFormat="1" applyFont="1" applyAlignment="1">
      <alignment horizontal="right"/>
    </xf>
    <xf numFmtId="0" fontId="32" fillId="0" borderId="0" xfId="3" quotePrefix="1" applyFont="1" applyAlignment="1">
      <alignment horizontal="left" indent="1"/>
    </xf>
    <xf numFmtId="209" fontId="32" fillId="0" borderId="0" xfId="3" applyNumberFormat="1" applyFont="1" applyBorder="1"/>
    <xf numFmtId="211" fontId="49" fillId="0" borderId="0" xfId="3" applyNumberFormat="1" applyFont="1" applyBorder="1"/>
    <xf numFmtId="226" fontId="32" fillId="0" borderId="0" xfId="3" applyNumberFormat="1" applyFont="1"/>
    <xf numFmtId="0" fontId="36" fillId="0" borderId="0" xfId="3" applyFont="1" applyBorder="1" applyAlignment="1"/>
    <xf numFmtId="0" fontId="32" fillId="0" borderId="0" xfId="3" applyFont="1" applyAlignment="1">
      <alignment horizontal="left" indent="1"/>
    </xf>
    <xf numFmtId="209" fontId="32" fillId="0" borderId="0" xfId="3" applyNumberFormat="1" applyFont="1"/>
    <xf numFmtId="0" fontId="50" fillId="0" borderId="21" xfId="3" applyFont="1" applyBorder="1"/>
    <xf numFmtId="0" fontId="32" fillId="0" borderId="8" xfId="3" applyFont="1" applyBorder="1"/>
    <xf numFmtId="0" fontId="51" fillId="0" borderId="0" xfId="3" applyFont="1"/>
    <xf numFmtId="0" fontId="50" fillId="0" borderId="0" xfId="3" applyFont="1"/>
    <xf numFmtId="0" fontId="50" fillId="0" borderId="0" xfId="3" quotePrefix="1" applyFont="1" applyAlignment="1">
      <alignment horizontal="left"/>
    </xf>
    <xf numFmtId="0" fontId="32" fillId="0" borderId="0" xfId="3" applyFont="1" applyAlignment="1">
      <alignment horizontal="left"/>
    </xf>
    <xf numFmtId="211" fontId="32" fillId="0" borderId="0" xfId="3" applyNumberFormat="1" applyFont="1"/>
    <xf numFmtId="0" fontId="52" fillId="0" borderId="0" xfId="3" applyFont="1"/>
    <xf numFmtId="0" fontId="53" fillId="0" borderId="0" xfId="3" applyFont="1" applyAlignment="1">
      <alignment horizontal="left"/>
    </xf>
    <xf numFmtId="165" fontId="49" fillId="0" borderId="0" xfId="3" applyNumberFormat="1" applyFont="1"/>
    <xf numFmtId="40" fontId="30" fillId="0" borderId="0" xfId="3" applyNumberFormat="1" applyFont="1"/>
    <xf numFmtId="0" fontId="54" fillId="8" borderId="0" xfId="3" applyFont="1" applyFill="1" applyBorder="1" applyAlignment="1">
      <alignment horizontal="left"/>
    </xf>
    <xf numFmtId="0" fontId="37" fillId="8" borderId="0" xfId="3" applyFont="1" applyFill="1"/>
    <xf numFmtId="0" fontId="32" fillId="8" borderId="0" xfId="3" applyFont="1" applyFill="1"/>
    <xf numFmtId="0" fontId="34" fillId="10" borderId="0" xfId="3" applyFont="1" applyFill="1" applyBorder="1" applyAlignment="1">
      <alignment horizontal="left"/>
    </xf>
    <xf numFmtId="0" fontId="35" fillId="10" borderId="0" xfId="3" applyFont="1" applyFill="1" applyBorder="1" applyAlignment="1">
      <alignment horizontal="centerContinuous"/>
    </xf>
    <xf numFmtId="0" fontId="32" fillId="8" borderId="0" xfId="3" applyFont="1" applyFill="1" applyBorder="1" applyAlignment="1">
      <alignment horizontal="centerContinuous"/>
    </xf>
    <xf numFmtId="0" fontId="56" fillId="0" borderId="0" xfId="3" applyFont="1" applyAlignment="1">
      <alignment horizontal="left"/>
    </xf>
    <xf numFmtId="9" fontId="32" fillId="0" borderId="0" xfId="3" applyNumberFormat="1" applyFont="1" applyAlignment="1">
      <alignment horizontal="center"/>
    </xf>
    <xf numFmtId="0" fontId="36" fillId="0" borderId="2" xfId="3" applyFont="1" applyFill="1" applyBorder="1" applyAlignment="1">
      <alignment horizontal="centerContinuous"/>
    </xf>
    <xf numFmtId="0" fontId="32" fillId="0" borderId="0" xfId="3" applyFont="1" applyAlignment="1"/>
    <xf numFmtId="0" fontId="39" fillId="0" borderId="0" xfId="3" applyFont="1" applyBorder="1" applyAlignment="1">
      <alignment horizontal="centerContinuous"/>
    </xf>
    <xf numFmtId="217" fontId="39" fillId="0" borderId="0" xfId="3" applyNumberFormat="1" applyFont="1" applyBorder="1" applyAlignment="1">
      <alignment horizontal="center"/>
    </xf>
    <xf numFmtId="209" fontId="30" fillId="0" borderId="22" xfId="3" applyNumberFormat="1" applyFont="1" applyBorder="1"/>
    <xf numFmtId="209" fontId="30" fillId="0" borderId="20" xfId="3" applyNumberFormat="1" applyFont="1" applyBorder="1"/>
    <xf numFmtId="209" fontId="30" fillId="0" borderId="24" xfId="3" applyNumberFormat="1" applyFont="1" applyBorder="1"/>
    <xf numFmtId="209" fontId="30" fillId="0" borderId="0" xfId="3" applyNumberFormat="1" applyFont="1"/>
    <xf numFmtId="209" fontId="40" fillId="0" borderId="26" xfId="3" applyNumberFormat="1" applyFont="1" applyBorder="1"/>
    <xf numFmtId="209" fontId="40" fillId="0" borderId="24" xfId="3" applyNumberFormat="1" applyFont="1" applyBorder="1"/>
    <xf numFmtId="171" fontId="30" fillId="0" borderId="0" xfId="3" applyNumberFormat="1" applyFont="1"/>
    <xf numFmtId="218" fontId="32" fillId="0" borderId="8" xfId="3" applyNumberFormat="1" applyFont="1" applyBorder="1" applyAlignment="1">
      <alignment horizontal="right"/>
    </xf>
    <xf numFmtId="211" fontId="30" fillId="0" borderId="0" xfId="3" applyNumberFormat="1" applyFont="1" applyBorder="1"/>
    <xf numFmtId="211" fontId="40" fillId="0" borderId="0" xfId="3" applyNumberFormat="1" applyFont="1" applyBorder="1"/>
    <xf numFmtId="172" fontId="30" fillId="0" borderId="0" xfId="3" applyNumberFormat="1" applyFont="1" applyBorder="1"/>
    <xf numFmtId="218" fontId="32" fillId="0" borderId="0" xfId="3" applyNumberFormat="1" applyFont="1" applyBorder="1" applyAlignment="1">
      <alignment horizontal="right"/>
    </xf>
    <xf numFmtId="211" fontId="40" fillId="0" borderId="18" xfId="3" applyNumberFormat="1" applyFont="1" applyBorder="1"/>
    <xf numFmtId="211" fontId="40" fillId="0" borderId="20" xfId="3" applyNumberFormat="1" applyFont="1" applyBorder="1"/>
    <xf numFmtId="211" fontId="40" fillId="0" borderId="19" xfId="3" applyNumberFormat="1" applyFont="1" applyBorder="1"/>
    <xf numFmtId="211" fontId="40" fillId="0" borderId="0" xfId="3" applyNumberFormat="1" applyFont="1"/>
    <xf numFmtId="211" fontId="40" fillId="0" borderId="8" xfId="3" applyNumberFormat="1" applyFont="1" applyBorder="1"/>
    <xf numFmtId="172" fontId="40" fillId="0" borderId="0" xfId="3" applyNumberFormat="1" applyFont="1"/>
    <xf numFmtId="218" fontId="32" fillId="0" borderId="0" xfId="3" applyNumberFormat="1" applyFont="1" applyAlignment="1">
      <alignment horizontal="right"/>
    </xf>
    <xf numFmtId="211" fontId="30" fillId="0" borderId="0" xfId="3" applyNumberFormat="1" applyFont="1"/>
    <xf numFmtId="172" fontId="40" fillId="0" borderId="0" xfId="3" applyNumberFormat="1" applyFont="1" applyBorder="1"/>
    <xf numFmtId="0" fontId="40" fillId="0" borderId="0" xfId="3" applyFont="1" applyBorder="1"/>
    <xf numFmtId="0" fontId="36" fillId="0" borderId="0" xfId="3" applyFont="1"/>
    <xf numFmtId="218" fontId="36" fillId="0" borderId="0" xfId="3" applyNumberFormat="1" applyFont="1" applyAlignment="1">
      <alignment horizontal="right"/>
    </xf>
    <xf numFmtId="0" fontId="36" fillId="0" borderId="0" xfId="3" applyFont="1" applyBorder="1"/>
    <xf numFmtId="209" fontId="40" fillId="0" borderId="0" xfId="3" applyNumberFormat="1" applyFont="1"/>
    <xf numFmtId="171" fontId="40" fillId="0" borderId="0" xfId="3" applyNumberFormat="1" applyFont="1"/>
    <xf numFmtId="176" fontId="32" fillId="0" borderId="0" xfId="3" applyNumberFormat="1" applyFont="1" applyAlignment="1">
      <alignment horizontal="left"/>
    </xf>
    <xf numFmtId="176" fontId="32" fillId="0" borderId="0" xfId="3" applyNumberFormat="1" applyFont="1"/>
    <xf numFmtId="172" fontId="32" fillId="0" borderId="0" xfId="3" applyNumberFormat="1" applyFont="1"/>
    <xf numFmtId="176" fontId="32" fillId="0" borderId="0" xfId="3" applyNumberFormat="1" applyFont="1" applyBorder="1"/>
    <xf numFmtId="0" fontId="36" fillId="0" borderId="0" xfId="3" applyFont="1" applyAlignment="1">
      <alignment horizontal="left"/>
    </xf>
    <xf numFmtId="210" fontId="57" fillId="0" borderId="23" xfId="3" applyNumberFormat="1" applyFont="1" applyBorder="1"/>
    <xf numFmtId="210" fontId="57" fillId="0" borderId="0" xfId="3" applyNumberFormat="1" applyFont="1"/>
    <xf numFmtId="165" fontId="57" fillId="0" borderId="0" xfId="3" applyNumberFormat="1" applyFont="1"/>
    <xf numFmtId="210" fontId="40" fillId="0" borderId="0" xfId="3" applyNumberFormat="1" applyFont="1"/>
    <xf numFmtId="165" fontId="40" fillId="0" borderId="0" xfId="3" applyNumberFormat="1" applyFont="1"/>
    <xf numFmtId="216" fontId="30" fillId="0" borderId="0" xfId="3" applyNumberFormat="1" applyFont="1"/>
    <xf numFmtId="216" fontId="40" fillId="0" borderId="0" xfId="3" applyNumberFormat="1" applyFont="1"/>
    <xf numFmtId="216" fontId="32" fillId="0" borderId="0" xfId="3" applyNumberFormat="1" applyFont="1"/>
    <xf numFmtId="180" fontId="32" fillId="0" borderId="0" xfId="3" applyNumberFormat="1" applyFont="1" applyAlignment="1">
      <alignment horizontal="right"/>
    </xf>
    <xf numFmtId="214" fontId="32" fillId="0" borderId="0" xfId="3" applyNumberFormat="1" applyFont="1" applyAlignment="1">
      <alignment horizontal="right"/>
    </xf>
    <xf numFmtId="0" fontId="32" fillId="0" borderId="0" xfId="3" applyFont="1" applyBorder="1" applyAlignment="1">
      <alignment horizontal="left"/>
    </xf>
    <xf numFmtId="0" fontId="39" fillId="0" borderId="0" xfId="3" applyFont="1" applyBorder="1"/>
    <xf numFmtId="172" fontId="32" fillId="0" borderId="0" xfId="3" applyNumberFormat="1" applyFont="1" applyBorder="1"/>
    <xf numFmtId="214" fontId="32" fillId="0" borderId="0" xfId="3" applyNumberFormat="1" applyFont="1" applyBorder="1" applyAlignment="1">
      <alignment horizontal="right"/>
    </xf>
    <xf numFmtId="209" fontId="40" fillId="0" borderId="20" xfId="3" applyNumberFormat="1" applyFont="1" applyBorder="1"/>
    <xf numFmtId="218" fontId="40" fillId="0" borderId="0" xfId="3" applyNumberFormat="1" applyFont="1"/>
    <xf numFmtId="175" fontId="32" fillId="0" borderId="0" xfId="3" applyNumberFormat="1" applyFont="1" applyAlignment="1">
      <alignment horizontal="right"/>
    </xf>
    <xf numFmtId="179" fontId="40" fillId="0" borderId="0" xfId="3" applyNumberFormat="1" applyFont="1"/>
    <xf numFmtId="218" fontId="40" fillId="0" borderId="0" xfId="3" quotePrefix="1" applyNumberFormat="1" applyFont="1" applyAlignment="1">
      <alignment horizontal="right"/>
    </xf>
    <xf numFmtId="177" fontId="58" fillId="0" borderId="0" xfId="3" applyNumberFormat="1" applyFont="1" applyBorder="1"/>
    <xf numFmtId="0" fontId="32" fillId="0" borderId="0" xfId="3" applyFont="1" applyBorder="1" applyAlignment="1">
      <alignment horizontal="right"/>
    </xf>
    <xf numFmtId="0" fontId="50" fillId="0" borderId="8" xfId="3" applyFont="1" applyBorder="1"/>
    <xf numFmtId="0" fontId="32" fillId="0" borderId="21" xfId="3" applyFont="1" applyBorder="1"/>
    <xf numFmtId="0" fontId="32" fillId="0" borderId="8" xfId="3" applyFont="1" applyBorder="1" applyAlignment="1">
      <alignment horizontal="right"/>
    </xf>
    <xf numFmtId="0" fontId="32" fillId="0" borderId="0" xfId="3" applyFont="1" applyAlignment="1">
      <alignment horizontal="right"/>
    </xf>
    <xf numFmtId="0" fontId="59" fillId="0" borderId="7" xfId="3" applyFont="1" applyBorder="1" applyAlignment="1">
      <alignment horizontal="left"/>
    </xf>
    <xf numFmtId="0" fontId="36" fillId="0" borderId="0" xfId="3" applyFont="1" applyFill="1" applyBorder="1" applyAlignment="1">
      <alignment horizontal="centerContinuous"/>
    </xf>
    <xf numFmtId="0" fontId="60" fillId="0" borderId="0" xfId="3" applyFont="1" applyFill="1"/>
    <xf numFmtId="0" fontId="36" fillId="0" borderId="0" xfId="3" applyFont="1" applyFill="1"/>
    <xf numFmtId="217" fontId="36" fillId="0" borderId="2" xfId="3" applyNumberFormat="1" applyFont="1" applyFill="1" applyBorder="1" applyAlignment="1">
      <alignment horizontal="center"/>
    </xf>
    <xf numFmtId="217" fontId="36" fillId="0" borderId="0" xfId="3" applyNumberFormat="1" applyFont="1" applyFill="1" applyBorder="1" applyAlignment="1">
      <alignment horizontal="center"/>
    </xf>
    <xf numFmtId="211" fontId="32" fillId="0" borderId="8" xfId="3" applyNumberFormat="1" applyFont="1" applyBorder="1"/>
    <xf numFmtId="179" fontId="30" fillId="0" borderId="0" xfId="3" applyNumberFormat="1" applyFont="1"/>
    <xf numFmtId="179" fontId="30" fillId="0" borderId="0" xfId="3" applyNumberFormat="1" applyFont="1" applyBorder="1"/>
    <xf numFmtId="0" fontId="37" fillId="0" borderId="0" xfId="3" applyFont="1"/>
    <xf numFmtId="218" fontId="48" fillId="0" borderId="0" xfId="3" applyNumberFormat="1" applyFont="1"/>
    <xf numFmtId="218" fontId="37" fillId="0" borderId="0" xfId="3" applyNumberFormat="1" applyFont="1"/>
    <xf numFmtId="218" fontId="48" fillId="0" borderId="0" xfId="3" applyNumberFormat="1" applyFont="1" applyBorder="1"/>
    <xf numFmtId="0" fontId="37" fillId="0" borderId="0" xfId="3" applyFont="1" applyBorder="1"/>
    <xf numFmtId="211" fontId="32" fillId="0" borderId="2" xfId="3" applyNumberFormat="1" applyFont="1" applyBorder="1"/>
    <xf numFmtId="0" fontId="36" fillId="8" borderId="2" xfId="3" applyFont="1" applyFill="1" applyBorder="1" applyAlignment="1">
      <alignment horizontal="centerContinuous"/>
    </xf>
    <xf numFmtId="0" fontId="46" fillId="7" borderId="0" xfId="3" applyFont="1" applyFill="1" applyBorder="1" applyAlignment="1">
      <alignment horizontal="centerContinuous"/>
    </xf>
    <xf numFmtId="0" fontId="38" fillId="0" borderId="0" xfId="3" applyFont="1" applyFill="1"/>
    <xf numFmtId="0" fontId="61" fillId="0" borderId="0" xfId="3" applyFont="1" applyBorder="1"/>
    <xf numFmtId="0" fontId="61" fillId="0" borderId="7" xfId="3" applyFont="1" applyBorder="1" applyAlignment="1">
      <alignment horizontal="centerContinuous"/>
    </xf>
    <xf numFmtId="0" fontId="61" fillId="0" borderId="0" xfId="3" applyFont="1" applyBorder="1" applyAlignment="1">
      <alignment horizontal="centerContinuous"/>
    </xf>
    <xf numFmtId="0" fontId="32" fillId="0" borderId="0" xfId="3" applyFont="1" applyBorder="1" applyAlignment="1"/>
    <xf numFmtId="0" fontId="54" fillId="8" borderId="2" xfId="3" applyFont="1" applyFill="1" applyBorder="1" applyAlignment="1">
      <alignment horizontal="centerContinuous"/>
    </xf>
    <xf numFmtId="0" fontId="39" fillId="0" borderId="8" xfId="3" applyFont="1" applyFill="1" applyBorder="1" applyAlignment="1">
      <alignment horizontal="centerContinuous"/>
    </xf>
    <xf numFmtId="0" fontId="39" fillId="0" borderId="0" xfId="3" applyFont="1" applyFill="1" applyBorder="1"/>
    <xf numFmtId="217" fontId="39" fillId="0" borderId="0" xfId="3" applyNumberFormat="1" applyFont="1" applyFill="1" applyBorder="1" applyAlignment="1">
      <alignment horizontal="centerContinuous"/>
    </xf>
    <xf numFmtId="217" fontId="32" fillId="0" borderId="2" xfId="3" applyNumberFormat="1" applyFont="1" applyFill="1" applyBorder="1" applyAlignment="1">
      <alignment horizontal="centerContinuous"/>
    </xf>
    <xf numFmtId="0" fontId="63" fillId="0" borderId="0" xfId="3" applyFont="1"/>
    <xf numFmtId="0" fontId="32" fillId="0" borderId="22" xfId="3" applyFont="1" applyBorder="1"/>
    <xf numFmtId="0" fontId="32" fillId="0" borderId="20" xfId="3" applyFont="1" applyBorder="1"/>
    <xf numFmtId="0" fontId="32" fillId="0" borderId="24" xfId="3" applyFont="1" applyBorder="1"/>
    <xf numFmtId="0" fontId="32" fillId="0" borderId="22" xfId="3" applyFont="1" applyBorder="1" applyAlignment="1">
      <alignment horizontal="centerContinuous"/>
    </xf>
    <xf numFmtId="0" fontId="32" fillId="0" borderId="24" xfId="3" applyFont="1" applyBorder="1" applyAlignment="1">
      <alignment horizontal="centerContinuous"/>
    </xf>
    <xf numFmtId="0" fontId="64" fillId="0" borderId="0" xfId="3" applyFont="1" applyBorder="1" applyAlignment="1">
      <alignment horizontal="centerContinuous"/>
    </xf>
    <xf numFmtId="209" fontId="30" fillId="0" borderId="0" xfId="3" applyNumberFormat="1" applyFont="1" applyBorder="1"/>
    <xf numFmtId="171" fontId="49" fillId="0" borderId="0" xfId="3" applyNumberFormat="1" applyFont="1" applyBorder="1"/>
    <xf numFmtId="171" fontId="32" fillId="0" borderId="0" xfId="3" applyNumberFormat="1" applyFont="1" applyBorder="1"/>
    <xf numFmtId="172" fontId="49" fillId="0" borderId="0" xfId="3" applyNumberFormat="1" applyFont="1" applyBorder="1"/>
    <xf numFmtId="211" fontId="30" fillId="0" borderId="2" xfId="3" applyNumberFormat="1" applyFont="1" applyBorder="1"/>
    <xf numFmtId="209" fontId="32" fillId="0" borderId="9" xfId="3" applyNumberFormat="1" applyFont="1" applyBorder="1"/>
    <xf numFmtId="178" fontId="32" fillId="0" borderId="0" xfId="3" applyNumberFormat="1" applyFont="1"/>
    <xf numFmtId="178" fontId="32" fillId="0" borderId="0" xfId="3" applyNumberFormat="1" applyFont="1" applyBorder="1"/>
    <xf numFmtId="0" fontId="53" fillId="0" borderId="8" xfId="3" applyFont="1" applyBorder="1"/>
    <xf numFmtId="0" fontId="53" fillId="0" borderId="21" xfId="3" applyFont="1" applyBorder="1"/>
    <xf numFmtId="168" fontId="53" fillId="0" borderId="8" xfId="3" applyNumberFormat="1" applyFont="1" applyBorder="1"/>
    <xf numFmtId="168" fontId="32" fillId="0" borderId="0" xfId="3" applyNumberFormat="1" applyFont="1" applyBorder="1"/>
    <xf numFmtId="168" fontId="53" fillId="0" borderId="0" xfId="3" applyNumberFormat="1" applyFont="1" applyBorder="1"/>
    <xf numFmtId="0" fontId="32" fillId="0" borderId="0" xfId="3" applyNumberFormat="1" applyFont="1"/>
    <xf numFmtId="226" fontId="32" fillId="0" borderId="21" xfId="3" applyNumberFormat="1" applyFont="1" applyBorder="1" applyAlignment="1">
      <alignment horizontal="right"/>
    </xf>
    <xf numFmtId="226" fontId="32" fillId="0" borderId="0" xfId="3" applyNumberFormat="1" applyFont="1" applyBorder="1"/>
    <xf numFmtId="179" fontId="32" fillId="0" borderId="0" xfId="3" applyNumberFormat="1" applyFont="1"/>
    <xf numFmtId="0" fontId="32" fillId="0" borderId="0" xfId="3" applyFont="1" applyFill="1" applyAlignment="1">
      <alignment horizontal="left" indent="1"/>
    </xf>
    <xf numFmtId="179" fontId="32" fillId="0" borderId="0" xfId="3" applyNumberFormat="1" applyFont="1" applyBorder="1"/>
    <xf numFmtId="209" fontId="32" fillId="0" borderId="0" xfId="3" applyNumberFormat="1" applyFont="1" applyAlignment="1">
      <alignment horizontal="right"/>
    </xf>
    <xf numFmtId="0" fontId="32" fillId="0" borderId="2" xfId="3" applyFont="1" applyBorder="1" applyAlignment="1">
      <alignment horizontal="centerContinuous"/>
    </xf>
    <xf numFmtId="218" fontId="32" fillId="0" borderId="4" xfId="3" applyNumberFormat="1" applyFont="1" applyFill="1" applyBorder="1"/>
    <xf numFmtId="218" fontId="30" fillId="0" borderId="0" xfId="3" applyNumberFormat="1" applyFont="1"/>
    <xf numFmtId="0" fontId="38" fillId="0" borderId="0" xfId="3" applyFont="1" applyAlignment="1">
      <alignment horizontal="left"/>
    </xf>
    <xf numFmtId="0" fontId="45" fillId="7" borderId="0" xfId="3" applyFont="1" applyFill="1" applyBorder="1" applyAlignment="1">
      <alignment horizontal="left"/>
    </xf>
    <xf numFmtId="0" fontId="55" fillId="7" borderId="0" xfId="3" applyFont="1" applyFill="1" applyBorder="1" applyAlignment="1"/>
    <xf numFmtId="219" fontId="47" fillId="7" borderId="0" xfId="3" applyNumberFormat="1" applyFont="1" applyFill="1" applyBorder="1" applyAlignment="1"/>
    <xf numFmtId="0" fontId="56" fillId="11" borderId="0" xfId="3" applyFont="1" applyFill="1"/>
    <xf numFmtId="0" fontId="46" fillId="7" borderId="0" xfId="0" applyFont="1" applyFill="1" applyBorder="1"/>
    <xf numFmtId="0" fontId="45" fillId="7" borderId="0" xfId="3" applyFont="1" applyFill="1" applyBorder="1" applyAlignment="1">
      <alignment horizontal="centerContinuous"/>
    </xf>
    <xf numFmtId="0" fontId="62" fillId="7" borderId="0" xfId="3" applyFont="1" applyFill="1" applyBorder="1" applyAlignment="1">
      <alignment horizontal="centerContinuous"/>
    </xf>
    <xf numFmtId="0" fontId="65" fillId="7" borderId="0" xfId="3" applyFont="1" applyFill="1" applyBorder="1" applyAlignment="1">
      <alignment horizontal="right"/>
    </xf>
    <xf numFmtId="0" fontId="66" fillId="0" borderId="0" xfId="3" applyFont="1" applyFill="1" applyBorder="1"/>
    <xf numFmtId="211" fontId="36" fillId="0" borderId="12" xfId="3" applyNumberFormat="1" applyFont="1" applyBorder="1"/>
    <xf numFmtId="0" fontId="36" fillId="0" borderId="0" xfId="3" applyFont="1" applyFill="1" applyBorder="1"/>
    <xf numFmtId="211" fontId="30" fillId="0" borderId="0" xfId="3" applyNumberFormat="1" applyFont="1" applyFill="1"/>
    <xf numFmtId="221" fontId="39" fillId="0" borderId="0" xfId="3" applyNumberFormat="1" applyFont="1" applyFill="1" applyBorder="1" applyAlignment="1">
      <alignment horizontal="center"/>
    </xf>
    <xf numFmtId="211" fontId="32" fillId="0" borderId="0" xfId="3" applyNumberFormat="1" applyFont="1" applyFill="1" applyAlignment="1">
      <alignment horizontal="right"/>
    </xf>
    <xf numFmtId="209" fontId="49" fillId="0" borderId="0" xfId="3" applyNumberFormat="1" applyFont="1"/>
    <xf numFmtId="0" fontId="68" fillId="0" borderId="0" xfId="3" applyFont="1" applyBorder="1"/>
    <xf numFmtId="0" fontId="54" fillId="8" borderId="0" xfId="3" applyFont="1" applyFill="1" applyBorder="1"/>
    <xf numFmtId="9" fontId="32" fillId="0" borderId="0" xfId="3" applyNumberFormat="1" applyFont="1" applyBorder="1"/>
    <xf numFmtId="180" fontId="32" fillId="0" borderId="0" xfId="3" applyNumberFormat="1" applyFont="1"/>
    <xf numFmtId="0" fontId="69" fillId="0" borderId="0" xfId="3" applyFont="1" applyBorder="1" applyAlignment="1">
      <alignment horizontal="right" indent="1"/>
    </xf>
    <xf numFmtId="211" fontId="32" fillId="0" borderId="2" xfId="3" applyNumberFormat="1" applyFont="1" applyFill="1" applyBorder="1"/>
    <xf numFmtId="0" fontId="30" fillId="0" borderId="0" xfId="3" applyFont="1" applyAlignment="1">
      <alignment horizontal="left" indent="1"/>
    </xf>
    <xf numFmtId="0" fontId="30" fillId="0" borderId="0" xfId="3" applyFont="1" applyBorder="1" applyAlignment="1">
      <alignment horizontal="center"/>
    </xf>
    <xf numFmtId="223" fontId="30" fillId="0" borderId="0" xfId="3" applyNumberFormat="1" applyFont="1" applyBorder="1"/>
    <xf numFmtId="232" fontId="30" fillId="0" borderId="0" xfId="3" applyNumberFormat="1" applyFont="1" applyBorder="1"/>
    <xf numFmtId="0" fontId="34" fillId="9" borderId="16" xfId="3" applyFont="1" applyFill="1" applyBorder="1" applyAlignment="1">
      <alignment horizontal="left"/>
    </xf>
    <xf numFmtId="0" fontId="58" fillId="9" borderId="16" xfId="3" applyFont="1" applyFill="1" applyBorder="1" applyAlignment="1">
      <alignment horizontal="centerContinuous"/>
    </xf>
    <xf numFmtId="0" fontId="58" fillId="9" borderId="16" xfId="3" applyFont="1" applyFill="1" applyBorder="1"/>
    <xf numFmtId="211" fontId="32" fillId="0" borderId="0" xfId="3" applyNumberFormat="1" applyFont="1" applyBorder="1" applyAlignment="1">
      <alignment horizontal="right"/>
    </xf>
    <xf numFmtId="209" fontId="32" fillId="0" borderId="12" xfId="3" applyNumberFormat="1" applyFont="1" applyBorder="1"/>
    <xf numFmtId="216" fontId="30" fillId="0" borderId="0" xfId="3" applyNumberFormat="1" applyFont="1" applyBorder="1"/>
    <xf numFmtId="209" fontId="32" fillId="0" borderId="0" xfId="3" applyNumberFormat="1" applyFont="1" applyFill="1"/>
    <xf numFmtId="218" fontId="32" fillId="0" borderId="0" xfId="3" applyNumberFormat="1" applyFont="1" applyFill="1" applyAlignment="1">
      <alignment horizontal="right"/>
    </xf>
    <xf numFmtId="218" fontId="32" fillId="0" borderId="0" xfId="3" applyNumberFormat="1" applyFont="1" applyFill="1"/>
    <xf numFmtId="220" fontId="54" fillId="8" borderId="0" xfId="3" applyNumberFormat="1" applyFont="1" applyFill="1" applyBorder="1" applyAlignment="1">
      <alignment horizontal="left"/>
    </xf>
    <xf numFmtId="218" fontId="39" fillId="0" borderId="0" xfId="3" applyNumberFormat="1" applyFont="1" applyAlignment="1">
      <alignment horizontal="right"/>
    </xf>
    <xf numFmtId="209" fontId="32" fillId="0" borderId="14" xfId="3" applyNumberFormat="1" applyFont="1" applyBorder="1"/>
    <xf numFmtId="209" fontId="32" fillId="0" borderId="13" xfId="3" applyNumberFormat="1" applyFont="1" applyBorder="1"/>
    <xf numFmtId="211" fontId="30" fillId="0" borderId="2" xfId="3" applyNumberFormat="1" applyFont="1" applyFill="1" applyBorder="1"/>
    <xf numFmtId="211" fontId="39" fillId="0" borderId="0" xfId="3" applyNumberFormat="1" applyFont="1" applyFill="1" applyBorder="1" applyAlignment="1">
      <alignment horizontal="right"/>
    </xf>
    <xf numFmtId="0" fontId="30" fillId="0" borderId="0" xfId="3" applyFont="1" applyBorder="1"/>
    <xf numFmtId="0" fontId="36" fillId="0" borderId="0" xfId="3" applyFont="1" applyAlignment="1">
      <alignment horizontal="left" indent="1"/>
    </xf>
    <xf numFmtId="164" fontId="39" fillId="0" borderId="0" xfId="3" applyNumberFormat="1" applyFont="1"/>
    <xf numFmtId="211" fontId="32" fillId="0" borderId="14" xfId="3" applyNumberFormat="1" applyFont="1" applyFill="1" applyBorder="1" applyAlignment="1">
      <alignment horizontal="right"/>
    </xf>
    <xf numFmtId="10" fontId="38" fillId="0" borderId="0" xfId="3" applyNumberFormat="1" applyFont="1" applyBorder="1" applyAlignment="1">
      <alignment horizontal="center"/>
    </xf>
    <xf numFmtId="228" fontId="54" fillId="8" borderId="0" xfId="3" applyNumberFormat="1" applyFont="1" applyFill="1" applyBorder="1" applyAlignment="1">
      <alignment horizontal="center"/>
    </xf>
    <xf numFmtId="225" fontId="54" fillId="8" borderId="0" xfId="3" applyNumberFormat="1" applyFont="1" applyFill="1" applyBorder="1" applyAlignment="1">
      <alignment horizontal="center"/>
    </xf>
    <xf numFmtId="226" fontId="39" fillId="0" borderId="22" xfId="3" applyNumberFormat="1" applyFont="1" applyFill="1" applyBorder="1" applyAlignment="1">
      <alignment horizontal="right"/>
    </xf>
    <xf numFmtId="213" fontId="32" fillId="0" borderId="0" xfId="3" applyNumberFormat="1" applyFont="1" applyFill="1" applyAlignment="1">
      <alignment horizontal="right"/>
    </xf>
    <xf numFmtId="182" fontId="30" fillId="0" borderId="0" xfId="3" applyNumberFormat="1" applyFont="1" applyFill="1" applyBorder="1" applyAlignment="1">
      <alignment horizontal="right"/>
    </xf>
    <xf numFmtId="182" fontId="33" fillId="0" borderId="0" xfId="3" applyNumberFormat="1" applyFont="1" applyFill="1" applyBorder="1" applyAlignment="1">
      <alignment horizontal="right"/>
    </xf>
    <xf numFmtId="213" fontId="32" fillId="0" borderId="14" xfId="3" applyNumberFormat="1" applyFont="1" applyFill="1" applyBorder="1"/>
    <xf numFmtId="213" fontId="32" fillId="0" borderId="0" xfId="3" applyNumberFormat="1" applyFont="1" applyFill="1" applyBorder="1"/>
    <xf numFmtId="178" fontId="32" fillId="0" borderId="0" xfId="3" applyNumberFormat="1" applyFont="1" applyFill="1" applyBorder="1" applyAlignment="1">
      <alignment horizontal="right"/>
    </xf>
    <xf numFmtId="209" fontId="49" fillId="0" borderId="0" xfId="3" applyNumberFormat="1" applyFont="1" applyFill="1"/>
    <xf numFmtId="209" fontId="30" fillId="0" borderId="0" xfId="3" applyNumberFormat="1" applyFont="1" applyFill="1"/>
    <xf numFmtId="213" fontId="32" fillId="0" borderId="0" xfId="3" applyNumberFormat="1" applyFont="1" applyFill="1" applyBorder="1" applyAlignment="1">
      <alignment horizontal="left"/>
    </xf>
    <xf numFmtId="0" fontId="37" fillId="0" borderId="0" xfId="3" applyFont="1" applyFill="1" applyBorder="1" applyAlignment="1">
      <alignment horizontal="right"/>
    </xf>
    <xf numFmtId="223" fontId="32" fillId="0" borderId="0" xfId="3" applyNumberFormat="1" applyFont="1" applyBorder="1"/>
    <xf numFmtId="216" fontId="30" fillId="0" borderId="0" xfId="3" applyNumberFormat="1" applyFont="1" applyFill="1" applyBorder="1"/>
    <xf numFmtId="218" fontId="49" fillId="0" borderId="0" xfId="3" applyNumberFormat="1" applyFont="1"/>
    <xf numFmtId="0" fontId="37" fillId="0" borderId="0" xfId="3" applyFont="1" applyAlignment="1">
      <alignment horizontal="left" indent="1"/>
    </xf>
    <xf numFmtId="0" fontId="32" fillId="0" borderId="0" xfId="3" quotePrefix="1" applyFont="1" applyBorder="1"/>
    <xf numFmtId="168" fontId="32" fillId="0" borderId="0" xfId="3" applyNumberFormat="1" applyFont="1" applyFill="1" applyBorder="1"/>
    <xf numFmtId="168" fontId="32" fillId="0" borderId="0" xfId="3" applyNumberFormat="1" applyFont="1"/>
    <xf numFmtId="211" fontId="32" fillId="0" borderId="14" xfId="3" applyNumberFormat="1" applyFont="1" applyBorder="1"/>
    <xf numFmtId="211" fontId="36" fillId="0" borderId="13" xfId="3" applyNumberFormat="1" applyFont="1" applyBorder="1"/>
    <xf numFmtId="211" fontId="36" fillId="0" borderId="14" xfId="3" applyNumberFormat="1" applyFont="1" applyFill="1" applyBorder="1"/>
    <xf numFmtId="211" fontId="36" fillId="0" borderId="13" xfId="3" applyNumberFormat="1" applyFont="1" applyFill="1" applyBorder="1"/>
    <xf numFmtId="211" fontId="36" fillId="0" borderId="12" xfId="3" applyNumberFormat="1" applyFont="1" applyFill="1" applyBorder="1"/>
    <xf numFmtId="178" fontId="30" fillId="0" borderId="0" xfId="3" applyNumberFormat="1" applyFont="1"/>
    <xf numFmtId="218" fontId="30" fillId="0" borderId="0" xfId="3" applyNumberFormat="1" applyFont="1" applyFill="1"/>
    <xf numFmtId="211" fontId="32" fillId="0" borderId="13" xfId="3" applyNumberFormat="1" applyFont="1" applyBorder="1"/>
    <xf numFmtId="178" fontId="30" fillId="0" borderId="0" xfId="3" applyNumberFormat="1" applyFont="1" applyBorder="1"/>
    <xf numFmtId="210" fontId="36" fillId="0" borderId="14" xfId="3" applyNumberFormat="1" applyFont="1" applyBorder="1"/>
    <xf numFmtId="210" fontId="36" fillId="0" borderId="0" xfId="3" applyNumberFormat="1" applyFont="1" applyBorder="1"/>
    <xf numFmtId="216" fontId="39" fillId="0" borderId="0" xfId="3" applyNumberFormat="1" applyFont="1" applyFill="1" applyBorder="1"/>
    <xf numFmtId="216" fontId="49" fillId="0" borderId="0" xfId="3" applyNumberFormat="1" applyFont="1" applyFill="1" applyBorder="1"/>
    <xf numFmtId="220" fontId="54" fillId="8" borderId="0" xfId="3" applyNumberFormat="1" applyFont="1" applyFill="1" applyBorder="1" applyAlignment="1">
      <alignment horizontal="center"/>
    </xf>
    <xf numFmtId="228" fontId="54" fillId="8" borderId="17" xfId="3" applyNumberFormat="1" applyFont="1" applyFill="1" applyBorder="1" applyAlignment="1">
      <alignment horizontal="center"/>
    </xf>
    <xf numFmtId="224" fontId="54" fillId="8" borderId="0" xfId="3" applyNumberFormat="1" applyFont="1" applyFill="1" applyBorder="1" applyAlignment="1">
      <alignment horizontal="center"/>
    </xf>
    <xf numFmtId="172" fontId="30" fillId="0" borderId="0" xfId="3" applyNumberFormat="1" applyFont="1"/>
    <xf numFmtId="211" fontId="32" fillId="0" borderId="12" xfId="3" applyNumberFormat="1" applyFont="1" applyBorder="1"/>
    <xf numFmtId="0" fontId="36" fillId="0" borderId="0" xfId="3" applyFont="1" applyBorder="1" applyAlignment="1">
      <alignment horizontal="left" indent="1"/>
    </xf>
    <xf numFmtId="211" fontId="32" fillId="0" borderId="0" xfId="3" applyNumberFormat="1" applyFont="1" applyFill="1" applyBorder="1" applyAlignment="1">
      <alignment horizontal="center"/>
    </xf>
    <xf numFmtId="211" fontId="32" fillId="0" borderId="14" xfId="3" applyNumberFormat="1" applyFont="1" applyFill="1" applyBorder="1"/>
    <xf numFmtId="211" fontId="32" fillId="0" borderId="0" xfId="3" applyNumberFormat="1" applyFont="1" applyBorder="1" applyAlignment="1">
      <alignment horizontal="center"/>
    </xf>
    <xf numFmtId="209" fontId="30" fillId="0" borderId="0" xfId="3" applyNumberFormat="1" applyFont="1" applyBorder="1" applyAlignment="1">
      <alignment horizontal="center"/>
    </xf>
    <xf numFmtId="9" fontId="32" fillId="0" borderId="0" xfId="3" applyNumberFormat="1" applyFont="1" applyBorder="1" applyAlignment="1">
      <alignment horizontal="center"/>
    </xf>
    <xf numFmtId="211" fontId="32" fillId="0" borderId="28" xfId="3" applyNumberFormat="1" applyFont="1" applyBorder="1"/>
    <xf numFmtId="211" fontId="32" fillId="0" borderId="29" xfId="3" applyNumberFormat="1" applyFont="1" applyBorder="1"/>
    <xf numFmtId="211" fontId="32" fillId="0" borderId="30" xfId="3" applyNumberFormat="1" applyFont="1" applyBorder="1"/>
    <xf numFmtId="10" fontId="32" fillId="0" borderId="0" xfId="3" applyNumberFormat="1" applyFont="1" applyBorder="1"/>
    <xf numFmtId="232" fontId="32" fillId="0" borderId="22" xfId="3" applyNumberFormat="1" applyFont="1" applyBorder="1"/>
    <xf numFmtId="232" fontId="32" fillId="0" borderId="23" xfId="3" applyNumberFormat="1" applyFont="1" applyBorder="1"/>
    <xf numFmtId="232" fontId="32" fillId="0" borderId="24" xfId="3" applyNumberFormat="1" applyFont="1" applyBorder="1"/>
    <xf numFmtId="0" fontId="30" fillId="0" borderId="22" xfId="3" applyFont="1" applyBorder="1" applyAlignment="1">
      <alignment horizontal="center"/>
    </xf>
    <xf numFmtId="223" fontId="30" fillId="0" borderId="23" xfId="3" applyNumberFormat="1" applyFont="1" applyBorder="1"/>
    <xf numFmtId="232" fontId="30" fillId="0" borderId="23" xfId="3" applyNumberFormat="1" applyFont="1" applyBorder="1"/>
    <xf numFmtId="232" fontId="30" fillId="0" borderId="24" xfId="3" applyNumberFormat="1" applyFont="1" applyBorder="1"/>
    <xf numFmtId="210" fontId="39" fillId="0" borderId="0" xfId="3" applyNumberFormat="1" applyFont="1" applyFill="1" applyBorder="1" applyAlignment="1">
      <alignment horizontal="right"/>
    </xf>
    <xf numFmtId="0" fontId="40" fillId="0" borderId="0" xfId="3" applyNumberFormat="1" applyFont="1" applyFill="1" applyAlignment="1">
      <alignment horizontal="right"/>
    </xf>
    <xf numFmtId="218" fontId="30" fillId="0" borderId="0" xfId="3" applyNumberFormat="1" applyFont="1" applyFill="1" applyAlignment="1">
      <alignment horizontal="right"/>
    </xf>
    <xf numFmtId="213" fontId="39" fillId="0" borderId="14" xfId="3" applyNumberFormat="1" applyFont="1" applyFill="1" applyBorder="1"/>
    <xf numFmtId="213" fontId="30" fillId="0" borderId="0" xfId="3" applyNumberFormat="1" applyFont="1" applyFill="1" applyBorder="1" applyAlignment="1">
      <alignment horizontal="left"/>
    </xf>
    <xf numFmtId="168" fontId="33" fillId="0" borderId="0" xfId="3" applyNumberFormat="1" applyFont="1"/>
    <xf numFmtId="0" fontId="37" fillId="0" borderId="0" xfId="3" applyFont="1" applyAlignment="1">
      <alignment horizontal="left"/>
    </xf>
    <xf numFmtId="37" fontId="33" fillId="5" borderId="5" xfId="3" applyNumberFormat="1" applyFont="1" applyFill="1" applyBorder="1" applyAlignment="1">
      <alignment horizontal="centerContinuous"/>
    </xf>
    <xf numFmtId="224" fontId="36" fillId="0" borderId="0" xfId="3" applyNumberFormat="1" applyFont="1" applyFill="1" applyBorder="1" applyAlignment="1">
      <alignment horizontal="center"/>
    </xf>
    <xf numFmtId="225" fontId="36" fillId="0" borderId="0" xfId="3" applyNumberFormat="1" applyFont="1" applyFill="1" applyBorder="1" applyAlignment="1">
      <alignment horizontal="center"/>
    </xf>
    <xf numFmtId="0" fontId="36" fillId="0" borderId="0" xfId="3" applyFont="1" applyBorder="1" applyAlignment="1">
      <alignment horizontal="center"/>
    </xf>
    <xf numFmtId="0" fontId="60" fillId="0" borderId="0" xfId="3" applyFont="1"/>
    <xf numFmtId="37" fontId="36" fillId="0" borderId="5" xfId="3" applyNumberFormat="1" applyFont="1" applyBorder="1" applyAlignment="1">
      <alignment horizontal="centerContinuous"/>
    </xf>
    <xf numFmtId="218" fontId="32" fillId="0" borderId="11" xfId="3" applyNumberFormat="1" applyFont="1" applyBorder="1"/>
    <xf numFmtId="0" fontId="30" fillId="0" borderId="8" xfId="3" applyFont="1" applyBorder="1" applyAlignment="1">
      <alignment horizontal="center"/>
    </xf>
    <xf numFmtId="0" fontId="30" fillId="0" borderId="8" xfId="3" applyFont="1" applyBorder="1"/>
    <xf numFmtId="216" fontId="51" fillId="0" borderId="0" xfId="3" applyNumberFormat="1" applyFont="1" applyBorder="1" applyAlignment="1">
      <alignment horizontal="center"/>
    </xf>
    <xf numFmtId="216" fontId="41" fillId="0" borderId="0" xfId="3" applyNumberFormat="1" applyFont="1" applyAlignment="1">
      <alignment horizontal="center"/>
    </xf>
    <xf numFmtId="216" fontId="41" fillId="0" borderId="0" xfId="3" applyNumberFormat="1" applyFont="1" applyBorder="1" applyAlignment="1">
      <alignment horizontal="center"/>
    </xf>
    <xf numFmtId="211" fontId="36" fillId="0" borderId="0" xfId="3" applyNumberFormat="1" applyFont="1" applyFill="1" applyBorder="1"/>
    <xf numFmtId="0" fontId="39" fillId="0" borderId="0" xfId="3" applyFont="1" applyFill="1" applyBorder="1" applyAlignment="1">
      <alignment horizontal="centerContinuous"/>
    </xf>
    <xf numFmtId="230" fontId="32" fillId="0" borderId="0" xfId="3" applyNumberFormat="1" applyFont="1" applyBorder="1"/>
    <xf numFmtId="210" fontId="36" fillId="0" borderId="0" xfId="3" applyNumberFormat="1" applyFont="1" applyFill="1" applyBorder="1"/>
    <xf numFmtId="216" fontId="49" fillId="0" borderId="0" xfId="3" applyNumberFormat="1" applyFont="1" applyBorder="1"/>
    <xf numFmtId="209" fontId="32" fillId="0" borderId="13" xfId="3" applyNumberFormat="1" applyFont="1" applyFill="1" applyBorder="1"/>
    <xf numFmtId="221" fontId="36" fillId="0" borderId="0" xfId="3" applyNumberFormat="1" applyFont="1" applyFill="1" applyBorder="1" applyAlignment="1">
      <alignment horizontal="left"/>
    </xf>
    <xf numFmtId="221" fontId="36" fillId="0" borderId="0" xfId="3" applyNumberFormat="1" applyFont="1" applyFill="1" applyBorder="1" applyAlignment="1">
      <alignment horizontal="center"/>
    </xf>
    <xf numFmtId="220" fontId="36" fillId="0" borderId="8" xfId="3" applyNumberFormat="1" applyFont="1" applyFill="1" applyBorder="1" applyAlignment="1">
      <alignment horizontal="center"/>
    </xf>
    <xf numFmtId="220" fontId="36" fillId="0" borderId="4" xfId="3" applyNumberFormat="1" applyFont="1" applyFill="1" applyBorder="1" applyAlignment="1">
      <alignment horizontal="center"/>
    </xf>
    <xf numFmtId="221" fontId="36" fillId="0" borderId="4" xfId="3" applyNumberFormat="1" applyFont="1" applyFill="1" applyBorder="1" applyAlignment="1">
      <alignment horizontal="center"/>
    </xf>
    <xf numFmtId="222" fontId="36" fillId="0" borderId="4" xfId="3" applyNumberFormat="1" applyFont="1" applyFill="1" applyBorder="1" applyAlignment="1">
      <alignment horizontal="center"/>
    </xf>
    <xf numFmtId="0" fontId="60" fillId="0" borderId="0" xfId="3" applyFont="1" applyBorder="1"/>
    <xf numFmtId="37" fontId="36" fillId="0" borderId="5" xfId="3" applyNumberFormat="1" applyFont="1" applyBorder="1" applyAlignment="1">
      <alignment horizontal="center"/>
    </xf>
    <xf numFmtId="218" fontId="32" fillId="0" borderId="10" xfId="3" applyNumberFormat="1" applyFont="1" applyFill="1" applyBorder="1"/>
    <xf numFmtId="180" fontId="30" fillId="0" borderId="0" xfId="3" applyNumberFormat="1" applyFont="1" applyFill="1"/>
    <xf numFmtId="218" fontId="32" fillId="0" borderId="4" xfId="3" applyNumberFormat="1" applyFont="1" applyBorder="1"/>
    <xf numFmtId="0" fontId="70" fillId="0" borderId="0" xfId="3" applyFont="1" applyFill="1"/>
    <xf numFmtId="0" fontId="63" fillId="0" borderId="0" xfId="3" applyFont="1" applyBorder="1" applyAlignment="1">
      <alignment horizontal="left"/>
    </xf>
    <xf numFmtId="217" fontId="39" fillId="0" borderId="4" xfId="3" applyNumberFormat="1" applyFont="1" applyBorder="1" applyAlignment="1">
      <alignment horizontal="center"/>
    </xf>
    <xf numFmtId="209" fontId="30" fillId="0" borderId="2" xfId="3" applyNumberFormat="1" applyFont="1" applyBorder="1"/>
    <xf numFmtId="209" fontId="32" fillId="0" borderId="2" xfId="3" applyNumberFormat="1" applyFont="1" applyBorder="1"/>
    <xf numFmtId="209" fontId="32" fillId="0" borderId="15" xfId="3" applyNumberFormat="1" applyFont="1" applyBorder="1"/>
    <xf numFmtId="211" fontId="37" fillId="0" borderId="0" xfId="3" applyNumberFormat="1" applyFont="1"/>
    <xf numFmtId="227" fontId="32" fillId="0" borderId="0" xfId="3" applyNumberFormat="1" applyFont="1"/>
    <xf numFmtId="231" fontId="32" fillId="0" borderId="0" xfId="3" applyNumberFormat="1" applyFont="1"/>
    <xf numFmtId="0" fontId="71" fillId="0" borderId="0" xfId="3" applyFont="1" applyFill="1" applyBorder="1" applyAlignment="1">
      <alignment horizontal="centerContinuous"/>
    </xf>
    <xf numFmtId="0" fontId="39" fillId="0" borderId="0" xfId="0" applyFont="1" applyFill="1"/>
    <xf numFmtId="217" fontId="39" fillId="0" borderId="0" xfId="3" applyNumberFormat="1" applyFont="1" applyFill="1" applyBorder="1" applyAlignment="1">
      <alignment horizontal="center"/>
    </xf>
    <xf numFmtId="0" fontId="72" fillId="0" borderId="0" xfId="3" applyFont="1" applyFill="1" applyAlignment="1">
      <alignment horizontal="right"/>
    </xf>
    <xf numFmtId="0" fontId="73" fillId="10" borderId="0" xfId="67" applyFont="1" applyFill="1"/>
    <xf numFmtId="0" fontId="73" fillId="0" borderId="0" xfId="67" applyFont="1" applyFill="1" applyBorder="1"/>
    <xf numFmtId="0" fontId="74" fillId="0" borderId="0" xfId="67" applyFont="1" applyFill="1" applyBorder="1" applyProtection="1">
      <protection locked="0"/>
    </xf>
    <xf numFmtId="0" fontId="67" fillId="0" borderId="0" xfId="67" applyFont="1" applyFill="1" applyBorder="1" applyAlignment="1">
      <alignment horizontal="right"/>
    </xf>
    <xf numFmtId="0" fontId="73" fillId="0" borderId="0" xfId="67" applyFont="1" applyFill="1" applyBorder="1" applyProtection="1">
      <protection locked="0"/>
    </xf>
    <xf numFmtId="0" fontId="76" fillId="0" borderId="0" xfId="68" applyFont="1" applyFill="1" applyBorder="1" applyProtection="1">
      <protection locked="0"/>
    </xf>
    <xf numFmtId="0" fontId="73" fillId="0" borderId="21" xfId="67" applyFont="1" applyFill="1" applyBorder="1"/>
    <xf numFmtId="0" fontId="77" fillId="0" borderId="0" xfId="69" applyFont="1" applyFill="1" applyBorder="1"/>
    <xf numFmtId="0" fontId="78" fillId="7" borderId="0" xfId="67" applyFont="1" applyFill="1" applyBorder="1"/>
    <xf numFmtId="0" fontId="73" fillId="7" borderId="0" xfId="67" applyFont="1" applyFill="1" applyBorder="1"/>
    <xf numFmtId="0" fontId="73" fillId="11" borderId="0" xfId="67" applyFont="1" applyFill="1"/>
    <xf numFmtId="0" fontId="78" fillId="7" borderId="0" xfId="67" applyFont="1" applyFill="1"/>
    <xf numFmtId="218" fontId="32" fillId="0" borderId="19" xfId="3" applyNumberFormat="1" applyFont="1" applyBorder="1" applyAlignment="1">
      <alignment horizontal="right"/>
    </xf>
    <xf numFmtId="0" fontId="67" fillId="0" borderId="2" xfId="67" applyFont="1" applyFill="1" applyBorder="1" applyProtection="1">
      <protection locked="0"/>
    </xf>
    <xf numFmtId="211" fontId="30" fillId="0" borderId="18" xfId="3" applyNumberFormat="1" applyFont="1" applyBorder="1" applyAlignment="1">
      <alignment horizontal="right"/>
    </xf>
    <xf numFmtId="209" fontId="39" fillId="0" borderId="0" xfId="3" applyNumberFormat="1" applyFont="1" applyFill="1"/>
    <xf numFmtId="0" fontId="36" fillId="0" borderId="27" xfId="3" applyFont="1" applyFill="1" applyBorder="1"/>
    <xf numFmtId="0" fontId="32" fillId="0" borderId="21" xfId="3" applyFont="1" applyFill="1" applyBorder="1"/>
    <xf numFmtId="0" fontId="32" fillId="0" borderId="25" xfId="3" applyFont="1" applyFill="1" applyBorder="1"/>
    <xf numFmtId="0" fontId="32" fillId="0" borderId="11" xfId="3" applyFont="1" applyFill="1" applyBorder="1"/>
    <xf numFmtId="0" fontId="32" fillId="0" borderId="4" xfId="3" applyFont="1" applyFill="1" applyBorder="1"/>
    <xf numFmtId="216" fontId="32" fillId="0" borderId="10" xfId="3" applyNumberFormat="1" applyFont="1" applyFill="1" applyBorder="1"/>
    <xf numFmtId="211" fontId="32" fillId="0" borderId="26" xfId="3" applyNumberFormat="1" applyFont="1" applyBorder="1"/>
    <xf numFmtId="211" fontId="32" fillId="0" borderId="23" xfId="3" applyNumberFormat="1" applyFont="1" applyBorder="1"/>
    <xf numFmtId="211" fontId="32" fillId="0" borderId="24" xfId="3" applyNumberFormat="1" applyFont="1" applyBorder="1"/>
    <xf numFmtId="209" fontId="40" fillId="0" borderId="23" xfId="3" applyNumberFormat="1" applyFont="1" applyBorder="1"/>
    <xf numFmtId="0" fontId="30" fillId="0" borderId="0" xfId="3" quotePrefix="1" applyFont="1" applyAlignment="1">
      <alignment horizontal="left" indent="1"/>
    </xf>
    <xf numFmtId="211" fontId="40" fillId="0" borderId="21" xfId="3" applyNumberFormat="1" applyFont="1" applyBorder="1"/>
    <xf numFmtId="179" fontId="32" fillId="0" borderId="2" xfId="3" applyNumberFormat="1" applyFont="1" applyBorder="1"/>
    <xf numFmtId="211" fontId="32" fillId="0" borderId="31" xfId="3" applyNumberFormat="1" applyFont="1" applyBorder="1"/>
    <xf numFmtId="211" fontId="32" fillId="0" borderId="32" xfId="3" applyNumberFormat="1" applyFont="1" applyBorder="1"/>
    <xf numFmtId="211" fontId="32" fillId="0" borderId="33" xfId="3" applyNumberFormat="1" applyFont="1" applyBorder="1"/>
    <xf numFmtId="211" fontId="39" fillId="0" borderId="33" xfId="3" applyNumberFormat="1" applyFont="1" applyBorder="1"/>
    <xf numFmtId="211" fontId="39" fillId="0" borderId="31" xfId="3" applyNumberFormat="1" applyFont="1" applyBorder="1"/>
    <xf numFmtId="211" fontId="39" fillId="0" borderId="32" xfId="3" applyNumberFormat="1" applyFont="1" applyBorder="1"/>
    <xf numFmtId="211" fontId="39" fillId="0" borderId="14" xfId="3" applyNumberFormat="1" applyFont="1" applyBorder="1"/>
    <xf numFmtId="211" fontId="39" fillId="0" borderId="13" xfId="3" applyNumberFormat="1" applyFont="1" applyBorder="1"/>
    <xf numFmtId="209" fontId="32" fillId="0" borderId="26" xfId="3" applyNumberFormat="1" applyFont="1" applyBorder="1"/>
    <xf numFmtId="209" fontId="32" fillId="0" borderId="23" xfId="3" applyNumberFormat="1" applyFont="1" applyBorder="1"/>
    <xf numFmtId="218" fontId="30" fillId="15" borderId="5" xfId="3" applyNumberFormat="1" applyFont="1" applyFill="1" applyBorder="1"/>
    <xf numFmtId="226" fontId="32" fillId="0" borderId="0" xfId="3" applyNumberFormat="1" applyFont="1" applyFill="1"/>
    <xf numFmtId="211" fontId="30" fillId="15" borderId="5" xfId="3" applyNumberFormat="1" applyFont="1" applyFill="1" applyBorder="1"/>
    <xf numFmtId="0" fontId="32" fillId="0" borderId="0" xfId="3" applyFont="1" applyBorder="1" applyAlignment="1">
      <alignment horizontal="left" indent="1"/>
    </xf>
    <xf numFmtId="9" fontId="30" fillId="0" borderId="5" xfId="3" applyNumberFormat="1" applyFont="1" applyBorder="1"/>
    <xf numFmtId="218" fontId="32" fillId="0" borderId="0" xfId="3" applyNumberFormat="1" applyFont="1" applyBorder="1"/>
    <xf numFmtId="9" fontId="38" fillId="0" borderId="0" xfId="3" applyNumberFormat="1" applyFont="1" applyBorder="1" applyAlignment="1">
      <alignment horizontal="center"/>
    </xf>
    <xf numFmtId="0" fontId="32" fillId="0" borderId="2" xfId="3" applyFont="1" applyBorder="1"/>
    <xf numFmtId="218" fontId="30" fillId="15" borderId="5" xfId="3" applyNumberFormat="1" applyFont="1" applyFill="1" applyBorder="1" applyAlignment="1">
      <alignment horizontal="right"/>
    </xf>
    <xf numFmtId="0" fontId="0" fillId="0" borderId="2" xfId="0" applyBorder="1"/>
    <xf numFmtId="233" fontId="32" fillId="0" borderId="0" xfId="11" applyNumberFormat="1" applyFont="1" applyBorder="1"/>
    <xf numFmtId="165" fontId="32" fillId="0" borderId="0" xfId="3" applyNumberFormat="1" applyFont="1" applyBorder="1"/>
    <xf numFmtId="2" fontId="32" fillId="0" borderId="0" xfId="3" applyNumberFormat="1" applyFont="1"/>
    <xf numFmtId="0" fontId="92" fillId="0" borderId="21" xfId="3" applyFont="1" applyFill="1" applyBorder="1"/>
    <xf numFmtId="0" fontId="32" fillId="0" borderId="0" xfId="3" quotePrefix="1" applyFont="1" applyFill="1" applyAlignment="1">
      <alignment horizontal="left"/>
    </xf>
    <xf numFmtId="218" fontId="32" fillId="0" borderId="0" xfId="3" applyNumberFormat="1" applyFont="1" applyFill="1" applyBorder="1" applyAlignment="1">
      <alignment horizontal="right"/>
    </xf>
    <xf numFmtId="211" fontId="32" fillId="0" borderId="18" xfId="3" applyNumberFormat="1" applyFont="1" applyFill="1" applyBorder="1" applyAlignment="1">
      <alignment horizontal="right"/>
    </xf>
    <xf numFmtId="218" fontId="32" fillId="0" borderId="19" xfId="3" applyNumberFormat="1" applyFont="1" applyFill="1" applyBorder="1" applyAlignment="1">
      <alignment horizontal="right"/>
    </xf>
    <xf numFmtId="232" fontId="30" fillId="0" borderId="0" xfId="3" applyNumberFormat="1" applyFont="1" applyFill="1" applyBorder="1"/>
    <xf numFmtId="0" fontId="0" fillId="0" borderId="0" xfId="0" applyFill="1"/>
    <xf numFmtId="0" fontId="32" fillId="0" borderId="23" xfId="3" applyFont="1" applyBorder="1"/>
    <xf numFmtId="0" fontId="32" fillId="0" borderId="26" xfId="0" applyFont="1" applyBorder="1"/>
    <xf numFmtId="0" fontId="32" fillId="0" borderId="23" xfId="0" applyFont="1" applyBorder="1"/>
    <xf numFmtId="209" fontId="39" fillId="0" borderId="0" xfId="0" applyNumberFormat="1" applyFont="1"/>
    <xf numFmtId="9" fontId="39" fillId="0" borderId="0" xfId="0" applyNumberFormat="1" applyFont="1"/>
    <xf numFmtId="9" fontId="32" fillId="0" borderId="0" xfId="0" applyNumberFormat="1" applyFont="1"/>
    <xf numFmtId="209" fontId="32" fillId="0" borderId="0" xfId="0" applyNumberFormat="1" applyFont="1"/>
    <xf numFmtId="209" fontId="32" fillId="0" borderId="26" xfId="0" applyNumberFormat="1" applyFont="1" applyBorder="1"/>
    <xf numFmtId="209" fontId="32" fillId="0" borderId="23" xfId="0" applyNumberFormat="1" applyFont="1" applyBorder="1"/>
    <xf numFmtId="209" fontId="32" fillId="0" borderId="24" xfId="0" applyNumberFormat="1" applyFont="1" applyBorder="1"/>
    <xf numFmtId="218" fontId="30" fillId="0" borderId="0" xfId="0" applyNumberFormat="1" applyFont="1"/>
    <xf numFmtId="213" fontId="32" fillId="0" borderId="0" xfId="0" applyNumberFormat="1" applyFont="1"/>
    <xf numFmtId="0" fontId="36" fillId="16" borderId="27" xfId="0" applyFont="1" applyFill="1" applyBorder="1"/>
    <xf numFmtId="0" fontId="36" fillId="16" borderId="21" xfId="0" applyFont="1" applyFill="1" applyBorder="1"/>
    <xf numFmtId="210" fontId="36" fillId="16" borderId="25" xfId="0" applyNumberFormat="1" applyFont="1" applyFill="1" applyBorder="1"/>
    <xf numFmtId="0" fontId="37" fillId="16" borderId="3" xfId="0" applyFont="1" applyFill="1" applyBorder="1"/>
    <xf numFmtId="0" fontId="37" fillId="16" borderId="2" xfId="0" applyFont="1" applyFill="1" applyBorder="1"/>
    <xf numFmtId="218" fontId="37" fillId="16" borderId="34" xfId="0" applyNumberFormat="1" applyFont="1" applyFill="1" applyBorder="1"/>
    <xf numFmtId="0" fontId="38" fillId="0" borderId="0" xfId="0" applyFont="1"/>
    <xf numFmtId="226" fontId="30" fillId="0" borderId="0" xfId="0" applyNumberFormat="1" applyFont="1"/>
    <xf numFmtId="0" fontId="37" fillId="0" borderId="0" xfId="0" applyFont="1"/>
  </cellXfs>
  <cellStyles count="89">
    <cellStyle name="$0.0;($0.0)" xfId="1" xr:uid="{00000000-0005-0000-0000-000000000000}"/>
    <cellStyle name="$0.00;($0.00)" xfId="2" xr:uid="{00000000-0005-0000-0000-000001000000}"/>
    <cellStyle name="******************************************" xfId="3" xr:uid="{00000000-0005-0000-0000-000002000000}"/>
    <cellStyle name="0000" xfId="4" xr:uid="{00000000-0005-0000-0000-000003000000}"/>
    <cellStyle name="000000" xfId="5" xr:uid="{00000000-0005-0000-0000-000004000000}"/>
    <cellStyle name="After Percent" xfId="6" xr:uid="{00000000-0005-0000-0000-000005000000}"/>
    <cellStyle name="after_multiple" xfId="7" xr:uid="{00000000-0005-0000-0000-000006000000}"/>
    <cellStyle name="blank" xfId="8" xr:uid="{00000000-0005-0000-0000-000007000000}"/>
    <cellStyle name="Body_$Dollars" xfId="9" xr:uid="{00000000-0005-0000-0000-000008000000}"/>
    <cellStyle name="Center" xfId="10" xr:uid="{00000000-0005-0000-0000-000009000000}"/>
    <cellStyle name="ChartingText" xfId="70" xr:uid="{00000000-0005-0000-0000-00000A000000}"/>
    <cellStyle name="CHPTop" xfId="71" xr:uid="{00000000-0005-0000-0000-00000B000000}"/>
    <cellStyle name="ColumnHeaderNormal" xfId="72" xr:uid="{00000000-0005-0000-0000-00000C000000}"/>
    <cellStyle name="Comma" xfId="11" builtinId="3"/>
    <cellStyle name="Comma [1]" xfId="12" xr:uid="{00000000-0005-0000-0000-00000E000000}"/>
    <cellStyle name="Comma 1 (show zero)" xfId="13" xr:uid="{00000000-0005-0000-0000-00000F000000}"/>
    <cellStyle name="Comma 2" xfId="73" xr:uid="{00000000-0005-0000-0000-000010000000}"/>
    <cellStyle name="Comma 3" xfId="74" xr:uid="{00000000-0005-0000-0000-000011000000}"/>
    <cellStyle name="Currency [1]" xfId="14" xr:uid="{00000000-0005-0000-0000-000012000000}"/>
    <cellStyle name="Currency0" xfId="15" xr:uid="{00000000-0005-0000-0000-000013000000}"/>
    <cellStyle name="Currency1" xfId="16" xr:uid="{00000000-0005-0000-0000-000014000000}"/>
    <cellStyle name="Currency2" xfId="17" xr:uid="{00000000-0005-0000-0000-000015000000}"/>
    <cellStyle name="Date" xfId="18" xr:uid="{00000000-0005-0000-0000-000016000000}"/>
    <cellStyle name="Dollar [1]" xfId="19" xr:uid="{00000000-0005-0000-0000-000017000000}"/>
    <cellStyle name="Dollars" xfId="20" xr:uid="{00000000-0005-0000-0000-000018000000}"/>
    <cellStyle name="ExchangeRatio" xfId="21" xr:uid="{00000000-0005-0000-0000-000019000000}"/>
    <cellStyle name="EY%colcalc" xfId="22" xr:uid="{00000000-0005-0000-0000-00001A000000}"/>
    <cellStyle name="EY%input" xfId="23" xr:uid="{00000000-0005-0000-0000-00001B000000}"/>
    <cellStyle name="EY%rowcalc" xfId="24" xr:uid="{00000000-0005-0000-0000-00001C000000}"/>
    <cellStyle name="EY0dp" xfId="25" xr:uid="{00000000-0005-0000-0000-00001D000000}"/>
    <cellStyle name="EY1dp" xfId="26" xr:uid="{00000000-0005-0000-0000-00001E000000}"/>
    <cellStyle name="EY2dp" xfId="27" xr:uid="{00000000-0005-0000-0000-00001F000000}"/>
    <cellStyle name="EY3dp" xfId="28" xr:uid="{00000000-0005-0000-0000-000020000000}"/>
    <cellStyle name="EYColumnHeading" xfId="29" xr:uid="{00000000-0005-0000-0000-000021000000}"/>
    <cellStyle name="EYHeading1" xfId="30" xr:uid="{00000000-0005-0000-0000-000022000000}"/>
    <cellStyle name="EYheading2" xfId="31" xr:uid="{00000000-0005-0000-0000-000023000000}"/>
    <cellStyle name="EYheading3" xfId="32" xr:uid="{00000000-0005-0000-0000-000024000000}"/>
    <cellStyle name="EYnumber" xfId="33" xr:uid="{00000000-0005-0000-0000-000025000000}"/>
    <cellStyle name="EYSheetHeader1" xfId="34" xr:uid="{00000000-0005-0000-0000-000026000000}"/>
    <cellStyle name="EYtext" xfId="35" xr:uid="{00000000-0005-0000-0000-000027000000}"/>
    <cellStyle name="Grey" xfId="36" xr:uid="{00000000-0005-0000-0000-000028000000}"/>
    <cellStyle name="Header" xfId="37" xr:uid="{00000000-0005-0000-0000-000029000000}"/>
    <cellStyle name="Header1" xfId="38" xr:uid="{00000000-0005-0000-0000-00002A000000}"/>
    <cellStyle name="Header2" xfId="39" xr:uid="{00000000-0005-0000-0000-00002B000000}"/>
    <cellStyle name="Hyperlink" xfId="68" builtinId="8"/>
    <cellStyle name="Hyperlink 2 2" xfId="69" xr:uid="{00000000-0005-0000-0000-00002D000000}"/>
    <cellStyle name="Input" xfId="40" builtinId="20" customBuiltin="1"/>
    <cellStyle name="Input [yellow]" xfId="41" xr:uid="{00000000-0005-0000-0000-00002F000000}"/>
    <cellStyle name="integer" xfId="42" xr:uid="{00000000-0005-0000-0000-000030000000}"/>
    <cellStyle name="Invisible" xfId="75" xr:uid="{00000000-0005-0000-0000-000031000000}"/>
    <cellStyle name="MonthDate" xfId="43" xr:uid="{00000000-0005-0000-0000-000032000000}"/>
    <cellStyle name="Multiple" xfId="44" xr:uid="{00000000-0005-0000-0000-000033000000}"/>
    <cellStyle name="NewColumnHeaderNormal" xfId="76" xr:uid="{00000000-0005-0000-0000-000034000000}"/>
    <cellStyle name="NewSectionHeaderNormal" xfId="77" xr:uid="{00000000-0005-0000-0000-000035000000}"/>
    <cellStyle name="NewTitleNormal" xfId="78" xr:uid="{00000000-0005-0000-0000-000036000000}"/>
    <cellStyle name="Normal" xfId="0" builtinId="0"/>
    <cellStyle name="Normal - Style1" xfId="45" xr:uid="{00000000-0005-0000-0000-000038000000}"/>
    <cellStyle name="Normal 2" xfId="66" xr:uid="{00000000-0005-0000-0000-000039000000}"/>
    <cellStyle name="Normal 2 2" xfId="67" xr:uid="{00000000-0005-0000-0000-00003A000000}"/>
    <cellStyle name="Normal 3" xfId="79" xr:uid="{00000000-0005-0000-0000-00003B000000}"/>
    <cellStyle name="Number0" xfId="46" xr:uid="{00000000-0005-0000-0000-00003C000000}"/>
    <cellStyle name="Number1" xfId="47" xr:uid="{00000000-0005-0000-0000-00003D000000}"/>
    <cellStyle name="Number2" xfId="48" xr:uid="{00000000-0005-0000-0000-00003E000000}"/>
    <cellStyle name="Percent (0)" xfId="49" xr:uid="{00000000-0005-0000-0000-00003F000000}"/>
    <cellStyle name="Percent [2]" xfId="50" xr:uid="{00000000-0005-0000-0000-000040000000}"/>
    <cellStyle name="Percent 2" xfId="80" xr:uid="{00000000-0005-0000-0000-000041000000}"/>
    <cellStyle name="Percent 3" xfId="81" xr:uid="{00000000-0005-0000-0000-000042000000}"/>
    <cellStyle name="PSChar" xfId="51" xr:uid="{00000000-0005-0000-0000-000043000000}"/>
    <cellStyle name="PSDate" xfId="52" xr:uid="{00000000-0005-0000-0000-000044000000}"/>
    <cellStyle name="PSDec" xfId="53" xr:uid="{00000000-0005-0000-0000-000045000000}"/>
    <cellStyle name="PSHeading" xfId="54" xr:uid="{00000000-0005-0000-0000-000046000000}"/>
    <cellStyle name="PSInt" xfId="55" xr:uid="{00000000-0005-0000-0000-000047000000}"/>
    <cellStyle name="PSSpacer" xfId="56" xr:uid="{00000000-0005-0000-0000-000048000000}"/>
    <cellStyle name="Regular" xfId="57" xr:uid="{00000000-0005-0000-0000-000049000000}"/>
    <cellStyle name="SectionHeaderNormal" xfId="82" xr:uid="{00000000-0005-0000-0000-00004A000000}"/>
    <cellStyle name="Short Date" xfId="58" xr:uid="{00000000-0005-0000-0000-00004B000000}"/>
    <cellStyle name="SubScript" xfId="83" xr:uid="{00000000-0005-0000-0000-00004C000000}"/>
    <cellStyle name="SuperScript" xfId="84" xr:uid="{00000000-0005-0000-0000-00004D000000}"/>
    <cellStyle name="t" xfId="59" xr:uid="{00000000-0005-0000-0000-00004E000000}"/>
    <cellStyle name="Table_Header" xfId="60" xr:uid="{00000000-0005-0000-0000-00004F000000}"/>
    <cellStyle name="taples Plaza" xfId="61" xr:uid="{00000000-0005-0000-0000-000050000000}"/>
    <cellStyle name="TextBold" xfId="85" xr:uid="{00000000-0005-0000-0000-000051000000}"/>
    <cellStyle name="TextItalic" xfId="86" xr:uid="{00000000-0005-0000-0000-000052000000}"/>
    <cellStyle name="TextNormal" xfId="87" xr:uid="{00000000-0005-0000-0000-000053000000}"/>
    <cellStyle name="TitleNormal" xfId="88" xr:uid="{00000000-0005-0000-0000-000054000000}"/>
    <cellStyle name="Underline_Double" xfId="62" xr:uid="{00000000-0005-0000-0000-000055000000}"/>
    <cellStyle name="Validation" xfId="63" xr:uid="{00000000-0005-0000-0000-000056000000}"/>
    <cellStyle name="WhiteCells" xfId="64" xr:uid="{00000000-0005-0000-0000-000057000000}"/>
    <cellStyle name="WingDing" xfId="65" xr:uid="{00000000-0005-0000-0000-000058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40000"/>
      <rgbColor rgb="0000FF00"/>
      <rgbColor rgb="000000FF"/>
      <rgbColor rgb="00FFFF00"/>
      <rgbColor rgb="00FF00FF"/>
      <rgbColor rgb="0000FFFF"/>
      <rgbColor rgb="00800000"/>
      <rgbColor rgb="00008000"/>
      <rgbColor rgb="00001C5C"/>
      <rgbColor rgb="00461A3E"/>
      <rgbColor rgb="00461A3E"/>
      <rgbColor rgb="00008080"/>
      <rgbColor rgb="00C0C0C0"/>
      <rgbColor rgb="00808080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4F83B3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B6760"/>
      <rgbColor rgb="00B3AEA4"/>
      <rgbColor rgb="00032043"/>
      <rgbColor rgb="00339966"/>
      <rgbColor rgb="003E862E"/>
      <rgbColor rgb="00CC0000"/>
      <rgbColor rgb="00EDAD1D"/>
      <rgbColor rgb="00993366"/>
      <rgbColor rgb="004F83B3"/>
      <rgbColor rgb="00333333"/>
    </indexedColors>
    <mruColors>
      <color rgb="FFE6E7E8"/>
      <color rgb="FFED942D"/>
      <color rgb="FF132E57"/>
      <color rgb="FFED9423"/>
      <color rgb="FFFA621C"/>
      <color rgb="FFFFFF66"/>
      <color rgb="FFFFFF00"/>
      <color rgb="FF17375E"/>
      <color rgb="FF9999FF"/>
      <color rgb="FF3760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659287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AAFE5-1D2B-445D-A422-7ECC1F99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799" y="762000"/>
          <a:ext cx="3354863" cy="1581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0Allen\Presentations\creative%203_8_99%20excel%20sup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Fcst"/>
      <sheetName val="J_N slide (2)"/>
      <sheetName val="A (2)"/>
      <sheetName val="J_N slide"/>
      <sheetName val="Order taking _fulfillment (2)"/>
      <sheetName val="Sheet1"/>
      <sheetName val="A"/>
      <sheetName val="Order taking _fulfillment"/>
      <sheetName val="Net Sales Graph"/>
      <sheetName val="Op inc graph"/>
      <sheetName val="op inc as pct t"/>
      <sheetName val="Fall Plan"/>
      <sheetName val="Balance Sheet"/>
      <sheetName val="Fiscal Year"/>
      <sheetName val="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K11">
            <v>2.572728592865095E-2</v>
          </cell>
        </row>
        <row r="12">
          <cell r="K12">
            <v>2.7652109685162959E-2</v>
          </cell>
        </row>
        <row r="13">
          <cell r="K13">
            <v>5.1020408163265307E-2</v>
          </cell>
        </row>
        <row r="14">
          <cell r="K14">
            <v>4.4298773461705888E-2</v>
          </cell>
        </row>
        <row r="15">
          <cell r="K15">
            <v>6.1410836189762938E-2</v>
          </cell>
        </row>
        <row r="16">
          <cell r="K16">
            <v>6.0866833074412194E-2</v>
          </cell>
        </row>
        <row r="17">
          <cell r="K17">
            <v>6.4106534530814496E-2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49"/>
  <sheetViews>
    <sheetView showGridLines="0" tabSelected="1" zoomScaleNormal="100" workbookViewId="0">
      <selection activeCell="C13" sqref="C13"/>
    </sheetView>
  </sheetViews>
  <sheetFormatPr defaultColWidth="10.69921875" defaultRowHeight="14"/>
  <cols>
    <col min="1" max="2" width="12.796875" style="401" customWidth="1"/>
    <col min="3" max="3" width="34" style="401" customWidth="1"/>
    <col min="4" max="22" width="12.796875" style="401" customWidth="1"/>
    <col min="23" max="25" width="10.69921875" style="401"/>
    <col min="26" max="26" width="10.69921875" style="401" customWidth="1"/>
    <col min="27" max="16384" width="10.69921875" style="401"/>
  </cols>
  <sheetData>
    <row r="1" spans="2:15" ht="19.5" customHeight="1"/>
    <row r="2" spans="2:15" ht="19.5" customHeight="1"/>
    <row r="3" spans="2:15" ht="19.5" customHeight="1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</row>
    <row r="4" spans="2:15" ht="19.5" customHeight="1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</row>
    <row r="5" spans="2:15" ht="19.5" customHeight="1">
      <c r="B5" s="402"/>
      <c r="C5" s="402"/>
      <c r="D5" s="402"/>
      <c r="E5" s="402"/>
      <c r="F5" s="402"/>
      <c r="G5" s="402"/>
      <c r="H5" s="402"/>
      <c r="I5" s="402"/>
      <c r="J5" s="402"/>
      <c r="K5" s="402"/>
      <c r="L5" s="402"/>
      <c r="M5" s="402"/>
      <c r="N5" s="402"/>
      <c r="O5" s="402"/>
    </row>
    <row r="6" spans="2:15" ht="19.5" customHeight="1"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</row>
    <row r="7" spans="2:15" ht="19.5" customHeight="1">
      <c r="B7" s="402"/>
      <c r="C7" s="402"/>
      <c r="D7" s="402"/>
      <c r="E7" s="402"/>
      <c r="F7" s="402"/>
      <c r="G7" s="402"/>
      <c r="H7" s="402"/>
      <c r="I7" s="402"/>
      <c r="J7" s="402"/>
      <c r="K7" s="402"/>
      <c r="L7" s="402"/>
      <c r="M7" s="402"/>
      <c r="N7" s="402"/>
      <c r="O7" s="402"/>
    </row>
    <row r="8" spans="2:15" ht="19.5" customHeight="1"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</row>
    <row r="9" spans="2:15" ht="19.5" customHeight="1">
      <c r="B9" s="402"/>
      <c r="C9" s="402"/>
      <c r="D9" s="402"/>
      <c r="E9" s="402"/>
      <c r="F9" s="402"/>
      <c r="G9" s="402"/>
      <c r="H9" s="402"/>
      <c r="I9" s="402"/>
      <c r="J9" s="402"/>
      <c r="K9" s="402"/>
      <c r="L9" s="402"/>
      <c r="M9" s="402"/>
      <c r="N9" s="402"/>
      <c r="O9" s="402"/>
    </row>
    <row r="10" spans="2:15" ht="19.5" customHeight="1">
      <c r="B10" s="402"/>
      <c r="C10" s="402"/>
      <c r="D10" s="402"/>
      <c r="E10" s="402"/>
      <c r="F10" s="402"/>
      <c r="G10" s="402"/>
      <c r="H10" s="402"/>
      <c r="I10" s="402"/>
      <c r="J10" s="402"/>
      <c r="K10" s="402"/>
      <c r="L10" s="402"/>
      <c r="M10" s="402"/>
      <c r="N10" s="402"/>
      <c r="O10" s="402"/>
    </row>
    <row r="11" spans="2:15" ht="19.5" customHeight="1">
      <c r="B11" s="402"/>
      <c r="C11" s="402"/>
      <c r="D11" s="402"/>
      <c r="E11" s="402"/>
      <c r="F11" s="402"/>
      <c r="G11" s="402"/>
      <c r="H11" s="402"/>
      <c r="I11" s="402"/>
      <c r="J11" s="402"/>
      <c r="K11" s="402"/>
      <c r="L11" s="402"/>
      <c r="M11" s="402"/>
      <c r="N11" s="402"/>
      <c r="O11" s="402"/>
    </row>
    <row r="12" spans="2:15" ht="27">
      <c r="B12" s="402"/>
      <c r="C12" s="403" t="s">
        <v>316</v>
      </c>
      <c r="D12" s="402"/>
      <c r="E12" s="402"/>
      <c r="F12" s="402"/>
      <c r="G12" s="402"/>
      <c r="H12" s="402"/>
      <c r="I12" s="402"/>
      <c r="J12" s="402"/>
      <c r="K12" s="402"/>
      <c r="L12" s="402"/>
      <c r="M12" s="402"/>
      <c r="N12" s="404" t="s">
        <v>217</v>
      </c>
      <c r="O12" s="402"/>
    </row>
    <row r="13" spans="2:15" ht="19.5" customHeight="1">
      <c r="B13" s="402"/>
      <c r="C13" s="405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2"/>
      <c r="O13" s="402"/>
    </row>
    <row r="14" spans="2:15" ht="19.5" customHeight="1">
      <c r="B14" s="402"/>
      <c r="C14" s="414" t="s">
        <v>218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</row>
    <row r="15" spans="2:15" ht="19.5" customHeight="1">
      <c r="B15" s="402"/>
      <c r="C15" s="406" t="s">
        <v>196</v>
      </c>
      <c r="D15" s="402"/>
      <c r="E15" s="402"/>
      <c r="F15" s="402"/>
      <c r="G15" s="402"/>
      <c r="H15" s="402"/>
      <c r="I15" s="402"/>
      <c r="J15" s="402"/>
      <c r="K15" s="402"/>
      <c r="L15" s="402"/>
      <c r="M15" s="402"/>
      <c r="N15" s="402"/>
      <c r="O15" s="402"/>
    </row>
    <row r="16" spans="2:15" ht="19.5" customHeight="1">
      <c r="B16" s="402"/>
      <c r="C16" s="406" t="s">
        <v>298</v>
      </c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</row>
    <row r="17" spans="2:15" ht="19.5" customHeight="1">
      <c r="B17" s="402"/>
      <c r="C17" s="406" t="s">
        <v>40</v>
      </c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</row>
    <row r="18" spans="2:15" ht="19.5" customHeight="1">
      <c r="B18" s="402"/>
      <c r="C18" s="406" t="s">
        <v>41</v>
      </c>
      <c r="D18" s="402"/>
      <c r="E18" s="402"/>
      <c r="F18" s="402"/>
      <c r="G18" s="402"/>
      <c r="H18" s="402"/>
      <c r="I18" s="402"/>
      <c r="J18" s="402"/>
      <c r="K18" s="402"/>
      <c r="L18" s="402"/>
      <c r="M18" s="402"/>
      <c r="N18" s="402"/>
      <c r="O18" s="402"/>
    </row>
    <row r="19" spans="2:15" ht="19.5" customHeight="1">
      <c r="B19" s="402"/>
      <c r="C19" s="406" t="s">
        <v>299</v>
      </c>
      <c r="D19" s="402"/>
      <c r="E19" s="402"/>
      <c r="F19" s="402"/>
      <c r="G19" s="402"/>
      <c r="H19" s="402"/>
      <c r="I19" s="402"/>
      <c r="J19" s="402"/>
      <c r="K19" s="402"/>
      <c r="L19" s="402"/>
      <c r="M19" s="402"/>
      <c r="N19" s="402"/>
      <c r="O19" s="402"/>
    </row>
    <row r="20" spans="2:15" ht="19.5" customHeight="1">
      <c r="B20" s="402"/>
      <c r="C20" s="406" t="s">
        <v>300</v>
      </c>
      <c r="D20" s="402"/>
      <c r="E20" s="402"/>
      <c r="F20" s="402"/>
      <c r="G20" s="402"/>
      <c r="H20" s="402"/>
      <c r="I20" s="402"/>
      <c r="J20" s="402"/>
      <c r="K20" s="402"/>
      <c r="L20" s="402"/>
      <c r="M20" s="402"/>
      <c r="N20" s="402"/>
      <c r="O20" s="402"/>
    </row>
    <row r="21" spans="2:15" ht="19.5" customHeight="1">
      <c r="B21" s="402"/>
      <c r="C21" s="406"/>
      <c r="D21" s="402"/>
      <c r="E21" s="402"/>
      <c r="F21" s="402"/>
      <c r="G21" s="402"/>
      <c r="H21" s="402"/>
      <c r="I21" s="402"/>
      <c r="J21" s="402"/>
      <c r="K21" s="402"/>
      <c r="L21" s="402"/>
      <c r="M21" s="402"/>
      <c r="N21" s="402"/>
      <c r="O21" s="402"/>
    </row>
    <row r="22" spans="2:15" ht="19.5" customHeight="1">
      <c r="B22" s="402"/>
      <c r="C22" s="402" t="s">
        <v>219</v>
      </c>
      <c r="D22" s="402"/>
      <c r="E22" s="402"/>
      <c r="F22" s="402"/>
      <c r="G22" s="402"/>
      <c r="H22" s="402"/>
      <c r="I22" s="402"/>
      <c r="J22" s="402"/>
      <c r="K22" s="402"/>
      <c r="L22" s="402"/>
      <c r="M22" s="402"/>
      <c r="N22" s="402"/>
      <c r="O22" s="402"/>
    </row>
    <row r="23" spans="2:15" ht="19.5" customHeight="1">
      <c r="B23" s="402"/>
      <c r="C23" s="407" t="s">
        <v>220</v>
      </c>
      <c r="D23" s="407"/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2"/>
    </row>
    <row r="24" spans="2:15" ht="19.5" customHeight="1">
      <c r="B24" s="402"/>
      <c r="C24" s="402" t="s">
        <v>221</v>
      </c>
      <c r="D24" s="402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402"/>
    </row>
    <row r="25" spans="2:15" ht="19.5" customHeight="1">
      <c r="B25" s="402"/>
      <c r="C25" s="408" t="s">
        <v>222</v>
      </c>
      <c r="D25" s="402"/>
      <c r="E25" s="402"/>
      <c r="F25" s="402"/>
      <c r="G25" s="402"/>
      <c r="H25" s="402"/>
      <c r="I25" s="402"/>
      <c r="J25" s="402"/>
      <c r="K25" s="402"/>
      <c r="L25" s="402"/>
      <c r="M25" s="402"/>
      <c r="N25" s="402"/>
      <c r="O25" s="402"/>
    </row>
    <row r="26" spans="2:15" ht="19.5" customHeight="1">
      <c r="B26" s="402"/>
      <c r="C26" s="408"/>
      <c r="D26" s="402"/>
      <c r="E26" s="402"/>
      <c r="F26" s="402"/>
      <c r="G26" s="402"/>
      <c r="H26" s="402"/>
      <c r="I26" s="402"/>
      <c r="J26" s="402"/>
      <c r="K26" s="402"/>
      <c r="L26" s="402"/>
      <c r="M26" s="402"/>
      <c r="N26" s="402"/>
      <c r="O26" s="402"/>
    </row>
    <row r="27" spans="2:15" ht="19.5" customHeight="1">
      <c r="B27" s="402"/>
      <c r="C27" s="409" t="s">
        <v>223</v>
      </c>
      <c r="D27" s="410"/>
      <c r="E27" s="410"/>
      <c r="F27" s="410"/>
      <c r="G27" s="410"/>
      <c r="H27" s="410"/>
      <c r="I27" s="410"/>
      <c r="J27" s="410"/>
      <c r="K27" s="410"/>
      <c r="L27" s="410"/>
      <c r="M27" s="410"/>
      <c r="N27" s="410"/>
      <c r="O27" s="402"/>
    </row>
    <row r="28" spans="2:15" ht="19.5" customHeight="1">
      <c r="B28" s="411"/>
      <c r="C28" s="412" t="s">
        <v>224</v>
      </c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1"/>
    </row>
    <row r="29" spans="2:15" ht="19.5" customHeight="1">
      <c r="B29" s="411"/>
      <c r="C29" s="412" t="s">
        <v>225</v>
      </c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1"/>
    </row>
    <row r="30" spans="2:15" ht="19.5" customHeight="1">
      <c r="B30" s="411"/>
      <c r="C30" s="412" t="s">
        <v>226</v>
      </c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1"/>
    </row>
    <row r="31" spans="2:15" ht="19.5" customHeight="1">
      <c r="B31" s="411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1"/>
    </row>
    <row r="32" spans="2:15" ht="19.5" customHeight="1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</row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  <row r="46" ht="19.5" customHeight="1"/>
    <row r="47" ht="19.5" customHeight="1"/>
    <row r="48" ht="19.5" customHeight="1"/>
    <row r="49" ht="19.5" customHeight="1"/>
  </sheetData>
  <hyperlinks>
    <hyperlink ref="C25" r:id="rId1" xr:uid="{00000000-0004-0000-0000-000000000000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3"/>
  <sheetViews>
    <sheetView showGridLines="0" zoomScaleNormal="100" zoomScaleSheetLayoutView="115" workbookViewId="0"/>
  </sheetViews>
  <sheetFormatPr defaultColWidth="9.296875" defaultRowHeight="13"/>
  <cols>
    <col min="1" max="1" width="2.796875" style="9" customWidth="1"/>
    <col min="2" max="8" width="13.296875" style="9" customWidth="1"/>
    <col min="9" max="16384" width="9.296875" style="9"/>
  </cols>
  <sheetData>
    <row r="1" spans="1:8">
      <c r="A1" s="8"/>
    </row>
    <row r="2" spans="1:8" ht="22.5">
      <c r="B2" s="453" t="s">
        <v>301</v>
      </c>
      <c r="C2" s="255"/>
      <c r="D2" s="255"/>
      <c r="E2" s="255"/>
      <c r="F2" s="255"/>
      <c r="G2" s="255"/>
      <c r="H2" s="255"/>
    </row>
    <row r="3" spans="1:8" s="10" customFormat="1" ht="20.149999999999999" customHeight="1">
      <c r="A3" s="9"/>
      <c r="B3" s="252" t="s">
        <v>30</v>
      </c>
      <c r="C3" s="253"/>
      <c r="D3" s="253"/>
      <c r="E3" s="253"/>
      <c r="F3" s="253"/>
      <c r="G3" s="253"/>
      <c r="H3" s="253"/>
    </row>
    <row r="5" spans="1:8">
      <c r="B5" s="9" t="s">
        <v>45</v>
      </c>
      <c r="E5" s="11">
        <v>43643</v>
      </c>
    </row>
    <row r="6" spans="1:8">
      <c r="B6" s="9" t="s">
        <v>97</v>
      </c>
      <c r="E6" s="11">
        <v>43830</v>
      </c>
      <c r="F6" s="12"/>
      <c r="G6" s="13"/>
      <c r="H6" s="13"/>
    </row>
    <row r="7" spans="1:8">
      <c r="G7" s="14"/>
      <c r="H7" s="14"/>
    </row>
    <row r="8" spans="1:8" s="14" customFormat="1" ht="15.5">
      <c r="B8" s="128" t="s">
        <v>315</v>
      </c>
      <c r="C8" s="129"/>
      <c r="D8" s="129"/>
      <c r="E8" s="129"/>
      <c r="F8" s="129"/>
      <c r="G8" s="129"/>
      <c r="H8" s="129"/>
    </row>
    <row r="9" spans="1:8" s="14" customFormat="1">
      <c r="B9" s="14" t="s">
        <v>156</v>
      </c>
      <c r="C9" s="16" t="s">
        <v>268</v>
      </c>
      <c r="E9" s="14" t="s">
        <v>31</v>
      </c>
      <c r="G9" s="17">
        <v>24.17</v>
      </c>
      <c r="H9" s="17"/>
    </row>
    <row r="10" spans="1:8" s="14" customFormat="1">
      <c r="B10" s="14" t="s">
        <v>206</v>
      </c>
      <c r="C10" s="16" t="s">
        <v>227</v>
      </c>
      <c r="G10" s="17"/>
      <c r="H10" s="17"/>
    </row>
    <row r="11" spans="1:8" s="14" customFormat="1">
      <c r="B11" s="14" t="s">
        <v>207</v>
      </c>
      <c r="C11" s="16" t="s">
        <v>228</v>
      </c>
      <c r="G11" s="18" t="s">
        <v>67</v>
      </c>
      <c r="H11" s="18"/>
    </row>
    <row r="12" spans="1:8" s="14" customFormat="1">
      <c r="G12" s="19" t="str">
        <f ca="1">TEXT(C17,"m/d/yy")</f>
        <v>3/1/19</v>
      </c>
      <c r="H12" s="19" t="str">
        <f ca="1">TEXT(C15,"m/d/yy")</f>
        <v>3/1/19</v>
      </c>
    </row>
    <row r="13" spans="1:8" s="14" customFormat="1">
      <c r="B13" s="14" t="s">
        <v>155</v>
      </c>
      <c r="C13" s="20">
        <v>2018</v>
      </c>
      <c r="E13" s="14" t="s">
        <v>36</v>
      </c>
      <c r="G13" s="21">
        <v>50.7</v>
      </c>
      <c r="H13" s="22">
        <v>50.7</v>
      </c>
    </row>
    <row r="14" spans="1:8" s="14" customFormat="1">
      <c r="B14" s="14" t="s">
        <v>152</v>
      </c>
      <c r="C14" s="11">
        <v>43465</v>
      </c>
      <c r="E14" s="14" t="s">
        <v>32</v>
      </c>
      <c r="G14" s="23">
        <f ca="1">D31</f>
        <v>1.2170000000000001</v>
      </c>
      <c r="H14" s="23"/>
    </row>
    <row r="15" spans="1:8" s="14" customFormat="1">
      <c r="B15" s="14" t="s">
        <v>216</v>
      </c>
      <c r="C15" s="11">
        <v>43525</v>
      </c>
      <c r="E15" s="14" t="s">
        <v>122</v>
      </c>
      <c r="G15" s="24">
        <f ca="1">E31</f>
        <v>23</v>
      </c>
      <c r="H15" s="24"/>
    </row>
    <row r="16" spans="1:8" s="14" customFormat="1">
      <c r="B16" s="14" t="s">
        <v>102</v>
      </c>
      <c r="C16" s="11">
        <v>43555</v>
      </c>
      <c r="E16" s="14" t="s">
        <v>33</v>
      </c>
      <c r="G16" s="23">
        <f ca="1">IF(aprice&gt;aexercise,aoptions*(aprice-aexercise)/aprice,0)</f>
        <v>5.8911460488208604E-2</v>
      </c>
      <c r="H16" s="23"/>
    </row>
    <row r="17" spans="2:8" s="14" customFormat="1">
      <c r="B17" s="14" t="s">
        <v>216</v>
      </c>
      <c r="C17" s="11">
        <v>43525</v>
      </c>
      <c r="E17" s="14" t="s">
        <v>62</v>
      </c>
      <c r="G17" s="25">
        <f ca="1">ashares+G16</f>
        <v>50.758911460488214</v>
      </c>
      <c r="H17" s="23"/>
    </row>
    <row r="18" spans="2:8" s="14" customFormat="1">
      <c r="B18" s="14" t="s">
        <v>103</v>
      </c>
      <c r="C18" s="11">
        <v>43525</v>
      </c>
    </row>
    <row r="19" spans="2:8" s="14" customFormat="1">
      <c r="E19" s="14" t="s">
        <v>154</v>
      </c>
      <c r="G19" s="26">
        <v>0.2</v>
      </c>
      <c r="H19" s="26"/>
    </row>
    <row r="20" spans="2:8" s="14" customFormat="1">
      <c r="B20" s="14" t="s">
        <v>54</v>
      </c>
      <c r="C20" s="27">
        <v>0.25</v>
      </c>
      <c r="G20" s="28"/>
      <c r="H20" s="28"/>
    </row>
    <row r="21" spans="2:8" s="14" customFormat="1">
      <c r="B21" s="14" t="s">
        <v>153</v>
      </c>
      <c r="C21" s="27">
        <v>0.1</v>
      </c>
    </row>
    <row r="22" spans="2:8" s="14" customFormat="1">
      <c r="B22" s="29"/>
      <c r="D22" s="30"/>
    </row>
    <row r="23" spans="2:8">
      <c r="B23" s="126" t="s">
        <v>32</v>
      </c>
      <c r="C23" s="127"/>
      <c r="D23" s="127"/>
      <c r="E23" s="127"/>
    </row>
    <row r="24" spans="2:8" s="14" customFormat="1">
      <c r="B24" s="32" t="s">
        <v>56</v>
      </c>
      <c r="C24" s="32" t="s">
        <v>108</v>
      </c>
      <c r="D24" s="32" t="s">
        <v>56</v>
      </c>
      <c r="E24" s="32" t="s">
        <v>108</v>
      </c>
    </row>
    <row r="25" spans="2:8" s="14" customFormat="1">
      <c r="B25" s="33">
        <v>1.2170000000000001</v>
      </c>
      <c r="C25" s="34">
        <v>23</v>
      </c>
      <c r="D25" s="35">
        <f t="shared" ref="D25:D30" ca="1" si="0">IF(aprice&gt;C25,B25,0)</f>
        <v>1.2170000000000001</v>
      </c>
      <c r="E25" s="36">
        <f t="shared" ref="E25:E30" ca="1" si="1">IF(aprice&gt;C25,C25,0)</f>
        <v>23</v>
      </c>
    </row>
    <row r="26" spans="2:8" s="14" customFormat="1">
      <c r="B26" s="37">
        <v>0</v>
      </c>
      <c r="C26" s="38">
        <v>0</v>
      </c>
      <c r="D26" s="39">
        <f t="shared" ca="1" si="0"/>
        <v>0</v>
      </c>
      <c r="E26" s="39">
        <f t="shared" ca="1" si="1"/>
        <v>0</v>
      </c>
    </row>
    <row r="27" spans="2:8" s="14" customFormat="1">
      <c r="B27" s="37">
        <v>0</v>
      </c>
      <c r="C27" s="38">
        <v>0</v>
      </c>
      <c r="D27" s="39">
        <f t="shared" ca="1" si="0"/>
        <v>0</v>
      </c>
      <c r="E27" s="39">
        <f t="shared" ca="1" si="1"/>
        <v>0</v>
      </c>
    </row>
    <row r="28" spans="2:8" s="14" customFormat="1">
      <c r="B28" s="37">
        <v>0</v>
      </c>
      <c r="C28" s="38">
        <v>0</v>
      </c>
      <c r="D28" s="39">
        <f t="shared" ca="1" si="0"/>
        <v>0</v>
      </c>
      <c r="E28" s="39">
        <f t="shared" ca="1" si="1"/>
        <v>0</v>
      </c>
    </row>
    <row r="29" spans="2:8" s="14" customFormat="1">
      <c r="B29" s="37">
        <v>0</v>
      </c>
      <c r="C29" s="38">
        <v>0</v>
      </c>
      <c r="D29" s="39">
        <f t="shared" ca="1" si="0"/>
        <v>0</v>
      </c>
      <c r="E29" s="39">
        <f t="shared" ca="1" si="1"/>
        <v>0</v>
      </c>
    </row>
    <row r="30" spans="2:8" s="14" customFormat="1">
      <c r="B30" s="37">
        <v>0</v>
      </c>
      <c r="C30" s="38">
        <v>0</v>
      </c>
      <c r="D30" s="39">
        <f t="shared" ca="1" si="0"/>
        <v>0</v>
      </c>
      <c r="E30" s="39">
        <f t="shared" ca="1" si="1"/>
        <v>0</v>
      </c>
    </row>
    <row r="31" spans="2:8" s="14" customFormat="1">
      <c r="B31" s="40">
        <f ca="1">SUM(B25:B30)</f>
        <v>1.2170000000000001</v>
      </c>
      <c r="C31" s="41">
        <f ca="1">IF(B31=0,0,SUMPRODUCT(B25:B30,C25:C30)/B31)</f>
        <v>23</v>
      </c>
      <c r="D31" s="35">
        <f ca="1">SUM(D25:D30)</f>
        <v>1.2170000000000001</v>
      </c>
      <c r="E31" s="41">
        <f ca="1">IF(D31=0,0,SUMPRODUCT(D25:D30,E25:E30)/D31)</f>
        <v>23</v>
      </c>
    </row>
    <row r="32" spans="2:8" s="14" customFormat="1"/>
    <row r="33" spans="2:8" s="14" customFormat="1">
      <c r="B33" s="42"/>
      <c r="D33" s="130" t="s">
        <v>197</v>
      </c>
      <c r="E33" s="130"/>
      <c r="F33" s="130"/>
      <c r="G33" s="130"/>
      <c r="H33" s="43"/>
    </row>
    <row r="34" spans="2:8" s="14" customFormat="1">
      <c r="B34" s="44" t="str">
        <f ca="1">"FY Ended "&amp;TEXT(afye,"mmmm d")&amp;","</f>
        <v>FY Ended December 31,</v>
      </c>
      <c r="D34" s="45" t="str">
        <f ca="1">TEXT(afye+365,"mmm-yy")</f>
        <v>Dec-19</v>
      </c>
      <c r="E34" s="45" t="str">
        <f ca="1">TEXT(afye+365*2,"mmm-yy")</f>
        <v>Dec-20</v>
      </c>
      <c r="F34" s="45" t="str">
        <f ca="1">TEXT(afye+365*3,"mmm-yy")</f>
        <v>Dec-21</v>
      </c>
      <c r="G34" s="45" t="str">
        <f ca="1">TEXT(afye+365*4,"mmm-yy")</f>
        <v>Dec-22</v>
      </c>
      <c r="H34" s="46"/>
    </row>
    <row r="35" spans="2:8" s="14" customFormat="1">
      <c r="B35" s="3" t="s">
        <v>109</v>
      </c>
      <c r="C35" s="3"/>
      <c r="D35" s="47">
        <v>309.2</v>
      </c>
      <c r="E35" s="47">
        <v>323.5</v>
      </c>
      <c r="F35" s="47">
        <f ca="1">+E35*(1+altg)</f>
        <v>355.85</v>
      </c>
      <c r="G35" s="47">
        <f ca="1">+F35*(1+altg)</f>
        <v>391.43500000000006</v>
      </c>
      <c r="H35" s="48"/>
    </row>
    <row r="36" spans="2:8" s="14" customFormat="1">
      <c r="B36" s="3" t="s">
        <v>293</v>
      </c>
      <c r="C36" s="3"/>
      <c r="D36" s="28">
        <v>140</v>
      </c>
      <c r="E36" s="28">
        <v>153.80000000000001</v>
      </c>
      <c r="F36" s="28"/>
      <c r="G36" s="51"/>
      <c r="H36" s="51"/>
    </row>
    <row r="37" spans="2:8">
      <c r="B37" s="3" t="s">
        <v>12</v>
      </c>
      <c r="C37" s="3"/>
      <c r="D37" s="28">
        <v>112.09</v>
      </c>
      <c r="E37" s="28">
        <v>118.29</v>
      </c>
      <c r="F37" s="52">
        <f ca="1">+E37*(1+altg)</f>
        <v>130.11900000000003</v>
      </c>
      <c r="G37" s="52">
        <f ca="1">+F37*(1+altg)</f>
        <v>143.13090000000005</v>
      </c>
      <c r="H37" s="52"/>
    </row>
    <row r="38" spans="2:8">
      <c r="B38" s="3" t="s">
        <v>99</v>
      </c>
      <c r="C38" s="3"/>
      <c r="D38" s="15">
        <f ca="1">+D37/D39</f>
        <v>51.182648401826484</v>
      </c>
      <c r="E38" s="15">
        <f ca="1">+E37/E39</f>
        <v>51.655021834061138</v>
      </c>
      <c r="F38" s="15">
        <f ca="1">+F37/F39</f>
        <v>51.655021834061145</v>
      </c>
      <c r="G38" s="15">
        <f ca="1">+G37/G39</f>
        <v>51.655021834061145</v>
      </c>
      <c r="H38" s="15"/>
    </row>
    <row r="39" spans="2:8">
      <c r="B39" s="3" t="s">
        <v>118</v>
      </c>
      <c r="C39" s="3"/>
      <c r="D39" s="53">
        <v>2.19</v>
      </c>
      <c r="E39" s="53">
        <v>2.29</v>
      </c>
      <c r="F39" s="54">
        <f ca="1">+E39*(1+altg)</f>
        <v>2.5190000000000001</v>
      </c>
      <c r="G39" s="54">
        <f ca="1">+F39*(1+altg)</f>
        <v>2.7709000000000006</v>
      </c>
      <c r="H39" s="54"/>
    </row>
    <row r="40" spans="2:8">
      <c r="B40" s="3"/>
      <c r="C40" s="3"/>
      <c r="D40" s="4"/>
      <c r="E40" s="55"/>
      <c r="F40" s="14"/>
      <c r="G40" s="14"/>
      <c r="H40" s="14"/>
    </row>
    <row r="41" spans="2:8" s="14" customFormat="1">
      <c r="B41" s="3"/>
      <c r="C41" s="3"/>
      <c r="D41" s="4"/>
      <c r="E41" s="56"/>
    </row>
    <row r="42" spans="2:8" s="14" customFormat="1"/>
    <row r="43" spans="2:8" s="14" customFormat="1">
      <c r="B43" s="417" t="s">
        <v>150</v>
      </c>
      <c r="C43" s="418"/>
      <c r="D43" s="419"/>
    </row>
    <row r="44" spans="2:8" s="14" customFormat="1">
      <c r="B44" s="420" t="str">
        <f ca="1">acq&amp;" Current Quarter"</f>
        <v>COLEMAN BANK Current Quarter</v>
      </c>
      <c r="C44" s="421"/>
      <c r="D44" s="422">
        <f ca="1">IF(altmdate=afye,4,ROUND((altmdate-afye)/90,0))</f>
        <v>1</v>
      </c>
    </row>
    <row r="45" spans="2:8" s="14" customFormat="1">
      <c r="B45"/>
      <c r="C45"/>
      <c r="D45"/>
    </row>
    <row r="46" spans="2:8" s="14" customFormat="1">
      <c r="B46"/>
      <c r="C46"/>
      <c r="D46"/>
      <c r="E46" s="15"/>
    </row>
    <row r="47" spans="2:8" s="14" customFormat="1">
      <c r="B47"/>
      <c r="C47"/>
      <c r="D47"/>
    </row>
    <row r="48" spans="2:8" s="14" customFormat="1">
      <c r="B48"/>
      <c r="C48"/>
      <c r="D48"/>
      <c r="E48" s="57"/>
      <c r="F48" s="58"/>
      <c r="G48" s="59"/>
      <c r="H48" s="59"/>
    </row>
    <row r="49" spans="5:8" s="14" customFormat="1">
      <c r="E49" s="49"/>
      <c r="F49" s="49"/>
      <c r="G49" s="49"/>
      <c r="H49" s="49"/>
    </row>
    <row r="50" spans="5:8" s="14" customFormat="1">
      <c r="E50" s="15"/>
      <c r="F50" s="49"/>
      <c r="G50" s="49"/>
      <c r="H50" s="49"/>
    </row>
    <row r="51" spans="5:8" s="14" customFormat="1"/>
    <row r="52" spans="5:8" s="14" customFormat="1"/>
    <row r="53" spans="5:8" s="14" customFormat="1"/>
  </sheetData>
  <customSheetViews>
    <customSheetView guid="{9AE38660-BF5A-49A3-9FC0-AD5890AFC019}" scale="85" showPageBreaks="1" showGridLines="0" fitToPage="1" printArea="1" view="pageBreakPreview" showRuler="0">
      <selection activeCell="J17" sqref="J17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77" orientation="landscape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52"/>
  <sheetViews>
    <sheetView showGridLines="0" zoomScaleNormal="100" zoomScaleSheetLayoutView="115" workbookViewId="0">
      <selection activeCell="E25" sqref="E25"/>
    </sheetView>
  </sheetViews>
  <sheetFormatPr defaultColWidth="10.296875" defaultRowHeight="13"/>
  <cols>
    <col min="1" max="1" width="2.796875" style="4" customWidth="1"/>
    <col min="2" max="5" width="11.19921875" style="3" customWidth="1"/>
    <col min="6" max="6" width="4.296875" style="3" customWidth="1"/>
    <col min="7" max="8" width="11.19921875" style="3" customWidth="1"/>
    <col min="9" max="9" width="4.296875" style="61" customWidth="1"/>
    <col min="10" max="10" width="11.19921875" style="3" customWidth="1"/>
    <col min="11" max="11" width="4.296875" style="3" customWidth="1"/>
    <col min="12" max="15" width="11.19921875" style="3" customWidth="1"/>
    <col min="16" max="16" width="10.296875" style="4"/>
    <col min="17" max="20" width="11.19921875" style="4" customWidth="1"/>
    <col min="21" max="16384" width="10.296875" style="4"/>
  </cols>
  <sheetData>
    <row r="1" spans="1:22">
      <c r="A1" s="2"/>
      <c r="B1" s="60"/>
    </row>
    <row r="2" spans="1:22" ht="23.25" customHeight="1">
      <c r="B2" s="62" t="str">
        <f ca="1">proj</f>
        <v>Project FIG Model</v>
      </c>
      <c r="C2" s="372"/>
      <c r="D2" s="372"/>
      <c r="E2" s="372"/>
      <c r="F2" s="372"/>
      <c r="G2" s="372"/>
      <c r="H2" s="372"/>
      <c r="I2" s="398"/>
      <c r="J2" s="372"/>
      <c r="K2" s="372"/>
      <c r="L2" s="372"/>
      <c r="M2" s="372"/>
      <c r="N2" s="372"/>
      <c r="O2" s="400"/>
    </row>
    <row r="3" spans="1:22" ht="20.149999999999999" customHeight="1">
      <c r="B3" s="252" t="str">
        <f ca="1">acq&amp;" - Summary Capitalization and Valuation Data"</f>
        <v>COLEMAN BANK - Summary Capitalization and Valuation Data</v>
      </c>
      <c r="C3" s="210"/>
      <c r="D3" s="210"/>
      <c r="E3" s="210"/>
      <c r="F3" s="210"/>
      <c r="G3" s="210"/>
      <c r="H3" s="210"/>
      <c r="I3" s="256"/>
      <c r="J3" s="210"/>
      <c r="K3" s="210"/>
      <c r="L3" s="210"/>
      <c r="M3" s="210"/>
      <c r="N3" s="210"/>
      <c r="O3" s="254"/>
    </row>
    <row r="4" spans="1:22" ht="12.75" customHeight="1">
      <c r="B4" s="63" t="s">
        <v>44</v>
      </c>
      <c r="C4" s="7"/>
      <c r="D4" s="7"/>
      <c r="E4" s="7"/>
      <c r="F4" s="7"/>
      <c r="G4" s="7"/>
      <c r="H4" s="7"/>
      <c r="J4" s="7"/>
      <c r="K4" s="7"/>
      <c r="L4" s="7"/>
      <c r="M4" s="7"/>
      <c r="N4" s="7"/>
      <c r="O4" s="7"/>
    </row>
    <row r="5" spans="1:22" ht="12.75" customHeight="1"/>
    <row r="6" spans="1:22" ht="15" customHeight="1">
      <c r="B6" s="125" t="s">
        <v>81</v>
      </c>
      <c r="C6" s="125"/>
      <c r="D6" s="125"/>
      <c r="E6" s="125"/>
      <c r="F6" s="64"/>
      <c r="G6" s="125" t="s">
        <v>208</v>
      </c>
      <c r="H6" s="125"/>
      <c r="I6" s="125"/>
      <c r="J6" s="125"/>
      <c r="K6" s="64"/>
      <c r="L6" s="125" t="s">
        <v>111</v>
      </c>
      <c r="M6" s="125"/>
      <c r="N6" s="125"/>
      <c r="O6" s="125"/>
      <c r="Q6"/>
      <c r="R6"/>
      <c r="S6"/>
      <c r="T6"/>
      <c r="U6"/>
      <c r="V6"/>
    </row>
    <row r="7" spans="1:22">
      <c r="B7" s="65" t="s">
        <v>82</v>
      </c>
      <c r="E7" s="66" t="str">
        <f ca="1">Inputs!C10</f>
        <v>COLE</v>
      </c>
      <c r="G7" s="3" t="s">
        <v>93</v>
      </c>
      <c r="I7" s="3"/>
      <c r="J7" s="60">
        <f ca="1">afye</f>
        <v>43465</v>
      </c>
      <c r="O7" s="7" t="s">
        <v>83</v>
      </c>
      <c r="Q7"/>
      <c r="R7"/>
      <c r="S7"/>
      <c r="T7"/>
      <c r="U7"/>
      <c r="V7"/>
    </row>
    <row r="8" spans="1:22">
      <c r="B8" s="65" t="s">
        <v>84</v>
      </c>
      <c r="E8" s="66" t="str">
        <f ca="1">Inputs!C11</f>
        <v>NASDAQ</v>
      </c>
      <c r="G8" s="3" t="s">
        <v>102</v>
      </c>
      <c r="I8" s="3"/>
      <c r="J8" s="60">
        <f ca="1">altmdate</f>
        <v>43555</v>
      </c>
      <c r="O8" s="69">
        <f ca="1">altmdate</f>
        <v>43555</v>
      </c>
      <c r="Q8"/>
      <c r="R8"/>
      <c r="S8"/>
      <c r="T8"/>
      <c r="U8"/>
      <c r="V8"/>
    </row>
    <row r="9" spans="1:22" ht="12.75" customHeight="1">
      <c r="B9" s="70" t="str">
        <f ca="1">"Stock Price as of "&amp;TEXT(tdate,"m/d/yy")</f>
        <v>Stock Price as of 6/27/19</v>
      </c>
      <c r="E9" s="71">
        <f ca="1">aprice</f>
        <v>24.17</v>
      </c>
      <c r="I9" s="3"/>
      <c r="J9" s="72"/>
      <c r="L9" s="3" t="s">
        <v>9</v>
      </c>
      <c r="O9" s="87">
        <f ca="1">'Balance Sheet'!O39</f>
        <v>0.34119941645839813</v>
      </c>
      <c r="P9" s="73"/>
      <c r="U9" s="3"/>
      <c r="V9" s="74"/>
    </row>
    <row r="10" spans="1:22">
      <c r="E10" s="452"/>
      <c r="G10" s="3" t="s">
        <v>110</v>
      </c>
      <c r="I10" s="3"/>
      <c r="J10" s="75">
        <f ca="1">'Income Statement'!N7</f>
        <v>290.23900000000003</v>
      </c>
      <c r="L10" s="3" t="s">
        <v>10</v>
      </c>
      <c r="O10" s="87">
        <f ca="1">'Balance Sheet'!O40</f>
        <v>0.28511121667638106</v>
      </c>
      <c r="P10" s="73"/>
    </row>
    <row r="11" spans="1:22">
      <c r="B11" s="3" t="s">
        <v>85</v>
      </c>
      <c r="E11" s="1"/>
      <c r="G11" s="3" t="s">
        <v>237</v>
      </c>
      <c r="I11" s="3"/>
      <c r="J11" s="77">
        <f ca="1">'Income Statement'!N33</f>
        <v>137.84900000000002</v>
      </c>
      <c r="L11" s="3" t="s">
        <v>238</v>
      </c>
      <c r="O11" s="110">
        <f ca="1">+'Balance Sheet'!L9/'Balance Sheet'!L19</f>
        <v>1.1115203358723533</v>
      </c>
    </row>
    <row r="12" spans="1:22">
      <c r="C12" s="3" t="s">
        <v>61</v>
      </c>
      <c r="D12" s="78">
        <v>43281</v>
      </c>
      <c r="E12" s="79">
        <v>29.74</v>
      </c>
      <c r="G12" s="3" t="s">
        <v>139</v>
      </c>
      <c r="I12" s="3"/>
      <c r="J12" s="77">
        <f ca="1">+'Balance Sheet'!L24-'Balance Sheet'!L12-'Balance Sheet'!L13</f>
        <v>733.43799999999999</v>
      </c>
      <c r="L12" s="3" t="s">
        <v>239</v>
      </c>
      <c r="O12" s="103">
        <f ca="1">+'Balance Sheet'!L24/('Balance Sheet'!L24+'Balance Sheet'!L20)</f>
        <v>0.65880058354160187</v>
      </c>
    </row>
    <row r="13" spans="1:22">
      <c r="C13" s="80" t="s">
        <v>60</v>
      </c>
      <c r="D13" s="81">
        <v>43373</v>
      </c>
      <c r="E13" s="82">
        <v>22.5</v>
      </c>
      <c r="I13" s="3"/>
      <c r="J13" s="83"/>
      <c r="L13" s="3" t="s">
        <v>292</v>
      </c>
      <c r="O13" s="103">
        <f ca="1">+J12/'Balance Sheet'!L15</f>
        <v>9.0626802495209408E-2</v>
      </c>
    </row>
    <row r="14" spans="1:22">
      <c r="B14" s="3" t="s">
        <v>141</v>
      </c>
      <c r="D14" s="84"/>
      <c r="E14" s="85"/>
      <c r="G14" s="3" t="s">
        <v>34</v>
      </c>
      <c r="I14" s="3"/>
      <c r="J14" s="86">
        <f ca="1">'Income Statement'!N36</f>
        <v>1.4219438246841825</v>
      </c>
    </row>
    <row r="15" spans="1:22" ht="12.75" customHeight="1">
      <c r="C15" s="3" t="s">
        <v>61</v>
      </c>
      <c r="D15" s="78">
        <v>42880</v>
      </c>
      <c r="E15" s="79">
        <v>29.74</v>
      </c>
      <c r="G15" s="72" t="str">
        <f ca="1">"FY "&amp;(afy+1)&amp;" EPS estimate (a)"</f>
        <v>FY 2019 EPS estimate (a)</v>
      </c>
      <c r="I15" s="3"/>
      <c r="J15" s="88">
        <f ca="1">Inputs!D39</f>
        <v>2.19</v>
      </c>
      <c r="L15" s="1" t="s">
        <v>241</v>
      </c>
      <c r="O15" s="76">
        <f ca="1">'Balance Sheet'!O43</f>
        <v>3.7702651209351887</v>
      </c>
    </row>
    <row r="16" spans="1:22">
      <c r="C16" s="3" t="s">
        <v>60</v>
      </c>
      <c r="D16" s="78">
        <v>42388</v>
      </c>
      <c r="E16" s="82">
        <v>20.67</v>
      </c>
      <c r="G16" s="72" t="str">
        <f ca="1">"FY "&amp;(afy+2)&amp;" EPS estimate (a)"</f>
        <v>FY 2020 EPS estimate (a)</v>
      </c>
      <c r="I16" s="3"/>
      <c r="J16" s="88">
        <f ca="1">Inputs!E39</f>
        <v>2.29</v>
      </c>
      <c r="L16" s="1" t="s">
        <v>112</v>
      </c>
      <c r="O16" s="76">
        <f ca="1">'Balance Sheet'!O44</f>
        <v>2.9033099751348206</v>
      </c>
    </row>
    <row r="17" spans="2:15">
      <c r="G17" s="80" t="s">
        <v>215</v>
      </c>
      <c r="H17" s="80"/>
      <c r="I17" s="80"/>
      <c r="J17" s="89">
        <f ca="1">Inputs!C21</f>
        <v>0.1</v>
      </c>
      <c r="K17" s="80"/>
      <c r="L17" s="1"/>
      <c r="O17" s="76"/>
    </row>
    <row r="18" spans="2:15">
      <c r="G18" s="4"/>
      <c r="H18" s="4"/>
      <c r="I18" s="4"/>
      <c r="J18" s="92"/>
      <c r="K18" s="4"/>
    </row>
    <row r="19" spans="2:15">
      <c r="B19" s="4" t="s">
        <v>209</v>
      </c>
      <c r="C19" s="4"/>
      <c r="D19" s="4"/>
      <c r="E19" s="91">
        <v>5</v>
      </c>
      <c r="G19" s="3" t="s">
        <v>86</v>
      </c>
      <c r="I19" s="3"/>
      <c r="J19" s="79">
        <f ca="1">0.17*4</f>
        <v>0.68</v>
      </c>
      <c r="L19" s="3" t="s">
        <v>143</v>
      </c>
      <c r="N19" s="3" t="s">
        <v>144</v>
      </c>
      <c r="O19" s="90" t="s">
        <v>229</v>
      </c>
    </row>
    <row r="20" spans="2:15">
      <c r="B20" s="3" t="s">
        <v>198</v>
      </c>
      <c r="D20" s="78"/>
      <c r="E20" s="91">
        <v>1</v>
      </c>
      <c r="G20" s="3" t="s">
        <v>87</v>
      </c>
      <c r="I20" s="3"/>
      <c r="J20" s="94">
        <f ca="1">J19/E9</f>
        <v>2.8134050475796441E-2</v>
      </c>
      <c r="K20" s="65"/>
      <c r="N20" s="3" t="s">
        <v>145</v>
      </c>
      <c r="O20" s="90" t="s">
        <v>230</v>
      </c>
    </row>
    <row r="21" spans="2:15">
      <c r="B21" s="3" t="s">
        <v>199</v>
      </c>
      <c r="D21" s="78"/>
      <c r="E21" s="93">
        <f ca="1">E20/E25</f>
        <v>1.9723865877712032E-2</v>
      </c>
      <c r="G21" s="3" t="s">
        <v>88</v>
      </c>
      <c r="I21" s="3"/>
      <c r="J21" s="95">
        <f ca="1">IF(J14&lt;=0,"NM",J19/J14*100)</f>
        <v>47.821861046517071</v>
      </c>
      <c r="K21" s="3" t="s">
        <v>53</v>
      </c>
    </row>
    <row r="22" spans="2:15">
      <c r="D22" s="96"/>
      <c r="E22" s="97"/>
      <c r="I22" s="3"/>
      <c r="J22" s="98"/>
    </row>
    <row r="23" spans="2:15" ht="15" customHeight="1">
      <c r="B23" s="125" t="s">
        <v>89</v>
      </c>
      <c r="C23" s="125"/>
      <c r="D23" s="125"/>
      <c r="E23" s="125"/>
      <c r="F23" s="64"/>
      <c r="G23" s="125" t="s">
        <v>90</v>
      </c>
      <c r="H23" s="125"/>
      <c r="I23" s="125"/>
      <c r="J23" s="125"/>
      <c r="K23" s="64"/>
      <c r="L23" s="125" t="s">
        <v>289</v>
      </c>
      <c r="M23" s="125"/>
      <c r="N23" s="125"/>
      <c r="O23" s="125"/>
    </row>
    <row r="24" spans="2:15">
      <c r="B24" s="99" t="str">
        <f ca="1">B9</f>
        <v>Stock Price as of 6/27/19</v>
      </c>
      <c r="E24" s="100">
        <f ca="1">E9</f>
        <v>24.17</v>
      </c>
      <c r="G24" s="101" t="s">
        <v>52</v>
      </c>
      <c r="N24" s="67" t="s">
        <v>95</v>
      </c>
      <c r="O24" s="67" t="s">
        <v>91</v>
      </c>
    </row>
    <row r="25" spans="2:15">
      <c r="B25" s="65" t="s">
        <v>287</v>
      </c>
      <c r="E25" s="102">
        <f ca="1">ashares</f>
        <v>50.7</v>
      </c>
      <c r="G25" s="3" t="str">
        <f ca="1">G10</f>
        <v>LTM Net Sales</v>
      </c>
      <c r="J25" s="110">
        <f ca="1">$E$32/J10</f>
        <v>5.7758498685566027</v>
      </c>
      <c r="N25" s="104" t="s">
        <v>29</v>
      </c>
      <c r="O25" s="104" t="s">
        <v>13</v>
      </c>
    </row>
    <row r="26" spans="2:15">
      <c r="B26" s="65" t="s">
        <v>288</v>
      </c>
      <c r="E26" s="105">
        <f ca="1">Inputs!G16</f>
        <v>5.8911460488208604E-2</v>
      </c>
      <c r="G26"/>
      <c r="H26"/>
      <c r="I26"/>
      <c r="J26"/>
      <c r="L26" s="1" t="s">
        <v>233</v>
      </c>
      <c r="N26" s="415">
        <v>1</v>
      </c>
      <c r="O26" s="413">
        <f ca="1">+N26/$N$30</f>
        <v>1.9700974099462726E-2</v>
      </c>
    </row>
    <row r="27" spans="2:15">
      <c r="B27" s="107" t="s">
        <v>48</v>
      </c>
      <c r="E27" s="108">
        <f ca="1">E24*(E25+E26)</f>
        <v>1226.8428900000001</v>
      </c>
      <c r="G27" s="101" t="s">
        <v>94</v>
      </c>
      <c r="H27" s="111"/>
      <c r="J27" s="106"/>
      <c r="L27" s="9" t="s">
        <v>96</v>
      </c>
      <c r="M27" s="9"/>
      <c r="N27" s="26">
        <v>0.2</v>
      </c>
      <c r="O27" s="284">
        <f t="shared" ref="O27:O30" ca="1" si="0">+N27/$N$30</f>
        <v>3.9401948198925455E-3</v>
      </c>
    </row>
    <row r="28" spans="2:15">
      <c r="B28" s="3" t="s">
        <v>104</v>
      </c>
      <c r="E28" s="102">
        <f ca="1">'Balance Sheet'!O28</f>
        <v>583.76900000000001</v>
      </c>
      <c r="G28" s="3" t="str">
        <f ca="1">G$15</f>
        <v>FY 2019 EPS estimate (a)</v>
      </c>
      <c r="J28" s="106">
        <f ca="1">IF(J15&lt;=0,"NM",$E$9/J15)</f>
        <v>11.036529680365298</v>
      </c>
      <c r="L28" s="9" t="s">
        <v>130</v>
      </c>
      <c r="M28" s="9"/>
      <c r="N28" s="26">
        <v>20</v>
      </c>
      <c r="O28" s="284">
        <f t="shared" ca="1" si="0"/>
        <v>0.39401948198925452</v>
      </c>
    </row>
    <row r="29" spans="2:15">
      <c r="B29" s="3" t="s">
        <v>105</v>
      </c>
      <c r="E29" s="102">
        <f ca="1">'Balance Sheet'!O22</f>
        <v>0</v>
      </c>
      <c r="F29" s="109"/>
      <c r="G29" s="3" t="str">
        <f ca="1">G$16</f>
        <v>FY 2020 EPS estimate (a)</v>
      </c>
      <c r="J29" s="106">
        <f ca="1">IF(J16&lt;=0,"NM",$E$9/J16)</f>
        <v>10.554585152838429</v>
      </c>
      <c r="L29" s="454" t="s">
        <v>92</v>
      </c>
      <c r="M29" s="9"/>
      <c r="N29" s="23">
        <f ca="1">+N30-N28-N27-N26</f>
        <v>29.558911460488215</v>
      </c>
      <c r="O29" s="455">
        <f t="shared" ca="1" si="0"/>
        <v>0.58233934909139029</v>
      </c>
    </row>
    <row r="30" spans="2:15">
      <c r="B30" s="3" t="s">
        <v>106</v>
      </c>
      <c r="E30" s="102">
        <f ca="1">'Balance Sheet'!O23</f>
        <v>0</v>
      </c>
      <c r="F30" s="109"/>
      <c r="L30" s="245" t="s">
        <v>13</v>
      </c>
      <c r="M30" s="9"/>
      <c r="N30" s="456">
        <v>50.758911460488214</v>
      </c>
      <c r="O30" s="457">
        <f t="shared" ca="1" si="0"/>
        <v>1</v>
      </c>
    </row>
    <row r="31" spans="2:15">
      <c r="B31" s="3" t="s">
        <v>107</v>
      </c>
      <c r="E31" s="105">
        <f ca="1">-'Balance Sheet'!O8</f>
        <v>-134.23500000000001</v>
      </c>
      <c r="G31" s="101" t="s">
        <v>240</v>
      </c>
    </row>
    <row r="32" spans="2:15">
      <c r="B32" s="112" t="s">
        <v>0</v>
      </c>
      <c r="E32" s="113">
        <f ca="1">SUM(E27:E31)</f>
        <v>1676.37689</v>
      </c>
      <c r="G32" s="3" t="s">
        <v>35</v>
      </c>
      <c r="J32" s="110">
        <f ca="1">+E27/J12</f>
        <v>1.6727288332483456</v>
      </c>
    </row>
    <row r="33" spans="2:15">
      <c r="B33" s="112"/>
      <c r="E33" s="113"/>
      <c r="G33" s="3" t="str">
        <f ca="1">G$15</f>
        <v>FY 2019 EPS estimate (a)</v>
      </c>
      <c r="J33" s="106">
        <f ca="1">+E27/Proj!L167</f>
        <v>1.6052056829077648</v>
      </c>
    </row>
    <row r="34" spans="2:15">
      <c r="B34" s="112"/>
      <c r="E34" s="113"/>
      <c r="G34" s="3" t="str">
        <f ca="1">G$16</f>
        <v>FY 2020 EPS estimate (a)</v>
      </c>
      <c r="J34" s="106">
        <f ca="1">+E27/Proj!M167</f>
        <v>1.4431255909211194</v>
      </c>
    </row>
    <row r="35" spans="2:15">
      <c r="G35"/>
      <c r="H35"/>
      <c r="I35"/>
      <c r="J35"/>
    </row>
    <row r="36" spans="2:15">
      <c r="B36" s="4"/>
      <c r="C36" s="4"/>
      <c r="D36" s="4"/>
      <c r="E36" s="4"/>
      <c r="F36" s="4"/>
      <c r="G36" s="4"/>
      <c r="H36" s="4"/>
      <c r="I36" s="447"/>
      <c r="J36" s="4"/>
      <c r="K36" s="4"/>
      <c r="L36" s="4"/>
      <c r="M36" s="4"/>
      <c r="N36" s="4"/>
      <c r="O36" s="4"/>
    </row>
    <row r="37" spans="2:15" ht="12.75" customHeight="1">
      <c r="B37" s="114" t="str">
        <f ca="1">"(a) Source: Mean of Wall Street analysts' estimates as reported by ThomsonONE on "&amp;TEXT(tdate,"mmmm d, yyyy")&amp;"."</f>
        <v>(a) Source: Mean of Wall Street analysts' estimates as reported by ThomsonONE on June 27, 2019.</v>
      </c>
      <c r="C37" s="115"/>
      <c r="D37" s="115"/>
      <c r="E37" s="115"/>
      <c r="F37" s="115"/>
      <c r="G37" s="115"/>
      <c r="H37" s="115"/>
      <c r="I37" s="4"/>
      <c r="J37" s="115"/>
      <c r="K37" s="115"/>
      <c r="L37" s="115"/>
      <c r="M37" s="115"/>
      <c r="N37" s="115"/>
      <c r="O37" s="115"/>
    </row>
    <row r="38" spans="2:15" ht="12.75" customHeight="1">
      <c r="B38" s="117" t="str">
        <f ca="1">"(b) Shares outstanding as of "&amp;TEXT(Inputs!C17,"mmmm d, yyyy")&amp;". Source: Company's "&amp;IF(aquarter&lt;&gt;4,"Form 10-Q for the period ended "&amp;TEXT(altmdate,"mmmm d, yyyy")&amp;".",YEAR(afye)&amp;" Form 10-K.")</f>
        <v>(b) Shares outstanding as of March 1, 2019. Source: Company's Form 10-Q for the period ended March 31, 2019.</v>
      </c>
      <c r="I38" s="4"/>
    </row>
    <row r="39" spans="2:15" ht="12.75" customHeight="1">
      <c r="B39" s="117" t="str">
        <f ca="1">"(c) Assumes the treasury stock method with "&amp;FIXED(aoptions,1)&amp;" million in-the-money options outstanding at a weighted average exercise price of $"&amp;FIXED(aexercise,2)&amp;" per share."</f>
        <v>(c) Assumes the treasury stock method with 1.2 million in-the-money options outstanding at a weighted average exercise price of $23.00 per share.</v>
      </c>
      <c r="I39" s="4"/>
    </row>
    <row r="40" spans="2:15" ht="12.75" customHeight="1">
      <c r="B40" s="118" t="str">
        <f ca="1">"(d) Includes exercisable options held by directors and executive officers. Source: Company's Proxy Statement dated "&amp;TEXT(Inputs!C18,"mmmm d, yyyy")&amp;" and Bloomberg."</f>
        <v>(d) Includes exercisable options held by directors and executive officers. Source: Company's Proxy Statement dated March 1, 2019 and Bloomberg.</v>
      </c>
      <c r="I40" s="4"/>
    </row>
    <row r="41" spans="2:15">
      <c r="B41" s="119"/>
      <c r="I41" s="4"/>
    </row>
    <row r="42" spans="2:15">
      <c r="B42" s="119" t="str">
        <f ca="1">acq&amp;" Net Debt"</f>
        <v>COLEMAN BANK Net Debt</v>
      </c>
      <c r="E42" s="120">
        <f ca="1">SUM(E28:E31)</f>
        <v>449.53399999999999</v>
      </c>
      <c r="G42" s="121" t="s">
        <v>214</v>
      </c>
      <c r="I42" s="4"/>
    </row>
    <row r="43" spans="2:15">
      <c r="B43" s="119"/>
      <c r="I43" s="4"/>
    </row>
    <row r="44" spans="2:15">
      <c r="B44" s="122" t="str">
        <f ca="1">IF(acqnetdebt&gt;=0,"Net debt represents total debt"&amp;IF(AND(E29=0,E30=0),"",IF(AND(E29=0,E30&lt;&gt;0)," and preferred stock",IF(AND(E29&lt;&gt;0,E30=0)," and minority interest",", minority interest and preferred stock")))&amp;" less cash as of "&amp;TEXT(altmdate,"mmmm d, yyyy")&amp;".","Net cash represents total cash less debt"&amp;IF(AND(E29=0,E30=0),"",IF(AND(E29=0,E30&lt;&gt;0)," and preferred stock",IF(AND(E29&lt;&gt;0,E30=0)," and minority interest",", minority interest and preferred stock")))&amp;" as of "&amp;TEXT(altmdate,"mmmm d, yyyy")&amp;".")</f>
        <v>Net debt represents total debt less cash as of March 31, 2019.</v>
      </c>
      <c r="I44" s="4"/>
    </row>
    <row r="45" spans="2:15">
      <c r="B45" s="119"/>
      <c r="I45" s="4"/>
    </row>
    <row r="47" spans="2:15">
      <c r="I47" s="4"/>
    </row>
    <row r="50" spans="10:10" s="4" customFormat="1">
      <c r="J50" s="123"/>
    </row>
    <row r="51" spans="10:10" s="4" customFormat="1">
      <c r="J51" s="124"/>
    </row>
    <row r="52" spans="10:10" s="4" customFormat="1">
      <c r="J52" s="124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92"/>
  <sheetViews>
    <sheetView showGridLines="0" zoomScaleNormal="100" zoomScaleSheetLayoutView="115" workbookViewId="0">
      <selection activeCell="B71" sqref="B71"/>
    </sheetView>
  </sheetViews>
  <sheetFormatPr defaultColWidth="10.296875" defaultRowHeight="13"/>
  <cols>
    <col min="1" max="1" width="2.796875" style="4" customWidth="1"/>
    <col min="2" max="6" width="10.796875" style="3" customWidth="1"/>
    <col min="7" max="9" width="11.796875" style="3" customWidth="1"/>
    <col min="10" max="10" width="2.796875" style="3" customWidth="1"/>
    <col min="11" max="12" width="11.796875" style="3" customWidth="1"/>
    <col min="13" max="13" width="2.796875" style="3" customWidth="1"/>
    <col min="14" max="14" width="11.796875" style="3" customWidth="1"/>
    <col min="15" max="15" width="2.796875" style="3" customWidth="1"/>
    <col min="16" max="16" width="11.796875" style="3" customWidth="1"/>
    <col min="17" max="17" width="2.796875" style="4" customWidth="1"/>
    <col min="18" max="16384" width="10.296875" style="4"/>
  </cols>
  <sheetData>
    <row r="1" spans="1:16">
      <c r="A1" s="2"/>
    </row>
    <row r="2" spans="1:16" ht="22.5">
      <c r="B2" s="62" t="str">
        <f ca="1">proj</f>
        <v>Project FIG Model</v>
      </c>
      <c r="C2" s="372"/>
      <c r="D2" s="372"/>
      <c r="E2" s="372"/>
      <c r="F2" s="372"/>
      <c r="G2" s="372"/>
      <c r="H2" s="372"/>
      <c r="I2" s="372"/>
      <c r="J2" s="372"/>
      <c r="K2" s="372"/>
      <c r="L2" s="399"/>
      <c r="M2" s="372"/>
      <c r="N2" s="372"/>
      <c r="O2" s="372"/>
      <c r="P2" s="372"/>
    </row>
    <row r="3" spans="1:16" ht="20.149999999999999" customHeight="1">
      <c r="B3" s="252" t="str">
        <f ca="1">acq&amp;" - Historical Income Statement"</f>
        <v>COLEMAN BANK - Historical Income Statement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</row>
    <row r="4" spans="1:16" ht="12.75" customHeight="1">
      <c r="B4" s="131" t="str">
        <f ca="1">'Spread Cover'!B4</f>
        <v>(Amounts in Millions, Except Per Share Data)</v>
      </c>
      <c r="C4" s="7"/>
      <c r="D4" s="7"/>
      <c r="E4" s="7"/>
      <c r="F4" s="7"/>
      <c r="G4" s="132"/>
      <c r="H4" s="132"/>
      <c r="I4" s="132"/>
      <c r="J4" s="7"/>
      <c r="K4" s="132"/>
      <c r="L4" s="132"/>
      <c r="M4" s="7"/>
      <c r="N4" s="7"/>
      <c r="O4" s="7"/>
      <c r="P4" s="7"/>
    </row>
    <row r="5" spans="1:16" ht="12.75" customHeight="1">
      <c r="G5" s="209" t="str">
        <f ca="1">"Fiscal Year Ended "&amp;TEXT(afye,"mmmm d,")</f>
        <v>Fiscal Year Ended December 31,</v>
      </c>
      <c r="H5" s="209"/>
      <c r="I5" s="209"/>
      <c r="J5" s="134"/>
      <c r="K5" s="209" t="str">
        <f ca="1">CHOOSE(aquarter,"Three","Six","Nine","")&amp;" Months Ended"</f>
        <v>Three Months Ended</v>
      </c>
      <c r="L5" s="209"/>
      <c r="N5" s="209" t="s">
        <v>35</v>
      </c>
      <c r="P5" s="209" t="s">
        <v>65</v>
      </c>
    </row>
    <row r="6" spans="1:16" ht="15" customHeight="1">
      <c r="B6" s="101" t="s">
        <v>210</v>
      </c>
      <c r="G6" s="6">
        <f ca="1">H6-1</f>
        <v>2016</v>
      </c>
      <c r="H6" s="6">
        <f ca="1">I6-1</f>
        <v>2017</v>
      </c>
      <c r="I6" s="135">
        <f ca="1">afy</f>
        <v>2018</v>
      </c>
      <c r="K6" s="68">
        <f ca="1">DATE(YEAR(L6)-1,MONTH(L6),DAY(L6))</f>
        <v>43190</v>
      </c>
      <c r="L6" s="136">
        <f ca="1">altmdate</f>
        <v>43555</v>
      </c>
      <c r="N6" s="68">
        <f ca="1">+L6</f>
        <v>43555</v>
      </c>
      <c r="P6" s="6" t="str">
        <f ca="1">"FY"&amp;TEXT(G6-2000,"00")&amp;"-FY"&amp;TEXT(I6-2000,"00")</f>
        <v>FY16-FY18</v>
      </c>
    </row>
    <row r="7" spans="1:16" ht="12.75" customHeight="1">
      <c r="B7" s="3" t="s">
        <v>138</v>
      </c>
      <c r="G7" s="138">
        <v>133.42500000000001</v>
      </c>
      <c r="H7" s="138">
        <v>188.82900000000001</v>
      </c>
      <c r="I7" s="139">
        <v>276.654</v>
      </c>
      <c r="J7" s="140"/>
      <c r="K7" s="137">
        <v>62.837000000000003</v>
      </c>
      <c r="L7" s="139">
        <v>76.421999999999997</v>
      </c>
      <c r="M7" s="140"/>
      <c r="N7" s="142">
        <f ca="1">I7-K7+L7</f>
        <v>290.23900000000003</v>
      </c>
      <c r="O7" s="143"/>
      <c r="P7" s="144">
        <f t="shared" ref="P7:P20" ca="1" si="0">IF(OR(G7&lt;=0,I7&lt;=0),"NM",(I7/G7)^(1/(I$6-G$6))-1)</f>
        <v>0.43995815316124265</v>
      </c>
    </row>
    <row r="8" spans="1:16" ht="12.75" customHeight="1">
      <c r="B8" s="4" t="s">
        <v>38</v>
      </c>
      <c r="C8" s="4"/>
      <c r="D8" s="4"/>
      <c r="E8" s="4"/>
      <c r="F8" s="4"/>
      <c r="G8" s="145">
        <v>13.163</v>
      </c>
      <c r="H8" s="145">
        <v>19.611000000000001</v>
      </c>
      <c r="I8" s="145">
        <v>36.152000000000001</v>
      </c>
      <c r="J8" s="145"/>
      <c r="K8" s="145">
        <v>7.1260000000000003</v>
      </c>
      <c r="L8" s="145">
        <v>12.034000000000001</v>
      </c>
      <c r="M8" s="145"/>
      <c r="N8" s="146">
        <f ca="1">I8-K8+L8</f>
        <v>41.06</v>
      </c>
      <c r="O8" s="147"/>
      <c r="P8" s="148">
        <f t="shared" ca="1" si="0"/>
        <v>0.6572526552372886</v>
      </c>
    </row>
    <row r="9" spans="1:16" ht="12.75" customHeight="1">
      <c r="B9" s="3" t="s">
        <v>244</v>
      </c>
      <c r="G9" s="150">
        <f t="shared" ref="G9:I9" ca="1" si="1">G7-G8</f>
        <v>120.26200000000001</v>
      </c>
      <c r="H9" s="150">
        <f t="shared" ca="1" si="1"/>
        <v>169.21800000000002</v>
      </c>
      <c r="I9" s="151">
        <f t="shared" ca="1" si="1"/>
        <v>240.50200000000001</v>
      </c>
      <c r="J9" s="152"/>
      <c r="K9" s="149">
        <f ca="1">K7-K8</f>
        <v>55.711000000000006</v>
      </c>
      <c r="L9" s="151">
        <f t="shared" ref="L9" ca="1" si="2">L7-L8</f>
        <v>64.387999999999991</v>
      </c>
      <c r="M9" s="152"/>
      <c r="N9" s="153">
        <f ca="1">N7-N8</f>
        <v>249.17900000000003</v>
      </c>
      <c r="O9" s="154"/>
      <c r="P9" s="155">
        <f t="shared" ca="1" si="0"/>
        <v>0.41414888398372263</v>
      </c>
    </row>
    <row r="10" spans="1:16" ht="12.75" customHeight="1">
      <c r="B10" s="3" t="s">
        <v>245</v>
      </c>
      <c r="G10" s="156">
        <v>-2.6230000000000002</v>
      </c>
      <c r="H10" s="156">
        <v>-4.4450000000000003</v>
      </c>
      <c r="I10" s="156">
        <v>-3.49</v>
      </c>
      <c r="J10" s="156"/>
      <c r="K10" s="156">
        <v>-1.371</v>
      </c>
      <c r="L10" s="156">
        <f ca="1">+-0.62</f>
        <v>-0.62</v>
      </c>
      <c r="M10" s="152"/>
      <c r="N10" s="152">
        <f ca="1">I10-K10+L10</f>
        <v>-2.7390000000000003</v>
      </c>
      <c r="O10" s="154"/>
      <c r="P10" s="155" t="str">
        <f t="shared" ca="1" si="0"/>
        <v>NM</v>
      </c>
    </row>
    <row r="11" spans="1:16" ht="12.75" customHeight="1">
      <c r="B11" s="3" t="s">
        <v>246</v>
      </c>
      <c r="G11" s="423">
        <f ca="1">SUM(G9:G10)</f>
        <v>117.63900000000001</v>
      </c>
      <c r="H11" s="424">
        <f t="shared" ref="H11:I11" ca="1" si="3">SUM(H9:H10)</f>
        <v>164.77300000000002</v>
      </c>
      <c r="I11" s="425">
        <f t="shared" ca="1" si="3"/>
        <v>237.012</v>
      </c>
      <c r="J11" s="156"/>
      <c r="K11" s="425">
        <f t="shared" ref="K11:L11" ca="1" si="4">SUM(K9:K10)</f>
        <v>54.34</v>
      </c>
      <c r="L11" s="425">
        <f t="shared" ca="1" si="4"/>
        <v>63.767999999999994</v>
      </c>
      <c r="M11" s="152"/>
      <c r="N11" s="428">
        <f ca="1">I11-K11+L11</f>
        <v>246.44</v>
      </c>
      <c r="O11" s="154"/>
      <c r="P11" s="155">
        <f t="shared" ca="1" si="0"/>
        <v>0.41941537602305257</v>
      </c>
    </row>
    <row r="12" spans="1:16" ht="12.75" customHeight="1">
      <c r="B12" s="3" t="s">
        <v>247</v>
      </c>
      <c r="G12" s="156">
        <v>20.411999999999999</v>
      </c>
      <c r="H12" s="156">
        <v>27.071999999999999</v>
      </c>
      <c r="I12" s="156">
        <v>34.826999999999998</v>
      </c>
      <c r="J12" s="156"/>
      <c r="K12" s="156">
        <v>8.91</v>
      </c>
      <c r="L12" s="156">
        <v>9.5120000000000005</v>
      </c>
      <c r="M12" s="152"/>
      <c r="N12" s="152">
        <f ca="1">I12-K12+L12</f>
        <v>35.429000000000002</v>
      </c>
      <c r="O12" s="154"/>
      <c r="P12" s="155">
        <f t="shared" ca="1" si="0"/>
        <v>0.30621676378004414</v>
      </c>
    </row>
    <row r="13" spans="1:16" ht="12.75" customHeight="1">
      <c r="B13" s="4" t="s">
        <v>248</v>
      </c>
      <c r="C13" s="4"/>
      <c r="D13" s="4"/>
      <c r="E13" s="4"/>
      <c r="F13" s="4"/>
      <c r="G13" s="145">
        <v>-102.852</v>
      </c>
      <c r="H13" s="145">
        <v>-126.52</v>
      </c>
      <c r="I13" s="145">
        <v>-186.33699999999999</v>
      </c>
      <c r="J13" s="145"/>
      <c r="K13" s="145">
        <v>-56.817999999999998</v>
      </c>
      <c r="L13" s="145">
        <f ca="1">+-47.271</f>
        <v>-47.271000000000001</v>
      </c>
      <c r="M13" s="146"/>
      <c r="N13" s="146">
        <f ca="1">I13-K13+L13</f>
        <v>-176.79000000000002</v>
      </c>
      <c r="O13" s="157"/>
      <c r="P13" s="148" t="str">
        <f t="shared" ca="1" si="0"/>
        <v>NM</v>
      </c>
    </row>
    <row r="14" spans="1:16" ht="12.75" customHeight="1">
      <c r="B14" s="3" t="s">
        <v>293</v>
      </c>
      <c r="G14" s="150">
        <f ca="1">+SUM(G11:G13)</f>
        <v>35.199000000000012</v>
      </c>
      <c r="H14" s="150">
        <f t="shared" ref="H14:I14" ca="1" si="5">+SUM(H11:H13)</f>
        <v>65.325000000000031</v>
      </c>
      <c r="I14" s="150">
        <f t="shared" ca="1" si="5"/>
        <v>85.50200000000001</v>
      </c>
      <c r="J14" s="152"/>
      <c r="K14" s="150">
        <f t="shared" ref="K14:N14" ca="1" si="6">+SUM(K11:K13)</f>
        <v>6.4320000000000022</v>
      </c>
      <c r="L14" s="150">
        <f t="shared" ca="1" si="6"/>
        <v>26.009</v>
      </c>
      <c r="M14" s="120"/>
      <c r="N14" s="150">
        <f t="shared" ca="1" si="6"/>
        <v>105.07900000000001</v>
      </c>
      <c r="O14" s="154"/>
      <c r="P14" s="155">
        <f t="shared" ca="1" si="0"/>
        <v>0.55855801929856708</v>
      </c>
    </row>
    <row r="15" spans="1:16" ht="12.75" customHeight="1">
      <c r="B15" s="4" t="s">
        <v>72</v>
      </c>
      <c r="C15" s="4"/>
      <c r="D15" s="4"/>
      <c r="E15" s="4"/>
      <c r="F15" s="4"/>
      <c r="G15" s="145">
        <v>0</v>
      </c>
      <c r="H15" s="145">
        <v>0</v>
      </c>
      <c r="I15" s="145">
        <v>0</v>
      </c>
      <c r="J15" s="145"/>
      <c r="K15" s="145">
        <v>0</v>
      </c>
      <c r="L15" s="145">
        <v>0</v>
      </c>
      <c r="M15" s="146"/>
      <c r="N15" s="146">
        <f ca="1">I15-K15+L15</f>
        <v>0</v>
      </c>
      <c r="O15" s="157"/>
      <c r="P15" s="148" t="str">
        <f t="shared" ca="1" si="0"/>
        <v>NM</v>
      </c>
    </row>
    <row r="16" spans="1:16" ht="12.75" customHeight="1">
      <c r="B16" s="3" t="s">
        <v>15</v>
      </c>
      <c r="G16" s="150">
        <f ca="1">G14-SUM(G15:G15)</f>
        <v>35.199000000000012</v>
      </c>
      <c r="H16" s="150">
        <f ca="1">H14-SUM(H15:H15)</f>
        <v>65.325000000000031</v>
      </c>
      <c r="I16" s="151">
        <f ca="1">I14-SUM(I15:I15)</f>
        <v>85.50200000000001</v>
      </c>
      <c r="J16" s="152"/>
      <c r="K16" s="149">
        <f ca="1">K14-SUM(K15:K15)</f>
        <v>6.4320000000000022</v>
      </c>
      <c r="L16" s="151">
        <f ca="1">L14-SUM(L15:L15)</f>
        <v>26.009</v>
      </c>
      <c r="M16" s="152"/>
      <c r="N16" s="153">
        <f ca="1">N14-SUM(N15:N15)</f>
        <v>105.07900000000001</v>
      </c>
      <c r="O16" s="154"/>
      <c r="P16" s="155">
        <f t="shared" ca="1" si="0"/>
        <v>0.55855801929856708</v>
      </c>
    </row>
    <row r="17" spans="2:17" ht="12.75" customHeight="1">
      <c r="B17" s="4" t="s">
        <v>46</v>
      </c>
      <c r="C17" s="4"/>
      <c r="D17" s="4"/>
      <c r="E17" s="4"/>
      <c r="F17" s="4"/>
      <c r="G17" s="145">
        <v>12.153</v>
      </c>
      <c r="H17" s="145">
        <v>22.855</v>
      </c>
      <c r="I17" s="145">
        <v>13.57</v>
      </c>
      <c r="J17" s="145"/>
      <c r="K17" s="145">
        <v>1.0049999999999999</v>
      </c>
      <c r="L17" s="145">
        <v>4.8360000000000003</v>
      </c>
      <c r="M17" s="146"/>
      <c r="N17" s="146">
        <f ca="1">I17-K17+L17</f>
        <v>17.401000000000003</v>
      </c>
      <c r="O17" s="147"/>
      <c r="P17" s="148">
        <f t="shared" ca="1" si="0"/>
        <v>5.669140485217139E-2</v>
      </c>
    </row>
    <row r="18" spans="2:17" ht="12.75" customHeight="1">
      <c r="B18" s="65" t="s">
        <v>12</v>
      </c>
      <c r="G18" s="149">
        <f t="shared" ref="G18:I18" ca="1" si="7">+G16-G17</f>
        <v>23.046000000000014</v>
      </c>
      <c r="H18" s="149">
        <f t="shared" ca="1" si="7"/>
        <v>42.470000000000027</v>
      </c>
      <c r="I18" s="149">
        <f t="shared" ca="1" si="7"/>
        <v>71.932000000000016</v>
      </c>
      <c r="J18" s="152"/>
      <c r="K18" s="149">
        <f ca="1">+K16-K17</f>
        <v>5.4270000000000023</v>
      </c>
      <c r="L18" s="149">
        <f t="shared" ref="L18" ca="1" si="8">+L16-L17</f>
        <v>21.173000000000002</v>
      </c>
      <c r="M18" s="152"/>
      <c r="N18" s="149">
        <f ca="1">+N16-N17</f>
        <v>87.677999999999997</v>
      </c>
      <c r="O18" s="154"/>
      <c r="P18" s="155">
        <f t="shared" ca="1" si="0"/>
        <v>0.76670195259160301</v>
      </c>
      <c r="Q18" s="158"/>
    </row>
    <row r="19" spans="2:17" s="167" customFormat="1" ht="12.75" customHeight="1">
      <c r="B19" s="164" t="s">
        <v>73</v>
      </c>
      <c r="C19" s="165"/>
      <c r="D19" s="165"/>
      <c r="E19" s="165"/>
      <c r="F19" s="165"/>
      <c r="G19" s="156">
        <v>23.526</v>
      </c>
      <c r="H19" s="156">
        <v>33.125</v>
      </c>
      <c r="I19" s="156">
        <v>47.656999999999996</v>
      </c>
      <c r="J19" s="156"/>
      <c r="K19" s="156">
        <v>44.845999999999997</v>
      </c>
      <c r="L19" s="156">
        <v>50.15</v>
      </c>
      <c r="M19" s="152"/>
      <c r="N19" s="77">
        <f ca="1">(I19*4-K19*aquarter+L19*aquarter)/4</f>
        <v>48.982999999999997</v>
      </c>
      <c r="O19" s="166"/>
      <c r="P19" s="155">
        <f t="shared" ca="1" si="0"/>
        <v>0.4232765819942319</v>
      </c>
    </row>
    <row r="20" spans="2:17" s="161" customFormat="1" ht="12.75" customHeight="1">
      <c r="B20" s="168" t="s">
        <v>118</v>
      </c>
      <c r="C20" s="159"/>
      <c r="D20" s="159"/>
      <c r="E20" s="159"/>
      <c r="F20" s="159"/>
      <c r="G20" s="169">
        <f ca="1">G18/G19</f>
        <v>0.97959704157102834</v>
      </c>
      <c r="H20" s="169">
        <f t="shared" ref="H20:I20" ca="1" si="9">H18/H19</f>
        <v>1.2821132075471706</v>
      </c>
      <c r="I20" s="169">
        <f t="shared" ca="1" si="9"/>
        <v>1.5093690328807945</v>
      </c>
      <c r="J20" s="170"/>
      <c r="K20" s="169">
        <f t="shared" ref="K20:N20" ca="1" si="10">K18/K19</f>
        <v>0.12101413726976772</v>
      </c>
      <c r="L20" s="169">
        <f t="shared" ca="1" si="10"/>
        <v>0.42219341974077773</v>
      </c>
      <c r="M20" s="170"/>
      <c r="N20" s="169">
        <f t="shared" ca="1" si="10"/>
        <v>1.7899679480636139</v>
      </c>
      <c r="O20" s="171"/>
      <c r="P20" s="160">
        <f t="shared" ca="1" si="0"/>
        <v>0.24129208260855295</v>
      </c>
    </row>
    <row r="21" spans="2:17" ht="12.75" customHeight="1">
      <c r="G21" s="172"/>
      <c r="H21" s="172"/>
      <c r="I21" s="172"/>
      <c r="J21" s="172"/>
      <c r="K21" s="172"/>
      <c r="L21" s="172"/>
      <c r="M21" s="172"/>
      <c r="N21" s="172"/>
      <c r="O21" s="173"/>
      <c r="P21" s="155"/>
    </row>
    <row r="22" spans="2:17" ht="12.75" customHeight="1">
      <c r="B22" s="3" t="s">
        <v>249</v>
      </c>
      <c r="G22" s="174">
        <v>150</v>
      </c>
      <c r="H22" s="174">
        <v>161</v>
      </c>
      <c r="I22" s="174">
        <v>198</v>
      </c>
      <c r="J22" s="175"/>
      <c r="K22" s="174">
        <v>66</v>
      </c>
      <c r="L22" s="174">
        <v>206</v>
      </c>
      <c r="M22" s="175"/>
      <c r="N22" s="176">
        <f ca="1">IF(aquarter=4,'Income Statement'!I22,'Income Statement'!L22)</f>
        <v>206</v>
      </c>
      <c r="O22" s="173"/>
      <c r="P22" s="177">
        <f ca="1">IF(OR(G22&lt;=0,I22&lt;=0),"NM",(I22/G22)^(1/(I$6-G$6))-1)</f>
        <v>0.14891252930760568</v>
      </c>
    </row>
    <row r="23" spans="2:17" ht="12.75" customHeight="1">
      <c r="G23" s="156"/>
      <c r="H23" s="156"/>
      <c r="I23" s="156"/>
      <c r="J23" s="152"/>
      <c r="K23" s="156"/>
      <c r="L23" s="156"/>
      <c r="M23" s="152"/>
      <c r="N23" s="120"/>
      <c r="O23" s="173"/>
      <c r="P23" s="177"/>
    </row>
    <row r="24" spans="2:17" ht="12.75" customHeight="1">
      <c r="B24" s="101" t="s">
        <v>16</v>
      </c>
      <c r="G24" s="173"/>
      <c r="H24" s="173"/>
      <c r="I24" s="173"/>
      <c r="J24" s="173"/>
      <c r="K24" s="173"/>
      <c r="L24" s="173"/>
      <c r="M24" s="173"/>
      <c r="N24" s="173"/>
      <c r="O24" s="173"/>
      <c r="P24" s="177"/>
    </row>
    <row r="25" spans="2:17" ht="12.75" customHeight="1">
      <c r="B25" s="3" t="s">
        <v>293</v>
      </c>
      <c r="G25" s="113">
        <f ca="1">G14</f>
        <v>35.199000000000012</v>
      </c>
      <c r="H25" s="113">
        <f ca="1">H14</f>
        <v>65.325000000000031</v>
      </c>
      <c r="I25" s="113">
        <f ca="1">I14</f>
        <v>85.50200000000001</v>
      </c>
      <c r="J25" s="113"/>
      <c r="K25" s="113">
        <f ca="1">K14</f>
        <v>6.4320000000000022</v>
      </c>
      <c r="L25" s="113">
        <f ca="1">L14</f>
        <v>26.009</v>
      </c>
      <c r="M25" s="113"/>
      <c r="N25" s="113">
        <f ca="1">N14</f>
        <v>105.07900000000001</v>
      </c>
      <c r="O25" s="166"/>
      <c r="P25" s="178">
        <f ca="1">IF(OR(G25&lt;=0,I25&lt;=0),"NM",(I25/G25)^(1/(I$6-G$6))-1)</f>
        <v>0.55855801929856708</v>
      </c>
    </row>
    <row r="26" spans="2:17" ht="12.75" customHeight="1">
      <c r="B26" s="3" t="s">
        <v>38</v>
      </c>
      <c r="G26" s="244">
        <f ca="1">+G8</f>
        <v>13.163</v>
      </c>
      <c r="H26" s="244">
        <f t="shared" ref="H26:N26" ca="1" si="11">+H8</f>
        <v>19.611000000000001</v>
      </c>
      <c r="I26" s="244">
        <f t="shared" ca="1" si="11"/>
        <v>36.152000000000001</v>
      </c>
      <c r="J26" s="244"/>
      <c r="K26" s="244">
        <f t="shared" ca="1" si="11"/>
        <v>7.1260000000000003</v>
      </c>
      <c r="L26" s="244">
        <f t="shared" ca="1" si="11"/>
        <v>12.034000000000001</v>
      </c>
      <c r="M26" s="244"/>
      <c r="N26" s="244">
        <f t="shared" ca="1" si="11"/>
        <v>41.06</v>
      </c>
      <c r="O26" s="166"/>
      <c r="P26" s="178"/>
    </row>
    <row r="27" spans="2:17" ht="12.75" customHeight="1">
      <c r="B27" s="179" t="s">
        <v>17</v>
      </c>
      <c r="C27" s="4"/>
      <c r="D27" s="4"/>
      <c r="E27" s="4"/>
      <c r="F27" s="4"/>
      <c r="G27" s="102">
        <f ca="1">'Cash Flow'!G9</f>
        <v>4.7859999999999996</v>
      </c>
      <c r="H27" s="102">
        <f ca="1">'Cash Flow'!H9</f>
        <v>6.3029999999999999</v>
      </c>
      <c r="I27" s="102">
        <f ca="1">'Cash Flow'!I9</f>
        <v>8.7059999999999995</v>
      </c>
      <c r="J27" s="180"/>
      <c r="K27" s="102">
        <f ca="1">'Cash Flow'!K9</f>
        <v>2.2669999999999999</v>
      </c>
      <c r="L27" s="102">
        <f ca="1">'Cash Flow'!L9</f>
        <v>2.2570000000000001</v>
      </c>
      <c r="M27" s="55"/>
      <c r="N27" s="146">
        <f ca="1">I27-K27+L27</f>
        <v>8.6959999999999997</v>
      </c>
      <c r="O27" s="181"/>
      <c r="P27" s="182">
        <f ca="1">IF(OR(G27&lt;=0,I27&lt;=0),"NM",(I27/G27)^(1/(I$6-G$6))-1)</f>
        <v>0.34872368510804197</v>
      </c>
    </row>
    <row r="28" spans="2:17" ht="12.75" customHeight="1">
      <c r="B28" s="3" t="s">
        <v>11</v>
      </c>
      <c r="G28" s="183">
        <f ca="1">G25+G27+G26</f>
        <v>53.14800000000001</v>
      </c>
      <c r="H28" s="183">
        <f t="shared" ref="H28:I28" ca="1" si="12">H25+H27+H26</f>
        <v>91.239000000000033</v>
      </c>
      <c r="I28" s="183">
        <f t="shared" ca="1" si="12"/>
        <v>130.36000000000001</v>
      </c>
      <c r="J28" s="162"/>
      <c r="K28" s="183">
        <f t="shared" ref="K28" ca="1" si="13">K25+K27+K26</f>
        <v>15.825000000000003</v>
      </c>
      <c r="L28" s="183">
        <f t="shared" ref="L28:N28" ca="1" si="14">L25+L27+L26</f>
        <v>40.300000000000004</v>
      </c>
      <c r="M28" s="162"/>
      <c r="N28" s="183">
        <f t="shared" ca="1" si="14"/>
        <v>154.83500000000001</v>
      </c>
      <c r="O28" s="154"/>
      <c r="P28" s="178">
        <f ca="1">IF(OR(G28&lt;=0,I28&lt;=0),"NM",(I28/G28)^(1/(I$6-G$6))-1)</f>
        <v>0.56613325982230434</v>
      </c>
    </row>
    <row r="29" spans="2:17" ht="12.75" customHeight="1">
      <c r="G29" s="184"/>
      <c r="H29" s="184"/>
      <c r="I29" s="184"/>
      <c r="J29" s="162"/>
      <c r="K29" s="184"/>
      <c r="L29" s="184"/>
      <c r="M29" s="162"/>
      <c r="N29" s="162"/>
      <c r="O29" s="154"/>
      <c r="P29" s="178"/>
    </row>
    <row r="30" spans="2:17" ht="12.75" customHeight="1">
      <c r="B30" s="101" t="s">
        <v>170</v>
      </c>
      <c r="G30" s="173"/>
      <c r="H30" s="173"/>
      <c r="I30" s="173"/>
      <c r="J30" s="173"/>
      <c r="K30" s="173"/>
      <c r="L30" s="173"/>
      <c r="M30" s="173"/>
      <c r="N30" s="173"/>
      <c r="O30" s="173"/>
      <c r="P30" s="177"/>
    </row>
    <row r="31" spans="2:17" ht="12.75" customHeight="1">
      <c r="B31" s="3" t="str">
        <f ca="1">+B9</f>
        <v>Net Interest Income</v>
      </c>
      <c r="G31" s="113">
        <f ca="1">+G9+G$65</f>
        <v>120.26200000000001</v>
      </c>
      <c r="H31" s="113">
        <f ca="1">+H9+H$65</f>
        <v>170.51800000000003</v>
      </c>
      <c r="I31" s="113">
        <f ca="1">+I9+I$65</f>
        <v>241.00200000000001</v>
      </c>
      <c r="J31" s="113"/>
      <c r="K31" s="113">
        <f ca="1">+K9+K$65</f>
        <v>55.711000000000006</v>
      </c>
      <c r="L31" s="113">
        <f ca="1">+L9+L$65</f>
        <v>64.387999999999991</v>
      </c>
      <c r="M31" s="113"/>
      <c r="N31" s="113">
        <f t="shared" ref="N31:N36" ca="1" si="15">I31-K31+L31</f>
        <v>249.67899999999997</v>
      </c>
      <c r="O31" s="166"/>
      <c r="P31" s="178">
        <f t="shared" ref="P31:P36" ca="1" si="16">IF(OR(G31&lt;=0,I31&lt;=0),"NM",(I31/G31)^(1/(I$6-G$6))-1)</f>
        <v>0.41561811776193713</v>
      </c>
    </row>
    <row r="32" spans="2:17" ht="12.75" customHeight="1">
      <c r="B32" s="3" t="str">
        <f ca="1">+B13</f>
        <v>Operating Expenses</v>
      </c>
      <c r="G32" s="120">
        <f ca="1">+G13+G$71</f>
        <v>-102.852</v>
      </c>
      <c r="H32" s="120">
        <f t="shared" ref="H32:L32" ca="1" si="17">+H13+H$71</f>
        <v>-126.02</v>
      </c>
      <c r="I32" s="120">
        <f t="shared" ca="1" si="17"/>
        <v>-185.33699999999999</v>
      </c>
      <c r="J32" s="120"/>
      <c r="K32" s="120">
        <f t="shared" ca="1" si="17"/>
        <v>-38.331999999999994</v>
      </c>
      <c r="L32" s="120">
        <f t="shared" ca="1" si="17"/>
        <v>-47.271000000000001</v>
      </c>
      <c r="M32" s="120"/>
      <c r="N32" s="120">
        <f t="shared" ca="1" si="15"/>
        <v>-194.27600000000001</v>
      </c>
      <c r="O32" s="166"/>
      <c r="P32" s="178" t="str">
        <f t="shared" ca="1" si="16"/>
        <v>NM</v>
      </c>
    </row>
    <row r="33" spans="2:16" ht="12.75" customHeight="1">
      <c r="B33" s="3" t="str">
        <f ca="1">+B28</f>
        <v>EBITDA</v>
      </c>
      <c r="G33" s="120">
        <f ca="1">+G28+G$79</f>
        <v>53.14800000000001</v>
      </c>
      <c r="H33" s="120">
        <f ca="1">+H28+H$79</f>
        <v>93.03900000000003</v>
      </c>
      <c r="I33" s="120">
        <f ca="1">+I28+I$79</f>
        <v>131.86000000000001</v>
      </c>
      <c r="J33" s="120"/>
      <c r="K33" s="120">
        <f ca="1">+K28+K$79</f>
        <v>34.311000000000007</v>
      </c>
      <c r="L33" s="120">
        <f ca="1">+L28+L$79</f>
        <v>40.300000000000004</v>
      </c>
      <c r="M33" s="120"/>
      <c r="N33" s="120">
        <f t="shared" ca="1" si="15"/>
        <v>137.84900000000002</v>
      </c>
      <c r="O33" s="166"/>
      <c r="P33" s="178">
        <f t="shared" ca="1" si="16"/>
        <v>0.57511792025483288</v>
      </c>
    </row>
    <row r="34" spans="2:16" ht="12.75" customHeight="1">
      <c r="B34" s="3" t="str">
        <f ca="1">+B25</f>
        <v>Operating Income</v>
      </c>
      <c r="G34" s="120">
        <f ca="1">+G25+G$79</f>
        <v>35.199000000000012</v>
      </c>
      <c r="H34" s="120">
        <f ca="1">+H25+H$79</f>
        <v>67.125000000000028</v>
      </c>
      <c r="I34" s="120">
        <f ca="1">+I25+I$79</f>
        <v>87.00200000000001</v>
      </c>
      <c r="J34" s="120"/>
      <c r="K34" s="120">
        <f ca="1">+K25+K$79</f>
        <v>24.918000000000003</v>
      </c>
      <c r="L34" s="120">
        <f ca="1">+L25+L$79</f>
        <v>26.009</v>
      </c>
      <c r="M34" s="120"/>
      <c r="N34" s="120">
        <f t="shared" ca="1" si="15"/>
        <v>88.093000000000004</v>
      </c>
      <c r="O34" s="166"/>
      <c r="P34" s="178">
        <f t="shared" ca="1" si="16"/>
        <v>0.57216982114928383</v>
      </c>
    </row>
    <row r="35" spans="2:16" ht="12.75" customHeight="1">
      <c r="B35" s="3" t="str">
        <f ca="1">B18</f>
        <v>Net Income</v>
      </c>
      <c r="G35" s="120">
        <f ca="1">+G18+G$92</f>
        <v>23.046000000000014</v>
      </c>
      <c r="H35" s="120">
        <f t="shared" ref="H35:I35" ca="1" si="18">+H18+H$92</f>
        <v>43.820000000000029</v>
      </c>
      <c r="I35" s="120">
        <f t="shared" ca="1" si="18"/>
        <v>73.057000000000016</v>
      </c>
      <c r="J35" s="120"/>
      <c r="K35" s="120">
        <f t="shared" ref="K35" ca="1" si="19">+K18+K$92</f>
        <v>23.913000000000004</v>
      </c>
      <c r="L35" s="120">
        <f t="shared" ref="L35" ca="1" si="20">+L18+L$92</f>
        <v>21.173000000000002</v>
      </c>
      <c r="M35" s="120"/>
      <c r="N35" s="120">
        <f t="shared" ca="1" si="15"/>
        <v>70.317000000000007</v>
      </c>
      <c r="O35" s="166"/>
      <c r="P35" s="178">
        <f t="shared" ca="1" si="16"/>
        <v>0.78046376035681697</v>
      </c>
    </row>
    <row r="36" spans="2:16" ht="12.75" customHeight="1">
      <c r="B36" s="3" t="str">
        <f ca="1">+B20</f>
        <v>Diluted EPS</v>
      </c>
      <c r="G36" s="100">
        <f ca="1">+G35/G19</f>
        <v>0.97959704157102834</v>
      </c>
      <c r="H36" s="100">
        <f ca="1">+H35/H19</f>
        <v>1.3228679245283028</v>
      </c>
      <c r="I36" s="100">
        <f ca="1">+I35/I19</f>
        <v>1.5329752187506562</v>
      </c>
      <c r="J36" s="113"/>
      <c r="K36" s="100">
        <f ca="1">+K35/K19</f>
        <v>0.53322481380725162</v>
      </c>
      <c r="L36" s="100">
        <f ca="1">+L35/L19</f>
        <v>0.42219341974077773</v>
      </c>
      <c r="M36" s="113"/>
      <c r="N36" s="100">
        <f t="shared" ca="1" si="15"/>
        <v>1.4219438246841825</v>
      </c>
      <c r="O36" s="166"/>
      <c r="P36" s="178">
        <f t="shared" ca="1" si="16"/>
        <v>0.25096118553577984</v>
      </c>
    </row>
    <row r="37" spans="2:16" ht="12.75" customHeight="1">
      <c r="G37" s="113"/>
      <c r="H37" s="113"/>
      <c r="I37" s="113"/>
      <c r="J37" s="113"/>
      <c r="K37" s="113"/>
      <c r="L37" s="113"/>
      <c r="M37" s="113"/>
      <c r="N37" s="113"/>
      <c r="O37" s="166"/>
      <c r="P37" s="178"/>
    </row>
    <row r="38" spans="2:16" ht="12.75" customHeight="1">
      <c r="B38" s="101" t="s">
        <v>211</v>
      </c>
      <c r="G38" s="184"/>
      <c r="H38" s="184"/>
      <c r="I38" s="184"/>
      <c r="J38" s="163"/>
      <c r="K38" s="184"/>
      <c r="L38" s="184"/>
      <c r="M38" s="163"/>
      <c r="N38" s="184"/>
      <c r="O38" s="154"/>
      <c r="P38" s="185"/>
    </row>
    <row r="39" spans="2:16" ht="12.75" customHeight="1">
      <c r="B39" s="3" t="s">
        <v>250</v>
      </c>
      <c r="G39" s="184">
        <f ca="1">G9/G7</f>
        <v>0.90134532508900134</v>
      </c>
      <c r="H39" s="184">
        <f ca="1">H31/H$7</f>
        <v>0.90302866614767874</v>
      </c>
      <c r="I39" s="184">
        <f ca="1">I31/I$7</f>
        <v>0.87113144939165899</v>
      </c>
      <c r="J39" s="186"/>
      <c r="K39" s="184">
        <f ca="1">K31/K$7</f>
        <v>0.88659547718700771</v>
      </c>
      <c r="L39" s="184">
        <f ca="1">L31/L$7</f>
        <v>0.84253225510978502</v>
      </c>
      <c r="M39" s="184"/>
      <c r="N39" s="184">
        <f ca="1">N31/N$7</f>
        <v>0.86025310175407144</v>
      </c>
      <c r="O39" s="186"/>
      <c r="P39" s="185"/>
    </row>
    <row r="40" spans="2:16" ht="12.75" customHeight="1">
      <c r="B40" s="3" t="s">
        <v>245</v>
      </c>
      <c r="G40" s="184">
        <f ca="1">-G10/G7</f>
        <v>1.9658984448191866E-2</v>
      </c>
      <c r="H40" s="184">
        <f t="shared" ref="H40:I40" ca="1" si="21">-H10/H7</f>
        <v>2.3539816447685474E-2</v>
      </c>
      <c r="I40" s="184">
        <f t="shared" ca="1" si="21"/>
        <v>1.2615035387162304E-2</v>
      </c>
      <c r="J40" s="186"/>
      <c r="K40" s="184">
        <f t="shared" ref="K40" ca="1" si="22">-K10/K7</f>
        <v>2.1818355427534731E-2</v>
      </c>
      <c r="L40" s="184">
        <f t="shared" ref="L40:N40" ca="1" si="23">-L10/L7</f>
        <v>8.1128470859176682E-3</v>
      </c>
      <c r="M40" s="184"/>
      <c r="N40" s="184">
        <f t="shared" ca="1" si="23"/>
        <v>9.4370501552169077E-3</v>
      </c>
      <c r="O40" s="186"/>
      <c r="P40" s="185"/>
    </row>
    <row r="41" spans="2:16" ht="12.75" customHeight="1">
      <c r="B41" s="3" t="s">
        <v>248</v>
      </c>
      <c r="G41" s="184">
        <f ca="1">-G32/G7</f>
        <v>0.77086003372681278</v>
      </c>
      <c r="H41" s="184">
        <f t="shared" ref="H41:I43" ca="1" si="24">H33/H$7</f>
        <v>0.4927156316031967</v>
      </c>
      <c r="I41" s="184">
        <f t="shared" ca="1" si="24"/>
        <v>0.47662423098888873</v>
      </c>
      <c r="J41" s="186"/>
      <c r="K41" s="184">
        <f t="shared" ref="K41" ca="1" si="25">K33/K$7</f>
        <v>0.54603179655298639</v>
      </c>
      <c r="L41" s="184">
        <f t="shared" ref="L41:L43" ca="1" si="26">L33/L$7</f>
        <v>0.52733506058464852</v>
      </c>
      <c r="M41" s="184"/>
      <c r="N41" s="184">
        <f t="shared" ref="N41" ca="1" si="27">N33/N$7</f>
        <v>0.47494995503705567</v>
      </c>
      <c r="O41" s="186"/>
      <c r="P41" s="185"/>
    </row>
    <row r="42" spans="2:16" ht="12.75" customHeight="1">
      <c r="B42" s="3" t="s">
        <v>293</v>
      </c>
      <c r="G42" s="184">
        <f ca="1">G34/G$7</f>
        <v>0.26381112984822941</v>
      </c>
      <c r="H42" s="184">
        <f t="shared" ca="1" si="24"/>
        <v>0.35548035524204452</v>
      </c>
      <c r="I42" s="184">
        <f t="shared" ca="1" si="24"/>
        <v>0.3144794580956719</v>
      </c>
      <c r="J42" s="186"/>
      <c r="K42" s="184">
        <f t="shared" ref="K42" ca="1" si="28">K34/K$7</f>
        <v>0.39654980345974505</v>
      </c>
      <c r="L42" s="184">
        <f t="shared" ca="1" si="26"/>
        <v>0.34033393525424616</v>
      </c>
      <c r="M42" s="184"/>
      <c r="N42" s="184">
        <f t="shared" ref="N42" ca="1" si="29">N34/N$7</f>
        <v>0.3035188241414834</v>
      </c>
      <c r="O42" s="186"/>
      <c r="P42" s="185"/>
    </row>
    <row r="43" spans="2:16" ht="12.75" customHeight="1">
      <c r="B43" s="3" t="s">
        <v>12</v>
      </c>
      <c r="G43" s="184">
        <f ca="1">G35/G$7</f>
        <v>0.17272625070264203</v>
      </c>
      <c r="H43" s="184">
        <f t="shared" ca="1" si="24"/>
        <v>0.23206181253938762</v>
      </c>
      <c r="I43" s="184">
        <f t="shared" ca="1" si="24"/>
        <v>0.26407353589682425</v>
      </c>
      <c r="J43" s="186"/>
      <c r="K43" s="184">
        <f t="shared" ref="K43" ca="1" si="30">K35/K$7</f>
        <v>0.38055604182249314</v>
      </c>
      <c r="L43" s="184">
        <f t="shared" ca="1" si="26"/>
        <v>0.27705372798408839</v>
      </c>
      <c r="M43" s="184"/>
      <c r="N43" s="184">
        <f t="shared" ref="N43" ca="1" si="31">N35/N$7</f>
        <v>0.24227274763212386</v>
      </c>
      <c r="O43" s="186"/>
      <c r="P43" s="185"/>
    </row>
    <row r="44" spans="2:16" ht="12.75" customHeight="1">
      <c r="G44" s="152"/>
      <c r="H44" s="152"/>
      <c r="I44" s="152"/>
      <c r="J44" s="186"/>
      <c r="K44" s="152"/>
      <c r="L44" s="152"/>
      <c r="M44" s="186"/>
      <c r="N44" s="152"/>
      <c r="O44" s="186"/>
      <c r="P44" s="185"/>
    </row>
    <row r="45" spans="2:16" ht="12.75" customHeight="1">
      <c r="B45" s="101" t="s">
        <v>212</v>
      </c>
      <c r="G45" s="186"/>
      <c r="H45" s="186"/>
      <c r="I45" s="186"/>
      <c r="J45" s="186"/>
      <c r="K45" s="186"/>
      <c r="L45" s="186"/>
      <c r="M45" s="186"/>
      <c r="N45" s="186"/>
      <c r="O45" s="186"/>
      <c r="P45" s="185"/>
    </row>
    <row r="46" spans="2:16" ht="12.75" customHeight="1">
      <c r="B46" s="3" t="str">
        <f ca="1">B7</f>
        <v>Interest Income</v>
      </c>
      <c r="G46" s="187">
        <v>0</v>
      </c>
      <c r="H46" s="187">
        <f ca="1">(H7/G7-1)</f>
        <v>0.41524451939291729</v>
      </c>
      <c r="I46" s="187">
        <f ca="1">(I7/H7-1)</f>
        <v>0.46510334747311055</v>
      </c>
      <c r="K46" s="187">
        <v>0</v>
      </c>
      <c r="L46" s="187">
        <f ca="1">(L7/K7-1)</f>
        <v>0.21619428043986821</v>
      </c>
      <c r="N46" s="187">
        <v>0</v>
      </c>
      <c r="O46" s="186"/>
      <c r="P46" s="185"/>
    </row>
    <row r="47" spans="2:16" ht="12.75" customHeight="1">
      <c r="B47" s="3" t="str">
        <f ca="1">+B33</f>
        <v>EBITDA</v>
      </c>
      <c r="G47" s="187">
        <v>0</v>
      </c>
      <c r="H47" s="187">
        <f t="shared" ref="H47:I50" ca="1" si="32">IF(OR(G33&lt;=0,H33&lt;0),"NM",(H33/G33-1))</f>
        <v>0.75056446150372569</v>
      </c>
      <c r="I47" s="187">
        <f t="shared" ca="1" si="32"/>
        <v>0.41725512956932009</v>
      </c>
      <c r="J47" s="98"/>
      <c r="K47" s="187">
        <v>0</v>
      </c>
      <c r="L47" s="187">
        <f t="shared" ref="L47" ca="1" si="33">IF(OR(K33&lt;=0,L33&lt;0),"NM",(L33/K33-1))</f>
        <v>0.17455043572032292</v>
      </c>
      <c r="M47" s="98"/>
      <c r="N47" s="187">
        <v>0</v>
      </c>
      <c r="O47" s="186"/>
      <c r="P47" s="185"/>
    </row>
    <row r="48" spans="2:16" ht="12.75" customHeight="1">
      <c r="B48" s="3" t="str">
        <f ca="1">+B34</f>
        <v>Operating Income</v>
      </c>
      <c r="G48" s="187">
        <v>0</v>
      </c>
      <c r="H48" s="187">
        <f t="shared" ca="1" si="32"/>
        <v>0.90701440381829035</v>
      </c>
      <c r="I48" s="187">
        <f t="shared" ca="1" si="32"/>
        <v>0.29611918063314668</v>
      </c>
      <c r="J48" s="98"/>
      <c r="K48" s="187">
        <v>0</v>
      </c>
      <c r="L48" s="187">
        <f t="shared" ref="L48" ca="1" si="34">IF(OR(K34&lt;=0,L34&lt;0),"NM",(L34/K34-1))</f>
        <v>4.3783610241592275E-2</v>
      </c>
      <c r="M48" s="98"/>
      <c r="N48" s="187">
        <v>0</v>
      </c>
      <c r="O48" s="186"/>
      <c r="P48" s="185"/>
    </row>
    <row r="49" spans="2:16" ht="12.75" customHeight="1">
      <c r="B49" s="3" t="str">
        <f ca="1">+B35</f>
        <v>Net Income</v>
      </c>
      <c r="G49" s="187">
        <v>0</v>
      </c>
      <c r="H49" s="187">
        <f t="shared" ca="1" si="32"/>
        <v>0.90141456217998805</v>
      </c>
      <c r="I49" s="187">
        <f t="shared" ca="1" si="32"/>
        <v>0.66720675490643466</v>
      </c>
      <c r="J49" s="98"/>
      <c r="K49" s="187">
        <v>0</v>
      </c>
      <c r="L49" s="187">
        <f t="shared" ref="L49" ca="1" si="35">IF(OR(K35&lt;=0,L35&lt;0),"NM",(L35/K35-1))</f>
        <v>-0.11458202651277549</v>
      </c>
      <c r="M49" s="98"/>
      <c r="N49" s="187">
        <v>0</v>
      </c>
      <c r="O49" s="186"/>
      <c r="P49" s="185"/>
    </row>
    <row r="50" spans="2:16" ht="12.75" customHeight="1">
      <c r="B50" s="3" t="str">
        <f ca="1">+B36</f>
        <v>Diluted EPS</v>
      </c>
      <c r="G50" s="187">
        <v>0</v>
      </c>
      <c r="H50" s="187">
        <f t="shared" ca="1" si="32"/>
        <v>0.35042049780668383</v>
      </c>
      <c r="I50" s="187">
        <f t="shared" ca="1" si="32"/>
        <v>0.15882711367219193</v>
      </c>
      <c r="J50" s="98"/>
      <c r="K50" s="187">
        <v>0</v>
      </c>
      <c r="L50" s="187">
        <f t="shared" ref="L50" ca="1" si="36">IF(OR(K36&lt;=0,L36&lt;0),"NM",(L36/K36-1))</f>
        <v>-0.20822623252227179</v>
      </c>
      <c r="M50" s="98"/>
      <c r="N50" s="187">
        <v>0</v>
      </c>
      <c r="O50" s="186"/>
      <c r="P50" s="185"/>
    </row>
    <row r="51" spans="2:16" ht="12.75" customHeight="1">
      <c r="B51" s="4"/>
      <c r="C51" s="4"/>
      <c r="D51" s="4"/>
      <c r="E51" s="4"/>
      <c r="F51" s="4"/>
      <c r="G51" s="188"/>
      <c r="H51" s="4"/>
      <c r="I51" s="4"/>
      <c r="J51" s="4"/>
      <c r="K51" s="4"/>
      <c r="L51" s="4"/>
      <c r="M51" s="4"/>
      <c r="N51" s="4"/>
      <c r="O51" s="4"/>
      <c r="P51" s="189"/>
    </row>
    <row r="52" spans="2:16" ht="12.75" customHeight="1">
      <c r="B52" s="190" t="str">
        <f ca="1">"Source: Company's "&amp;YEAR(afye)&amp;" Form 10-K"&amp;IF(aquarter&lt;&gt;4," and Form 10-Q for the period ended "&amp;TEXT(altmdate,"mmmm d, yyyy")&amp;".",".")</f>
        <v>Source: Company's 2018 Form 10-K and Form 10-Q for the period ended March 31, 2019.</v>
      </c>
      <c r="C52" s="115"/>
      <c r="D52" s="191"/>
      <c r="E52" s="191"/>
      <c r="F52" s="191"/>
      <c r="G52" s="115"/>
      <c r="H52" s="115"/>
      <c r="I52" s="115"/>
      <c r="J52" s="115"/>
      <c r="K52" s="115"/>
      <c r="L52" s="192"/>
      <c r="M52" s="192"/>
      <c r="N52" s="115"/>
      <c r="O52" s="115"/>
      <c r="P52" s="192"/>
    </row>
    <row r="53" spans="2:16" ht="12.75" customHeight="1">
      <c r="B53" s="116" t="s">
        <v>163</v>
      </c>
      <c r="K53" s="119"/>
      <c r="L53" s="119"/>
      <c r="M53" s="119"/>
      <c r="N53" s="119"/>
      <c r="P53" s="193"/>
    </row>
    <row r="56" spans="2:16" ht="15.75" customHeight="1" thickBot="1">
      <c r="B56" s="194" t="s">
        <v>158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2:16" ht="12.75" customHeight="1">
      <c r="B57" s="63" t="s">
        <v>113</v>
      </c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</row>
    <row r="58" spans="2:16" s="14" customFormat="1" ht="12.75" customHeight="1">
      <c r="B58" s="9"/>
      <c r="C58" s="9"/>
      <c r="D58" s="9"/>
      <c r="E58" s="9"/>
      <c r="F58" s="9"/>
      <c r="G58" s="133"/>
      <c r="H58" s="18"/>
      <c r="I58" s="18"/>
      <c r="J58" s="10"/>
      <c r="K58" s="133" t="str">
        <f ca="1">K$5</f>
        <v>Three Months Ended</v>
      </c>
      <c r="L58" s="133"/>
      <c r="M58" s="9"/>
      <c r="N58" s="195"/>
      <c r="O58" s="9"/>
      <c r="P58" s="195"/>
    </row>
    <row r="59" spans="2:16" s="14" customFormat="1" ht="15" customHeight="1">
      <c r="B59" s="196" t="s">
        <v>159</v>
      </c>
      <c r="C59" s="9"/>
      <c r="D59" s="9"/>
      <c r="E59" s="9"/>
      <c r="F59" s="9"/>
      <c r="G59" s="133">
        <f t="shared" ref="G59:L59" ca="1" si="37">G$6</f>
        <v>2016</v>
      </c>
      <c r="H59" s="133">
        <f t="shared" ca="1" si="37"/>
        <v>2017</v>
      </c>
      <c r="I59" s="133">
        <f t="shared" ca="1" si="37"/>
        <v>2018</v>
      </c>
      <c r="J59" s="197"/>
      <c r="K59" s="198">
        <f t="shared" ca="1" si="37"/>
        <v>43190</v>
      </c>
      <c r="L59" s="198">
        <f t="shared" ca="1" si="37"/>
        <v>43555</v>
      </c>
      <c r="M59" s="197"/>
      <c r="N59" s="199"/>
      <c r="O59" s="9"/>
      <c r="P59" s="43"/>
    </row>
    <row r="60" spans="2:16" s="14" customFormat="1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O60" s="9"/>
    </row>
    <row r="61" spans="2:16">
      <c r="B61" s="101" t="s">
        <v>251</v>
      </c>
      <c r="N61" s="4"/>
    </row>
    <row r="62" spans="2:16">
      <c r="B62" s="1" t="s">
        <v>252</v>
      </c>
      <c r="G62" s="156">
        <v>0</v>
      </c>
      <c r="H62" s="156">
        <v>1.3</v>
      </c>
      <c r="I62" s="156">
        <v>0.5</v>
      </c>
      <c r="J62" s="156"/>
      <c r="K62" s="156">
        <v>0</v>
      </c>
      <c r="L62" s="156">
        <v>0</v>
      </c>
      <c r="M62" s="156"/>
      <c r="N62" s="146"/>
    </row>
    <row r="63" spans="2:16">
      <c r="B63" s="1" t="s">
        <v>146</v>
      </c>
      <c r="G63" s="156">
        <v>0</v>
      </c>
      <c r="H63" s="156">
        <v>0</v>
      </c>
      <c r="I63" s="156">
        <v>0</v>
      </c>
      <c r="J63" s="156"/>
      <c r="K63" s="156">
        <v>0</v>
      </c>
      <c r="L63" s="156">
        <v>0</v>
      </c>
      <c r="M63" s="156"/>
      <c r="N63" s="146"/>
    </row>
    <row r="64" spans="2:16">
      <c r="B64" s="1" t="s">
        <v>146</v>
      </c>
      <c r="G64" s="145">
        <v>0</v>
      </c>
      <c r="H64" s="145">
        <v>0</v>
      </c>
      <c r="I64" s="145">
        <v>0</v>
      </c>
      <c r="J64" s="156"/>
      <c r="K64" s="145">
        <v>0</v>
      </c>
      <c r="L64" s="145">
        <v>0</v>
      </c>
      <c r="M64" s="156"/>
      <c r="N64" s="146"/>
    </row>
    <row r="65" spans="2:14">
      <c r="B65" s="112" t="s">
        <v>13</v>
      </c>
      <c r="G65" s="200">
        <f t="shared" ref="G65:I65" ca="1" si="38">SUM(G62:G64)</f>
        <v>0</v>
      </c>
      <c r="H65" s="200">
        <f t="shared" ca="1" si="38"/>
        <v>1.3</v>
      </c>
      <c r="I65" s="200">
        <f t="shared" ca="1" si="38"/>
        <v>0.5</v>
      </c>
      <c r="J65" s="145"/>
      <c r="K65" s="200">
        <f ca="1">SUM(K62:K64)</f>
        <v>0</v>
      </c>
      <c r="L65" s="200">
        <f ca="1">SUM(L62:L64)</f>
        <v>0</v>
      </c>
      <c r="M65" s="156"/>
      <c r="N65" s="55"/>
    </row>
    <row r="66" spans="2:14">
      <c r="B66" s="1"/>
      <c r="G66" s="201"/>
      <c r="H66" s="201"/>
      <c r="I66" s="201"/>
      <c r="J66" s="201"/>
      <c r="K66" s="201"/>
      <c r="L66" s="201"/>
      <c r="M66" s="201"/>
      <c r="N66" s="202"/>
    </row>
    <row r="67" spans="2:14">
      <c r="B67" s="101" t="s">
        <v>253</v>
      </c>
      <c r="C67" s="101"/>
      <c r="G67" s="201"/>
      <c r="H67" s="201"/>
      <c r="I67" s="201"/>
      <c r="J67" s="201"/>
      <c r="K67" s="201"/>
      <c r="L67" s="201"/>
      <c r="M67" s="201"/>
      <c r="N67" s="202"/>
    </row>
    <row r="68" spans="2:14">
      <c r="B68" s="1" t="s">
        <v>231</v>
      </c>
      <c r="G68" s="156">
        <v>0</v>
      </c>
      <c r="H68" s="156">
        <v>0.5</v>
      </c>
      <c r="I68" s="156">
        <v>1</v>
      </c>
      <c r="J68" s="156"/>
      <c r="K68" s="156">
        <v>0</v>
      </c>
      <c r="L68" s="156">
        <v>0</v>
      </c>
      <c r="M68" s="156"/>
      <c r="N68" s="146"/>
    </row>
    <row r="69" spans="2:14">
      <c r="B69" s="1" t="s">
        <v>267</v>
      </c>
      <c r="G69" s="156">
        <v>0</v>
      </c>
      <c r="H69" s="156">
        <v>0</v>
      </c>
      <c r="I69" s="156">
        <v>0</v>
      </c>
      <c r="J69" s="156"/>
      <c r="K69" s="156">
        <v>18.486000000000001</v>
      </c>
      <c r="L69" s="156">
        <v>0</v>
      </c>
      <c r="M69" s="156"/>
      <c r="N69" s="146"/>
    </row>
    <row r="70" spans="2:14">
      <c r="B70" s="1" t="s">
        <v>146</v>
      </c>
      <c r="G70" s="145">
        <v>0</v>
      </c>
      <c r="H70" s="145">
        <v>0</v>
      </c>
      <c r="I70" s="145">
        <v>0</v>
      </c>
      <c r="J70" s="156"/>
      <c r="K70" s="145">
        <v>0</v>
      </c>
      <c r="L70" s="145">
        <v>0</v>
      </c>
      <c r="M70" s="156"/>
      <c r="N70" s="146"/>
    </row>
    <row r="71" spans="2:14">
      <c r="B71" s="112" t="s">
        <v>13</v>
      </c>
      <c r="G71" s="200">
        <f t="shared" ref="G71:I71" ca="1" si="39">SUM(G68:G70)</f>
        <v>0</v>
      </c>
      <c r="H71" s="200">
        <f t="shared" ca="1" si="39"/>
        <v>0.5</v>
      </c>
      <c r="I71" s="200">
        <f t="shared" ca="1" si="39"/>
        <v>1</v>
      </c>
      <c r="J71" s="145"/>
      <c r="K71" s="200">
        <f ca="1">SUM(K68:K70)</f>
        <v>18.486000000000001</v>
      </c>
      <c r="L71" s="200">
        <f ca="1">SUM(L68:L70)</f>
        <v>0</v>
      </c>
      <c r="M71" s="156"/>
      <c r="N71" s="55"/>
    </row>
    <row r="72" spans="2:14">
      <c r="B72" s="1"/>
      <c r="G72" s="201"/>
      <c r="H72" s="201"/>
      <c r="I72" s="201"/>
      <c r="J72" s="201"/>
      <c r="K72" s="201"/>
      <c r="L72" s="201"/>
      <c r="M72" s="201"/>
      <c r="N72" s="202"/>
    </row>
    <row r="73" spans="2:14">
      <c r="B73" s="101" t="s">
        <v>294</v>
      </c>
      <c r="G73" s="201"/>
      <c r="H73" s="201"/>
      <c r="I73" s="201"/>
      <c r="J73" s="201"/>
      <c r="K73" s="201"/>
      <c r="L73" s="201"/>
      <c r="M73" s="201"/>
      <c r="N73" s="202"/>
    </row>
    <row r="74" spans="2:14">
      <c r="B74" s="1" t="s">
        <v>146</v>
      </c>
      <c r="G74" s="156">
        <v>0</v>
      </c>
      <c r="H74" s="156">
        <v>0</v>
      </c>
      <c r="I74" s="156">
        <v>0</v>
      </c>
      <c r="J74" s="156"/>
      <c r="K74" s="156">
        <v>0</v>
      </c>
      <c r="L74" s="156">
        <v>0</v>
      </c>
      <c r="M74" s="156"/>
      <c r="N74" s="146"/>
    </row>
    <row r="75" spans="2:14">
      <c r="B75" s="1" t="s">
        <v>146</v>
      </c>
      <c r="G75" s="156">
        <v>0</v>
      </c>
      <c r="H75" s="156">
        <v>0</v>
      </c>
      <c r="I75" s="156">
        <v>0</v>
      </c>
      <c r="J75" s="156"/>
      <c r="K75" s="156">
        <v>0</v>
      </c>
      <c r="L75" s="156">
        <v>0</v>
      </c>
      <c r="M75" s="156"/>
      <c r="N75" s="146"/>
    </row>
    <row r="76" spans="2:14">
      <c r="B76" s="1" t="s">
        <v>146</v>
      </c>
      <c r="G76" s="145">
        <v>0</v>
      </c>
      <c r="H76" s="145">
        <v>0</v>
      </c>
      <c r="I76" s="145">
        <v>0</v>
      </c>
      <c r="J76" s="156"/>
      <c r="K76" s="145">
        <v>0</v>
      </c>
      <c r="L76" s="145">
        <v>0</v>
      </c>
      <c r="M76" s="156"/>
      <c r="N76" s="146"/>
    </row>
    <row r="77" spans="2:14">
      <c r="B77" s="112" t="s">
        <v>13</v>
      </c>
      <c r="G77" s="200">
        <f t="shared" ref="G77:I77" ca="1" si="40">SUM(G74:G76)</f>
        <v>0</v>
      </c>
      <c r="H77" s="200">
        <f t="shared" ca="1" si="40"/>
        <v>0</v>
      </c>
      <c r="I77" s="200">
        <f t="shared" ca="1" si="40"/>
        <v>0</v>
      </c>
      <c r="J77" s="145"/>
      <c r="K77" s="200">
        <f ca="1">SUM(K74:K76)</f>
        <v>0</v>
      </c>
      <c r="L77" s="200">
        <f ca="1">SUM(L74:L76)</f>
        <v>0</v>
      </c>
      <c r="M77" s="156"/>
      <c r="N77" s="55"/>
    </row>
    <row r="78" spans="2:14">
      <c r="B78" s="112"/>
      <c r="G78" s="55"/>
      <c r="H78" s="55"/>
      <c r="I78" s="55"/>
      <c r="J78" s="145"/>
      <c r="K78" s="55"/>
      <c r="L78" s="55"/>
      <c r="M78" s="156"/>
      <c r="N78" s="55"/>
    </row>
    <row r="79" spans="2:14">
      <c r="B79" s="112" t="s">
        <v>297</v>
      </c>
      <c r="G79" s="200">
        <f t="shared" ref="G79:L79" ca="1" si="41">SUM(G77,G71,G65)</f>
        <v>0</v>
      </c>
      <c r="H79" s="200">
        <f t="shared" ca="1" si="41"/>
        <v>1.8</v>
      </c>
      <c r="I79" s="200">
        <f t="shared" ca="1" si="41"/>
        <v>1.5</v>
      </c>
      <c r="J79" s="145"/>
      <c r="K79" s="200">
        <f t="shared" ca="1" si="41"/>
        <v>18.486000000000001</v>
      </c>
      <c r="L79" s="200">
        <f t="shared" ca="1" si="41"/>
        <v>0</v>
      </c>
      <c r="M79" s="156"/>
      <c r="N79" s="55"/>
    </row>
    <row r="80" spans="2:14">
      <c r="B80" s="1"/>
      <c r="G80" s="201"/>
      <c r="H80" s="201"/>
      <c r="I80" s="201"/>
      <c r="J80" s="201"/>
      <c r="K80" s="201"/>
      <c r="L80" s="201"/>
      <c r="M80" s="201"/>
      <c r="N80" s="202"/>
    </row>
    <row r="81" spans="2:16">
      <c r="B81" s="101" t="s">
        <v>295</v>
      </c>
      <c r="G81" s="201"/>
      <c r="H81" s="201"/>
      <c r="I81" s="201"/>
      <c r="J81" s="201"/>
      <c r="K81" s="201"/>
      <c r="L81" s="201"/>
      <c r="M81" s="201"/>
      <c r="N81" s="202"/>
    </row>
    <row r="82" spans="2:16">
      <c r="B82" s="1" t="s">
        <v>146</v>
      </c>
      <c r="G82" s="156">
        <v>0</v>
      </c>
      <c r="H82" s="156">
        <v>0</v>
      </c>
      <c r="I82" s="156">
        <v>0</v>
      </c>
      <c r="J82" s="156"/>
      <c r="K82" s="156">
        <v>0</v>
      </c>
      <c r="L82" s="156">
        <v>0</v>
      </c>
      <c r="M82" s="156"/>
      <c r="N82" s="146"/>
    </row>
    <row r="83" spans="2:16">
      <c r="B83" s="1" t="s">
        <v>146</v>
      </c>
      <c r="G83" s="156">
        <v>0</v>
      </c>
      <c r="H83" s="156">
        <v>0</v>
      </c>
      <c r="I83" s="156">
        <v>0</v>
      </c>
      <c r="J83" s="156"/>
      <c r="K83" s="156">
        <v>0</v>
      </c>
      <c r="L83" s="156">
        <v>0</v>
      </c>
      <c r="M83" s="156"/>
      <c r="N83" s="146"/>
    </row>
    <row r="84" spans="2:16">
      <c r="B84" s="1" t="s">
        <v>146</v>
      </c>
      <c r="G84" s="145">
        <v>0</v>
      </c>
      <c r="H84" s="145">
        <v>0</v>
      </c>
      <c r="I84" s="145">
        <v>0</v>
      </c>
      <c r="J84" s="156"/>
      <c r="K84" s="145">
        <v>0</v>
      </c>
      <c r="L84" s="145">
        <v>0</v>
      </c>
      <c r="M84" s="156"/>
      <c r="N84" s="146"/>
    </row>
    <row r="85" spans="2:16">
      <c r="B85" s="112" t="s">
        <v>296</v>
      </c>
      <c r="G85" s="200">
        <f t="shared" ref="G85:I85" ca="1" si="42">SUM(G82:G84)</f>
        <v>0</v>
      </c>
      <c r="H85" s="200">
        <f t="shared" ca="1" si="42"/>
        <v>0</v>
      </c>
      <c r="I85" s="200">
        <f t="shared" ca="1" si="42"/>
        <v>0</v>
      </c>
      <c r="J85" s="145"/>
      <c r="K85" s="200">
        <f ca="1">SUM(K82:K84)</f>
        <v>0</v>
      </c>
      <c r="L85" s="200">
        <f ca="1">SUM(L82:L84)</f>
        <v>0</v>
      </c>
      <c r="M85" s="156"/>
      <c r="N85" s="55"/>
    </row>
    <row r="86" spans="2:16">
      <c r="B86" s="1"/>
      <c r="G86" s="201"/>
      <c r="H86" s="201"/>
      <c r="I86" s="201"/>
      <c r="J86" s="201"/>
      <c r="K86" s="201"/>
      <c r="L86" s="201"/>
      <c r="M86" s="201"/>
      <c r="N86" s="202"/>
    </row>
    <row r="87" spans="2:16">
      <c r="B87" s="112" t="s">
        <v>172</v>
      </c>
      <c r="G87" s="200">
        <f t="shared" ref="G87:L87" ca="1" si="43">SUM(G85,G79)</f>
        <v>0</v>
      </c>
      <c r="H87" s="200">
        <f t="shared" ca="1" si="43"/>
        <v>1.8</v>
      </c>
      <c r="I87" s="200">
        <f t="shared" ca="1" si="43"/>
        <v>1.5</v>
      </c>
      <c r="J87" s="145"/>
      <c r="K87" s="200">
        <f t="shared" ca="1" si="43"/>
        <v>18.486000000000001</v>
      </c>
      <c r="L87" s="200">
        <f t="shared" ca="1" si="43"/>
        <v>0</v>
      </c>
      <c r="M87" s="201"/>
      <c r="N87" s="202"/>
    </row>
    <row r="88" spans="2:16">
      <c r="B88" s="1"/>
      <c r="G88" s="201"/>
      <c r="H88" s="201"/>
      <c r="I88" s="201"/>
      <c r="J88" s="201"/>
      <c r="K88" s="201"/>
      <c r="L88" s="201"/>
      <c r="M88" s="201"/>
      <c r="N88" s="202"/>
    </row>
    <row r="89" spans="2:16" s="207" customFormat="1">
      <c r="B89" s="203" t="s">
        <v>54</v>
      </c>
      <c r="C89" s="203"/>
      <c r="D89" s="203"/>
      <c r="E89" s="203"/>
      <c r="F89" s="203"/>
      <c r="G89" s="204">
        <v>0.25</v>
      </c>
      <c r="H89" s="204">
        <v>0.25</v>
      </c>
      <c r="I89" s="204">
        <v>0.25</v>
      </c>
      <c r="J89" s="205"/>
      <c r="K89" s="204">
        <v>0</v>
      </c>
      <c r="L89" s="204">
        <v>0</v>
      </c>
      <c r="M89" s="205"/>
      <c r="N89" s="206"/>
      <c r="O89" s="203"/>
      <c r="P89" s="203"/>
    </row>
    <row r="90" spans="2:16">
      <c r="B90" s="112" t="s">
        <v>213</v>
      </c>
      <c r="G90" s="120">
        <f t="shared" ref="G90:I90" ca="1" si="44">G87*G89</f>
        <v>0</v>
      </c>
      <c r="H90" s="120">
        <f t="shared" ca="1" si="44"/>
        <v>0.45</v>
      </c>
      <c r="I90" s="120">
        <f t="shared" ca="1" si="44"/>
        <v>0.375</v>
      </c>
      <c r="J90" s="120"/>
      <c r="K90" s="120">
        <f ca="1">K87*K89</f>
        <v>0</v>
      </c>
      <c r="L90" s="120">
        <f ca="1">L87*L89</f>
        <v>0</v>
      </c>
      <c r="M90" s="120"/>
      <c r="N90" s="55"/>
    </row>
    <row r="91" spans="2:16">
      <c r="G91" s="120"/>
      <c r="H91" s="120"/>
      <c r="I91" s="120"/>
      <c r="J91" s="120"/>
      <c r="K91" s="120"/>
      <c r="L91" s="120"/>
      <c r="M91" s="120"/>
      <c r="N91" s="55"/>
    </row>
    <row r="92" spans="2:16">
      <c r="B92" s="112" t="s">
        <v>114</v>
      </c>
      <c r="G92" s="120">
        <f t="shared" ref="G92:L92" ca="1" si="45">+G87-G90</f>
        <v>0</v>
      </c>
      <c r="H92" s="120">
        <f t="shared" ca="1" si="45"/>
        <v>1.35</v>
      </c>
      <c r="I92" s="120">
        <f t="shared" ca="1" si="45"/>
        <v>1.125</v>
      </c>
      <c r="J92" s="120"/>
      <c r="K92" s="120">
        <f t="shared" ca="1" si="45"/>
        <v>18.486000000000001</v>
      </c>
      <c r="L92" s="120">
        <f t="shared" ca="1" si="45"/>
        <v>0</v>
      </c>
      <c r="M92" s="120"/>
      <c r="N92" s="55"/>
    </row>
  </sheetData>
  <customSheetViews>
    <customSheetView guid="{9AE38660-BF5A-49A3-9FC0-AD5890AFC019}" showPageBreaks="1" showGridLines="0" printArea="1" view="pageBreakPreview" showRuler="0" topLeftCell="A13">
      <selection activeCell="I38" sqref="I38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65" orientation="landscape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9"/>
  <sheetViews>
    <sheetView showGridLines="0" zoomScaleNormal="100" zoomScaleSheetLayoutView="115" workbookViewId="0">
      <selection activeCell="B2" sqref="B2"/>
    </sheetView>
  </sheetViews>
  <sheetFormatPr defaultColWidth="10.296875" defaultRowHeight="13"/>
  <cols>
    <col min="1" max="1" width="2.796875" style="4" customWidth="1"/>
    <col min="2" max="7" width="10.296875" style="3" customWidth="1"/>
    <col min="8" max="9" width="15.796875" style="3" customWidth="1"/>
    <col min="10" max="10" width="2.796875" style="3" customWidth="1"/>
    <col min="11" max="12" width="10.296875" style="3" customWidth="1"/>
    <col min="13" max="13" width="2.796875" style="3" customWidth="1"/>
    <col min="14" max="14" width="10.296875" style="4"/>
    <col min="15" max="15" width="11.5" style="3" customWidth="1"/>
    <col min="16" max="16384" width="10.296875" style="4"/>
  </cols>
  <sheetData>
    <row r="1" spans="1:20">
      <c r="A1" s="2"/>
    </row>
    <row r="2" spans="1:20" ht="22.5">
      <c r="B2" s="62" t="str">
        <f ca="1">proj</f>
        <v>Project FIG Model</v>
      </c>
      <c r="C2" s="397"/>
      <c r="D2" s="397"/>
      <c r="E2" s="397"/>
      <c r="F2" s="397"/>
      <c r="G2" s="372"/>
      <c r="H2" s="372"/>
      <c r="I2" s="372"/>
      <c r="J2" s="372"/>
      <c r="K2" s="372"/>
      <c r="L2" s="372"/>
      <c r="M2" s="6"/>
      <c r="N2" s="6"/>
      <c r="O2" s="6"/>
      <c r="P2" s="6"/>
      <c r="Q2" s="6"/>
      <c r="R2" s="6"/>
      <c r="S2" s="6"/>
      <c r="T2" s="6"/>
    </row>
    <row r="3" spans="1:20" s="212" customFormat="1" ht="20.149999999999999" customHeight="1" thickBot="1">
      <c r="B3" s="252" t="str">
        <f ca="1">acq&amp;" - Historical Balance Sheet"</f>
        <v>COLEMAN BANK - Historical Balance Sheet</v>
      </c>
      <c r="C3" s="257"/>
      <c r="D3" s="257"/>
      <c r="E3" s="257"/>
      <c r="F3" s="257"/>
      <c r="G3" s="258"/>
      <c r="H3" s="258"/>
      <c r="I3" s="258"/>
      <c r="J3" s="258"/>
      <c r="K3" s="258"/>
      <c r="L3" s="258"/>
      <c r="M3" s="213"/>
      <c r="N3" s="214"/>
      <c r="O3" s="214"/>
      <c r="P3" s="214"/>
      <c r="Q3" s="214"/>
    </row>
    <row r="4" spans="1:20" s="215" customFormat="1">
      <c r="B4" s="63" t="s">
        <v>113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O4" s="6"/>
    </row>
    <row r="5" spans="1:20" ht="12.75" customHeight="1">
      <c r="H5" s="216" t="str">
        <f ca="1">'Income Statement'!G5</f>
        <v>Fiscal Year Ended December 31,</v>
      </c>
      <c r="I5" s="216"/>
      <c r="J5" s="14"/>
      <c r="K5" s="216" t="s">
        <v>67</v>
      </c>
      <c r="L5" s="216"/>
      <c r="M5" s="14"/>
      <c r="O5" s="195"/>
    </row>
    <row r="6" spans="1:20">
      <c r="G6"/>
      <c r="H6" s="217">
        <f ca="1">'Income Statement'!H6</f>
        <v>2017</v>
      </c>
      <c r="I6" s="217">
        <f ca="1">'Income Statement'!I6</f>
        <v>2018</v>
      </c>
      <c r="J6" s="218"/>
      <c r="K6" s="219">
        <f ca="1">'Income Statement'!K6</f>
        <v>43190</v>
      </c>
      <c r="L6" s="219">
        <f ca="1">'Income Statement'!L6</f>
        <v>43555</v>
      </c>
      <c r="M6" s="14"/>
      <c r="O6" s="220" t="s">
        <v>35</v>
      </c>
    </row>
    <row r="7" spans="1:20" ht="18" customHeight="1">
      <c r="B7" s="221" t="s">
        <v>2</v>
      </c>
      <c r="G7"/>
      <c r="H7" s="223"/>
      <c r="I7" s="224"/>
      <c r="J7" s="6"/>
      <c r="K7" s="225"/>
      <c r="L7" s="226"/>
      <c r="M7" s="6"/>
      <c r="N7" s="227"/>
      <c r="O7" s="6"/>
      <c r="P7" s="6"/>
      <c r="Q7" s="6"/>
    </row>
    <row r="8" spans="1:20">
      <c r="B8" s="3" t="s">
        <v>3</v>
      </c>
      <c r="G8"/>
      <c r="H8" s="140">
        <v>109.613</v>
      </c>
      <c r="I8" s="140">
        <v>120.792</v>
      </c>
      <c r="J8" s="228"/>
      <c r="K8" s="140">
        <v>119.364</v>
      </c>
      <c r="L8" s="140">
        <v>134.23500000000001</v>
      </c>
      <c r="M8" s="229"/>
      <c r="N8" s="230"/>
      <c r="O8" s="113">
        <f ca="1">IF(aquarter&lt;&gt;4,L8,I8)</f>
        <v>134.23500000000001</v>
      </c>
      <c r="P8" s="230"/>
      <c r="Q8" s="230"/>
    </row>
    <row r="9" spans="1:20">
      <c r="B9" s="3" t="s">
        <v>242</v>
      </c>
      <c r="G9"/>
      <c r="H9" s="156">
        <f ca="1">3965.773+81.581+764.062</f>
        <v>4811.4160000000002</v>
      </c>
      <c r="I9" s="156">
        <f ca="1">5579.222+846.81+100.717</f>
        <v>6526.7489999999989</v>
      </c>
      <c r="J9" s="145"/>
      <c r="K9" s="156">
        <f ca="1">5413.78+982.857+86.114</f>
        <v>6482.7509999999993</v>
      </c>
      <c r="L9" s="156">
        <f ca="1">122.558+900.614+5968.83</f>
        <v>6992.0020000000004</v>
      </c>
      <c r="M9" s="231"/>
      <c r="N9" s="181"/>
      <c r="O9" s="120"/>
      <c r="P9" s="181"/>
      <c r="Q9" s="181"/>
    </row>
    <row r="10" spans="1:20">
      <c r="B10" s="3" t="s">
        <v>256</v>
      </c>
      <c r="G10"/>
      <c r="H10" s="156">
        <v>14.254</v>
      </c>
      <c r="I10" s="156">
        <v>19.689</v>
      </c>
      <c r="J10" s="145"/>
      <c r="K10" s="156">
        <v>19.422000000000001</v>
      </c>
      <c r="L10" s="156">
        <v>22.294</v>
      </c>
      <c r="M10" s="231"/>
      <c r="N10" s="181"/>
      <c r="O10" s="120"/>
      <c r="P10" s="181"/>
      <c r="Q10" s="181"/>
    </row>
    <row r="11" spans="1:20">
      <c r="B11" s="3" t="s">
        <v>4</v>
      </c>
      <c r="G11"/>
      <c r="H11" s="156">
        <f ca="1">101.776</f>
        <v>101.776</v>
      </c>
      <c r="I11" s="156">
        <v>111.209</v>
      </c>
      <c r="J11" s="145"/>
      <c r="K11" s="156">
        <v>121.83499999999999</v>
      </c>
      <c r="L11" s="156">
        <v>113.226</v>
      </c>
      <c r="M11" s="231"/>
      <c r="N11" s="181"/>
      <c r="O11" s="55"/>
      <c r="P11" s="181"/>
      <c r="Q11" s="181"/>
    </row>
    <row r="12" spans="1:20">
      <c r="B12" s="3" t="s">
        <v>129</v>
      </c>
      <c r="G12"/>
      <c r="H12" s="156">
        <v>150.501</v>
      </c>
      <c r="I12" s="156">
        <v>338.44200000000001</v>
      </c>
      <c r="J12" s="145"/>
      <c r="K12" s="156">
        <v>337.51900000000001</v>
      </c>
      <c r="L12" s="156">
        <v>375.096</v>
      </c>
      <c r="M12" s="231"/>
      <c r="N12" s="181"/>
      <c r="O12" s="55"/>
      <c r="P12" s="181"/>
      <c r="Q12" s="181"/>
    </row>
    <row r="13" spans="1:20">
      <c r="B13" s="3" t="s">
        <v>140</v>
      </c>
      <c r="G13"/>
      <c r="H13" s="156">
        <f ca="1">8.885</f>
        <v>8.8849999999999998</v>
      </c>
      <c r="I13" s="156">
        <v>16.971</v>
      </c>
      <c r="J13" s="145"/>
      <c r="K13" s="156">
        <v>19.95</v>
      </c>
      <c r="L13" s="156">
        <v>18.629000000000001</v>
      </c>
      <c r="M13" s="231"/>
      <c r="N13" s="181"/>
      <c r="O13" s="55"/>
      <c r="P13" s="181"/>
      <c r="Q13" s="181"/>
    </row>
    <row r="14" spans="1:20">
      <c r="B14" s="3" t="s">
        <v>100</v>
      </c>
      <c r="G14"/>
      <c r="H14" s="232">
        <f ca="1">5416.006-SUM(H8:H13)</f>
        <v>219.56099999999969</v>
      </c>
      <c r="I14" s="232">
        <f ca="1">7516.154-SUM(I8:I13)</f>
        <v>382.3020000000015</v>
      </c>
      <c r="J14" s="145"/>
      <c r="K14" s="232">
        <f ca="1">7494.899-SUM(K8:K13)</f>
        <v>394.05800000000181</v>
      </c>
      <c r="L14" s="232">
        <f ca="1">8092.948-SUM(L8:L13)</f>
        <v>437.46600000000126</v>
      </c>
      <c r="M14" s="231"/>
      <c r="N14" s="181"/>
      <c r="O14" s="55"/>
      <c r="P14" s="231"/>
      <c r="Q14" s="231"/>
    </row>
    <row r="15" spans="1:20" ht="13.5" thickBot="1">
      <c r="B15" s="3" t="s">
        <v>49</v>
      </c>
      <c r="G15"/>
      <c r="H15" s="233">
        <f ca="1">SUM(H8:H14)</f>
        <v>5416.0060000000003</v>
      </c>
      <c r="I15" s="233">
        <f ca="1">SUM(I8:I14)</f>
        <v>7516.1540000000005</v>
      </c>
      <c r="J15" s="108"/>
      <c r="K15" s="233">
        <f t="shared" ref="K15:L15" ca="1" si="0">SUM(K8:K14)</f>
        <v>7494.8990000000003</v>
      </c>
      <c r="L15" s="233">
        <f t="shared" ca="1" si="0"/>
        <v>8092.9480000000003</v>
      </c>
      <c r="M15" s="230"/>
      <c r="N15" s="230"/>
      <c r="O15" s="108"/>
      <c r="P15" s="230"/>
      <c r="Q15" s="230"/>
    </row>
    <row r="16" spans="1:20" ht="13.5" thickTop="1">
      <c r="G16"/>
      <c r="J16" s="4"/>
      <c r="M16" s="4"/>
      <c r="O16" s="4"/>
    </row>
    <row r="17" spans="2:17">
      <c r="B17" s="221" t="s">
        <v>6</v>
      </c>
      <c r="G17"/>
      <c r="J17" s="4"/>
      <c r="M17" s="4"/>
      <c r="O17" s="4"/>
    </row>
    <row r="18" spans="2:17">
      <c r="B18" s="3" t="s">
        <v>173</v>
      </c>
      <c r="G18"/>
      <c r="H18" s="140">
        <v>0</v>
      </c>
      <c r="I18" s="140">
        <v>0</v>
      </c>
      <c r="J18" s="108"/>
      <c r="K18" s="140">
        <v>0</v>
      </c>
      <c r="L18" s="140">
        <v>0</v>
      </c>
      <c r="M18" s="4"/>
      <c r="O18" s="113">
        <f ca="1">IF(aquarter&lt;&gt;4,L18,I18)</f>
        <v>0</v>
      </c>
    </row>
    <row r="19" spans="2:17">
      <c r="B19" s="3" t="s">
        <v>243</v>
      </c>
      <c r="G19"/>
      <c r="H19" s="156">
        <v>4342.7979999999998</v>
      </c>
      <c r="I19" s="156">
        <f ca="1">5814.569</f>
        <v>5814.5690000000004</v>
      </c>
      <c r="J19" s="109"/>
      <c r="K19" s="156">
        <v>5907.3360000000002</v>
      </c>
      <c r="L19" s="156">
        <v>6290.4849999999997</v>
      </c>
      <c r="M19" s="231"/>
      <c r="N19" s="181"/>
      <c r="O19" s="120"/>
      <c r="P19" s="181"/>
      <c r="Q19" s="181"/>
    </row>
    <row r="20" spans="2:17">
      <c r="B20" s="3" t="s">
        <v>37</v>
      </c>
      <c r="G20"/>
      <c r="H20" s="156">
        <f ca="1">56.519+288.691+79.668</f>
        <v>424.87799999999999</v>
      </c>
      <c r="I20" s="156">
        <f ca="1">99.53+61.76+449.383</f>
        <v>610.673</v>
      </c>
      <c r="J20" s="109"/>
      <c r="K20" s="156">
        <f ca="1">99.359+341.646+82.463</f>
        <v>523.46799999999996</v>
      </c>
      <c r="L20" s="156">
        <f ca="1">99.579+418.016+66.174</f>
        <v>583.76900000000001</v>
      </c>
      <c r="M20" s="231"/>
      <c r="N20" s="181"/>
      <c r="O20" s="120">
        <f ca="1">IF(aquarter&lt;&gt;4,L20,I20)</f>
        <v>583.76900000000001</v>
      </c>
      <c r="P20" s="181"/>
      <c r="Q20" s="181"/>
    </row>
    <row r="21" spans="2:17">
      <c r="B21" s="3" t="s">
        <v>101</v>
      </c>
      <c r="G21"/>
      <c r="H21" s="156">
        <f ca="1">35.233+11.156</f>
        <v>46.388999999999996</v>
      </c>
      <c r="I21" s="156">
        <f ca="1">37.488+14.066</f>
        <v>51.554000000000002</v>
      </c>
      <c r="J21" s="109"/>
      <c r="K21" s="156">
        <f ca="1">11.974+44.661</f>
        <v>56.635000000000005</v>
      </c>
      <c r="L21" s="156">
        <f ca="1">15.138+76.393</f>
        <v>91.531000000000006</v>
      </c>
      <c r="M21" s="231"/>
      <c r="N21" s="181"/>
      <c r="O21" s="55"/>
      <c r="P21" s="231"/>
      <c r="Q21" s="231"/>
    </row>
    <row r="22" spans="2:17">
      <c r="B22" s="3" t="s">
        <v>7</v>
      </c>
      <c r="G22"/>
      <c r="H22" s="156">
        <v>0</v>
      </c>
      <c r="I22" s="156">
        <v>0</v>
      </c>
      <c r="J22" s="109"/>
      <c r="K22" s="156">
        <v>0</v>
      </c>
      <c r="L22" s="156">
        <v>0</v>
      </c>
      <c r="M22" s="231"/>
      <c r="N22" s="181"/>
      <c r="O22" s="120">
        <f ca="1">IF(aquarter&lt;&gt;4,L22,I22)</f>
        <v>0</v>
      </c>
      <c r="P22" s="231"/>
      <c r="Q22" s="231"/>
    </row>
    <row r="23" spans="2:17">
      <c r="B23" s="3" t="s">
        <v>8</v>
      </c>
      <c r="G23"/>
      <c r="H23" s="156">
        <v>0</v>
      </c>
      <c r="I23" s="156">
        <v>0</v>
      </c>
      <c r="J23" s="109"/>
      <c r="K23" s="156">
        <v>0</v>
      </c>
      <c r="L23" s="156">
        <v>0</v>
      </c>
      <c r="M23" s="231"/>
      <c r="N23" s="181"/>
      <c r="O23" s="120">
        <f ca="1">IF(aquarter&lt;&gt;4,L23,I23)</f>
        <v>0</v>
      </c>
      <c r="P23" s="231"/>
      <c r="Q23" s="231"/>
    </row>
    <row r="24" spans="2:17">
      <c r="B24" s="3" t="s">
        <v>50</v>
      </c>
      <c r="G24"/>
      <c r="H24" s="232">
        <f ca="1">601.941</f>
        <v>601.94100000000003</v>
      </c>
      <c r="I24" s="232">
        <f ca="1">1039.358</f>
        <v>1039.3579999999999</v>
      </c>
      <c r="J24" s="109"/>
      <c r="K24" s="232">
        <v>1007.46</v>
      </c>
      <c r="L24" s="232">
        <v>1127.163</v>
      </c>
      <c r="M24" s="231"/>
      <c r="N24" s="181"/>
      <c r="O24" s="55">
        <f ca="1">IF(aquarter&lt;&gt;4,L24,I24)</f>
        <v>1127.163</v>
      </c>
      <c r="P24" s="181"/>
      <c r="Q24" s="181"/>
    </row>
    <row r="25" spans="2:17" ht="13.5" thickBot="1">
      <c r="B25" s="3" t="s">
        <v>74</v>
      </c>
      <c r="G25"/>
      <c r="H25" s="233">
        <f ca="1">SUM(H18:H24)</f>
        <v>5416.0059999999994</v>
      </c>
      <c r="I25" s="233">
        <f ca="1">SUM(I18:I24)</f>
        <v>7516.1540000000005</v>
      </c>
      <c r="J25" s="108"/>
      <c r="K25" s="233">
        <f t="shared" ref="K25:L25" ca="1" si="1">SUM(K18:K24)</f>
        <v>7494.8990000000003</v>
      </c>
      <c r="L25" s="233">
        <f t="shared" ca="1" si="1"/>
        <v>8092.9480000000003</v>
      </c>
      <c r="M25" s="230"/>
      <c r="N25" s="230"/>
      <c r="O25" s="120"/>
      <c r="P25" s="230"/>
      <c r="Q25" s="230"/>
    </row>
    <row r="26" spans="2:17" ht="13.5" thickTop="1">
      <c r="G26"/>
      <c r="J26" s="4"/>
      <c r="K26" s="4"/>
      <c r="L26" s="4"/>
      <c r="M26" s="4"/>
      <c r="O26" s="120"/>
    </row>
    <row r="27" spans="2:17">
      <c r="G27"/>
      <c r="H27" s="234"/>
      <c r="I27" s="234"/>
      <c r="J27" s="235"/>
      <c r="K27" s="234"/>
      <c r="L27" s="234"/>
      <c r="M27" s="230"/>
      <c r="N27" s="230"/>
      <c r="O27" s="234"/>
      <c r="P27" s="230"/>
      <c r="Q27" s="230"/>
    </row>
    <row r="28" spans="2:17">
      <c r="B28" s="3" t="s">
        <v>24</v>
      </c>
      <c r="G28"/>
      <c r="H28" s="113">
        <f ca="1">H20+H18</f>
        <v>424.87799999999999</v>
      </c>
      <c r="I28" s="113">
        <f ca="1">I20+I18</f>
        <v>610.673</v>
      </c>
      <c r="J28" s="108"/>
      <c r="K28" s="113">
        <f ca="1">K20+K18</f>
        <v>523.46799999999996</v>
      </c>
      <c r="L28" s="113">
        <f ca="1">L20+L18</f>
        <v>583.76900000000001</v>
      </c>
      <c r="M28" s="230"/>
      <c r="N28" s="230"/>
      <c r="O28" s="113">
        <f ca="1">IF(aquarter&lt;&gt;4,L28,I28)</f>
        <v>583.76900000000001</v>
      </c>
      <c r="P28" s="230"/>
      <c r="Q28" s="230"/>
    </row>
    <row r="29" spans="2:17">
      <c r="B29" s="3" t="s">
        <v>121</v>
      </c>
      <c r="G29"/>
      <c r="H29" s="120">
        <f ca="1">H20+H18-H8</f>
        <v>315.26499999999999</v>
      </c>
      <c r="I29" s="120">
        <f ca="1">I20+I18-I8</f>
        <v>489.88099999999997</v>
      </c>
      <c r="J29" s="55"/>
      <c r="K29" s="120">
        <f ca="1">K20+K18-K8</f>
        <v>404.10399999999993</v>
      </c>
      <c r="L29" s="120">
        <f ca="1">L20+L18-L8</f>
        <v>449.53399999999999</v>
      </c>
      <c r="M29" s="230"/>
      <c r="N29" s="230"/>
      <c r="O29" s="120">
        <f ca="1">IF(aquarter&lt;&gt;4,L29,I29)</f>
        <v>449.53399999999999</v>
      </c>
      <c r="P29" s="230"/>
      <c r="Q29" s="230"/>
    </row>
    <row r="30" spans="2:17">
      <c r="B30" s="4"/>
      <c r="C30" s="4"/>
      <c r="D30" s="4"/>
      <c r="E30" s="4"/>
      <c r="F30" s="4"/>
      <c r="G30" s="449"/>
      <c r="H30" s="230"/>
      <c r="I30" s="230"/>
      <c r="J30" s="230"/>
      <c r="K30" s="230"/>
      <c r="L30" s="230"/>
      <c r="M30" s="230"/>
      <c r="N30" s="230"/>
      <c r="O30" s="234"/>
      <c r="P30" s="230"/>
      <c r="Q30" s="230"/>
    </row>
    <row r="31" spans="2:17">
      <c r="B31" s="190" t="str">
        <f ca="1">'Income Statement'!B52</f>
        <v>Source: Company's 2018 Form 10-K and Form 10-Q for the period ended March 31, 2019.</v>
      </c>
      <c r="C31" s="236"/>
      <c r="D31" s="237"/>
      <c r="E31" s="237"/>
      <c r="F31" s="237"/>
      <c r="G31"/>
      <c r="H31" s="236"/>
      <c r="I31" s="236"/>
      <c r="J31" s="238"/>
      <c r="K31" s="238"/>
      <c r="L31" s="238"/>
      <c r="M31" s="238"/>
      <c r="N31" s="239"/>
      <c r="O31" s="113"/>
      <c r="P31" s="239"/>
      <c r="Q31" s="239"/>
    </row>
    <row r="32" spans="2:17">
      <c r="G32"/>
      <c r="O32" s="120"/>
    </row>
    <row r="33" spans="2:15">
      <c r="B33" s="3" t="s">
        <v>1</v>
      </c>
      <c r="G33"/>
      <c r="H33" s="120">
        <f ca="1">H15-H25</f>
        <v>0</v>
      </c>
      <c r="I33" s="120">
        <f ca="1">I15-I25</f>
        <v>0</v>
      </c>
      <c r="K33" s="120">
        <f ca="1">K15-K25</f>
        <v>0</v>
      </c>
      <c r="L33" s="120">
        <f ca="1">L15-L25</f>
        <v>0</v>
      </c>
      <c r="O33" s="230"/>
    </row>
    <row r="34" spans="2:15">
      <c r="G34"/>
      <c r="O34" s="240"/>
    </row>
    <row r="35" spans="2:15">
      <c r="B35" s="203" t="s">
        <v>174</v>
      </c>
      <c r="G35"/>
    </row>
    <row r="36" spans="2:15">
      <c r="B36" s="115" t="s">
        <v>25</v>
      </c>
      <c r="C36" s="115"/>
      <c r="D36" s="191"/>
      <c r="E36" s="191"/>
      <c r="F36" s="191"/>
      <c r="G36"/>
      <c r="H36" s="200">
        <f ca="1">SUM(H22:H24,H20,H18)</f>
        <v>1026.819</v>
      </c>
      <c r="I36" s="200">
        <f ca="1">SUM(I22:I24,I20,I18)</f>
        <v>1650.0309999999999</v>
      </c>
      <c r="J36" s="115"/>
      <c r="K36" s="200">
        <f ca="1">SUM(K22:K24,K20,K18)</f>
        <v>1530.9279999999999</v>
      </c>
      <c r="L36" s="200">
        <f ca="1">SUM(L22:L24,L20,L18)</f>
        <v>1710.932</v>
      </c>
      <c r="O36" s="120"/>
    </row>
    <row r="37" spans="2:15">
      <c r="B37" s="3" t="s">
        <v>149</v>
      </c>
      <c r="G37"/>
      <c r="H37" s="120">
        <f ca="1">H36-H8</f>
        <v>917.2059999999999</v>
      </c>
      <c r="I37" s="120">
        <f ca="1">I36-I8</f>
        <v>1529.239</v>
      </c>
      <c r="K37" s="120">
        <f ca="1">K36-K8</f>
        <v>1411.5639999999999</v>
      </c>
      <c r="L37" s="120">
        <f ca="1">L36-L8</f>
        <v>1576.6970000000001</v>
      </c>
    </row>
    <row r="38" spans="2:15">
      <c r="G38"/>
      <c r="O38" s="4"/>
    </row>
    <row r="39" spans="2:15">
      <c r="B39" s="4" t="s">
        <v>9</v>
      </c>
      <c r="G39"/>
      <c r="H39" s="155">
        <f ca="1">H28/H36</f>
        <v>0.41378081239244696</v>
      </c>
      <c r="I39" s="155">
        <f ca="1">I28/I36</f>
        <v>0.37009789513045516</v>
      </c>
      <c r="J39" s="103"/>
      <c r="K39" s="155">
        <f ca="1">K28/K36</f>
        <v>0.34192855575180542</v>
      </c>
      <c r="L39" s="155">
        <f ca="1">L28/L36</f>
        <v>0.34119941645839813</v>
      </c>
      <c r="O39" s="103">
        <f ca="1">IF(aquarter&lt;&gt;4,L39,I39)</f>
        <v>0.34119941645839813</v>
      </c>
    </row>
    <row r="40" spans="2:15">
      <c r="B40" s="3" t="s">
        <v>10</v>
      </c>
      <c r="G40"/>
      <c r="H40" s="155">
        <f ca="1">IF(H29&gt;=0,H29/H37,"NM")</f>
        <v>0.34372322030165525</v>
      </c>
      <c r="I40" s="155">
        <f ca="1">IF(I29&gt;=0,I29/I37,"NM")</f>
        <v>0.32034299412975992</v>
      </c>
      <c r="J40" s="241"/>
      <c r="K40" s="155">
        <f ca="1">IF(K29&gt;=0,K29/K37,"NM")</f>
        <v>0.2862810329535182</v>
      </c>
      <c r="L40" s="155">
        <f ca="1">IF(L29&gt;=0,L29/L37,"NM")</f>
        <v>0.28511121667638106</v>
      </c>
      <c r="O40" s="103">
        <f ca="1">IF(aquarter&lt;&gt;4,L40,I40)</f>
        <v>0.28511121667638106</v>
      </c>
    </row>
    <row r="41" spans="2:15">
      <c r="G41"/>
    </row>
    <row r="42" spans="2:15">
      <c r="B42" s="3" t="s">
        <v>171</v>
      </c>
      <c r="G42"/>
      <c r="H42" s="77">
        <f ca="1">+'Income Statement'!H33</f>
        <v>93.03900000000003</v>
      </c>
      <c r="I42" s="77">
        <f ca="1">+'Income Statement'!I33</f>
        <v>131.86000000000001</v>
      </c>
      <c r="J42" s="77"/>
      <c r="K42" s="77">
        <f ca="1">+'Income Statement'!K33</f>
        <v>34.311000000000007</v>
      </c>
      <c r="L42" s="77">
        <f ca="1">+'Income Statement'!L33</f>
        <v>40.300000000000004</v>
      </c>
      <c r="O42" s="55">
        <f ca="1">+'Income Statement'!N28</f>
        <v>154.83500000000001</v>
      </c>
    </row>
    <row r="43" spans="2:15">
      <c r="B43" s="3" t="s">
        <v>55</v>
      </c>
      <c r="G43"/>
      <c r="H43" s="242">
        <f ca="1">+H28/H$42</f>
        <v>4.5666655918485777</v>
      </c>
      <c r="I43" s="242">
        <f ca="1">+I28/I$42</f>
        <v>4.631222508721371</v>
      </c>
      <c r="J43" s="110"/>
      <c r="K43" s="242">
        <f ca="1">+K28/K$42</f>
        <v>15.256564950016026</v>
      </c>
      <c r="L43" s="242">
        <f ca="1">+L28/L$42</f>
        <v>14.485583126550868</v>
      </c>
      <c r="O43" s="242">
        <f ca="1">+O28/O$42</f>
        <v>3.7702651209351887</v>
      </c>
    </row>
    <row r="44" spans="2:15">
      <c r="B44" s="4" t="s">
        <v>112</v>
      </c>
      <c r="C44" s="4"/>
      <c r="D44" s="4"/>
      <c r="E44" s="4"/>
      <c r="F44" s="4"/>
      <c r="G44"/>
      <c r="H44" s="74">
        <f ca="1">IF(H29&gt;=0,H29/H$42,"NM")</f>
        <v>3.3885252421027729</v>
      </c>
      <c r="I44" s="74">
        <f ca="1">IF(I29&gt;=0,I29/I$42,"NM")</f>
        <v>3.715160018201122</v>
      </c>
      <c r="J44" s="243"/>
      <c r="K44" s="74">
        <f ca="1">IF(K29&gt;=0,K29/K$42,"NM")</f>
        <v>11.777680627204099</v>
      </c>
      <c r="L44" s="74">
        <f ca="1">IF(L29&gt;=0,L29/L$42,"NM")</f>
        <v>11.154689826302729</v>
      </c>
      <c r="M44" s="4"/>
      <c r="O44" s="74">
        <f ca="1">IF(O29&gt;=0,O29/O$42,"NM")</f>
        <v>2.9033099751348206</v>
      </c>
    </row>
    <row r="45" spans="2:15">
      <c r="G45"/>
      <c r="O45" s="55"/>
    </row>
    <row r="46" spans="2:15">
      <c r="G46"/>
    </row>
    <row r="47" spans="2:15">
      <c r="G47"/>
    </row>
    <row r="48" spans="2:15">
      <c r="G48"/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T46"/>
  <sheetViews>
    <sheetView showGridLines="0" zoomScaleNormal="100" zoomScaleSheetLayoutView="115" workbookViewId="0"/>
  </sheetViews>
  <sheetFormatPr defaultColWidth="10.296875" defaultRowHeight="13"/>
  <cols>
    <col min="1" max="1" width="2.796875" style="4" customWidth="1"/>
    <col min="2" max="6" width="10.296875" style="3" customWidth="1"/>
    <col min="7" max="7" width="9.69921875" style="3" customWidth="1"/>
    <col min="8" max="9" width="9.5" style="3" customWidth="1"/>
    <col min="10" max="10" width="2.796875" style="3" customWidth="1"/>
    <col min="11" max="12" width="9.5" style="3" customWidth="1"/>
    <col min="13" max="13" width="2.796875" style="3" customWidth="1"/>
    <col min="14" max="14" width="9.5" style="3" customWidth="1"/>
    <col min="15" max="15" width="2.796875" style="4" customWidth="1"/>
    <col min="16" max="16384" width="10.296875" style="4"/>
  </cols>
  <sheetData>
    <row r="1" spans="1:20">
      <c r="A1" s="2"/>
    </row>
    <row r="2" spans="1:20" ht="22.5">
      <c r="B2" s="62" t="str">
        <f ca="1">proj</f>
        <v>Project FIG Model</v>
      </c>
      <c r="C2" s="397"/>
      <c r="D2" s="397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6"/>
      <c r="P2" s="6"/>
      <c r="Q2" s="6"/>
      <c r="R2" s="6"/>
      <c r="S2" s="6"/>
      <c r="T2" s="6"/>
    </row>
    <row r="3" spans="1:20" s="212" customFormat="1" ht="20.149999999999999" customHeight="1">
      <c r="B3" s="252" t="str">
        <f ca="1">acq&amp;" - Cash Flow Statement"</f>
        <v>COLEMAN BANK - Cash Flow Statement</v>
      </c>
      <c r="C3" s="257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14"/>
      <c r="P3" s="214"/>
      <c r="Q3" s="214"/>
    </row>
    <row r="4" spans="1:20" s="215" customFormat="1">
      <c r="B4" s="131" t="str">
        <f ca="1">'Balance Sheet'!B4</f>
        <v>(Amounts in Millions)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20" s="215" customFormat="1">
      <c r="B5" s="389"/>
      <c r="C5" s="7"/>
      <c r="D5" s="7"/>
      <c r="E5" s="7"/>
      <c r="F5" s="7"/>
      <c r="G5" s="209" t="str">
        <f ca="1">+'Balance Sheet'!H5</f>
        <v>Fiscal Year Ended December 31,</v>
      </c>
      <c r="H5" s="209"/>
      <c r="I5" s="209"/>
      <c r="J5" s="14"/>
      <c r="K5" s="209" t="str">
        <f ca="1">'Income Statement'!K5</f>
        <v>Three Months Ended</v>
      </c>
      <c r="L5" s="209"/>
      <c r="M5" s="134"/>
      <c r="N5" s="209" t="str">
        <f ca="1">'Income Statement'!N5</f>
        <v>LTM</v>
      </c>
    </row>
    <row r="6" spans="1:20" ht="12.75" customHeight="1">
      <c r="G6" s="135">
        <f ca="1">'Income Statement'!G6</f>
        <v>2016</v>
      </c>
      <c r="H6" s="135">
        <f ca="1">'Income Statement'!H6</f>
        <v>2017</v>
      </c>
      <c r="I6" s="135">
        <f ca="1">'Income Statement'!I6</f>
        <v>2018</v>
      </c>
      <c r="J6" s="72"/>
      <c r="K6" s="136">
        <f ca="1">'Income Statement'!K6</f>
        <v>43190</v>
      </c>
      <c r="L6" s="136">
        <f ca="1">'Income Statement'!L6</f>
        <v>43555</v>
      </c>
      <c r="M6" s="136"/>
      <c r="N6" s="390">
        <f ca="1">'Income Statement'!N6</f>
        <v>43555</v>
      </c>
    </row>
    <row r="7" spans="1:20" ht="18" customHeight="1">
      <c r="B7" s="159" t="s">
        <v>68</v>
      </c>
      <c r="G7" s="223"/>
      <c r="H7" s="223"/>
      <c r="I7" s="224"/>
      <c r="K7" s="222"/>
      <c r="L7" s="224"/>
    </row>
    <row r="8" spans="1:20" ht="12.75" customHeight="1">
      <c r="B8" s="273" t="s">
        <v>12</v>
      </c>
      <c r="G8" s="75">
        <f ca="1">+'Income Statement'!G18</f>
        <v>23.046000000000014</v>
      </c>
      <c r="H8" s="75">
        <f ca="1">+'Income Statement'!H18</f>
        <v>42.470000000000027</v>
      </c>
      <c r="I8" s="75">
        <f ca="1">+'Income Statement'!I18</f>
        <v>71.932000000000016</v>
      </c>
      <c r="J8" s="75"/>
      <c r="K8" s="75">
        <f ca="1">+'Income Statement'!K18</f>
        <v>5.4270000000000023</v>
      </c>
      <c r="L8" s="75">
        <f ca="1">+'Income Statement'!L18</f>
        <v>21.173000000000002</v>
      </c>
      <c r="M8" s="113"/>
      <c r="N8" s="113">
        <f t="shared" ref="N8:N13" ca="1" si="0">I8-K8+L8</f>
        <v>87.678000000000011</v>
      </c>
    </row>
    <row r="9" spans="1:20" ht="12.75" customHeight="1">
      <c r="B9" s="427" t="s">
        <v>17</v>
      </c>
      <c r="D9" s="65"/>
      <c r="E9" s="65"/>
      <c r="F9" s="65"/>
      <c r="G9" s="145">
        <v>4.7859999999999996</v>
      </c>
      <c r="H9" s="145">
        <v>6.3029999999999999</v>
      </c>
      <c r="I9" s="145">
        <v>8.7059999999999995</v>
      </c>
      <c r="J9" s="120"/>
      <c r="K9" s="145">
        <v>2.2669999999999999</v>
      </c>
      <c r="L9" s="145">
        <v>2.2570000000000001</v>
      </c>
      <c r="M9" s="120"/>
      <c r="N9" s="55">
        <f t="shared" ca="1" si="0"/>
        <v>8.6959999999999997</v>
      </c>
    </row>
    <row r="10" spans="1:20" ht="12.75" customHeight="1">
      <c r="B10" s="273" t="s">
        <v>232</v>
      </c>
      <c r="D10" s="119"/>
      <c r="E10" s="119"/>
      <c r="F10" s="119"/>
      <c r="G10" s="145">
        <f ca="1">0.657+1.505</f>
        <v>2.1619999999999999</v>
      </c>
      <c r="H10" s="145">
        <f ca="1">2.181+0.919</f>
        <v>3.1</v>
      </c>
      <c r="I10" s="145">
        <f ca="1">3.038+1.618</f>
        <v>4.6559999999999997</v>
      </c>
      <c r="J10" s="120"/>
      <c r="K10" s="145">
        <f ca="1">0.483+0.808</f>
        <v>1.2909999999999999</v>
      </c>
      <c r="L10" s="145">
        <f ca="1">0.4+0.912</f>
        <v>1.3120000000000001</v>
      </c>
      <c r="M10" s="120"/>
      <c r="N10" s="55">
        <f t="shared" ca="1" si="0"/>
        <v>4.6769999999999996</v>
      </c>
    </row>
    <row r="11" spans="1:20" ht="12.75" customHeight="1">
      <c r="B11" s="273" t="s">
        <v>245</v>
      </c>
      <c r="D11" s="119"/>
      <c r="E11" s="119"/>
      <c r="F11" s="119"/>
      <c r="G11" s="145">
        <v>2.6230000000000002</v>
      </c>
      <c r="H11" s="145">
        <v>4.4450000000000003</v>
      </c>
      <c r="I11" s="145">
        <v>3.49</v>
      </c>
      <c r="J11" s="120"/>
      <c r="K11" s="145">
        <v>1.371</v>
      </c>
      <c r="L11" s="145">
        <v>0.62</v>
      </c>
      <c r="M11" s="120"/>
      <c r="N11" s="55">
        <f t="shared" ca="1" si="0"/>
        <v>2.7390000000000003</v>
      </c>
    </row>
    <row r="12" spans="1:20" ht="12.75" customHeight="1">
      <c r="B12" s="273" t="s">
        <v>255</v>
      </c>
      <c r="D12" s="119"/>
      <c r="E12" s="119"/>
      <c r="F12" s="119"/>
      <c r="G12" s="145">
        <v>5.798</v>
      </c>
      <c r="H12" s="145">
        <v>35.44</v>
      </c>
      <c r="I12" s="145">
        <v>-4.5679999999999996</v>
      </c>
      <c r="J12" s="120"/>
      <c r="K12" s="145">
        <v>0</v>
      </c>
      <c r="L12" s="145">
        <v>0.44800000000000001</v>
      </c>
      <c r="M12" s="120"/>
      <c r="N12" s="55">
        <f t="shared" ca="1" si="0"/>
        <v>-4.1199999999999992</v>
      </c>
    </row>
    <row r="13" spans="1:20" ht="12.75" customHeight="1">
      <c r="B13" s="273" t="s">
        <v>264</v>
      </c>
      <c r="D13" s="119"/>
      <c r="E13" s="119"/>
      <c r="F13" s="119"/>
      <c r="G13" s="145">
        <v>-0.2</v>
      </c>
      <c r="H13" s="145">
        <v>-2.2650000000000001</v>
      </c>
      <c r="I13" s="145">
        <v>0.186</v>
      </c>
      <c r="J13" s="120"/>
      <c r="K13" s="145">
        <v>0.45300000000000001</v>
      </c>
      <c r="L13" s="145">
        <v>-1.02</v>
      </c>
      <c r="M13" s="120"/>
      <c r="N13" s="55">
        <f t="shared" ca="1" si="0"/>
        <v>-1.2869999999999999</v>
      </c>
    </row>
    <row r="14" spans="1:20" ht="12.75" customHeight="1">
      <c r="B14" s="427" t="s">
        <v>254</v>
      </c>
      <c r="D14" s="65"/>
      <c r="E14" s="65"/>
      <c r="F14" s="65"/>
      <c r="G14" s="232">
        <f ca="1">33.424-SUM(G8:G13)</f>
        <v>-4.791000000000011</v>
      </c>
      <c r="H14" s="232">
        <f ca="1">80.131-SUM(H8:H13)</f>
        <v>-9.3620000000000232</v>
      </c>
      <c r="I14" s="232">
        <f ca="1">92.551-SUM(I8:I13)</f>
        <v>8.1489999999999725</v>
      </c>
      <c r="J14" s="120"/>
      <c r="K14" s="208">
        <f ca="1">7.699-SUM(K8:K13)</f>
        <v>-3.110000000000003</v>
      </c>
      <c r="L14" s="208">
        <f ca="1">38.069-SUM(L8:L13)</f>
        <v>13.278999999999996</v>
      </c>
      <c r="M14" s="120"/>
      <c r="N14" s="208">
        <f ca="1">I14-K14+L14</f>
        <v>24.537999999999972</v>
      </c>
    </row>
    <row r="15" spans="1:20" ht="12.75" customHeight="1">
      <c r="B15" s="65" t="s">
        <v>75</v>
      </c>
      <c r="G15" s="162">
        <f ca="1">SUM(G8:G14)</f>
        <v>33.423999999999999</v>
      </c>
      <c r="H15" s="162">
        <f ca="1">SUM(H8:H14)</f>
        <v>80.131</v>
      </c>
      <c r="I15" s="162">
        <f ca="1">SUM(I8:I14)</f>
        <v>92.551000000000002</v>
      </c>
      <c r="J15" s="113"/>
      <c r="K15" s="162">
        <f ca="1">SUM(K8:K14)</f>
        <v>7.6989999999999998</v>
      </c>
      <c r="L15" s="162">
        <f ca="1">SUM(L8:L14)</f>
        <v>38.069000000000003</v>
      </c>
      <c r="M15" s="113"/>
      <c r="N15" s="162">
        <f ca="1">SUM(N8:N14)</f>
        <v>122.92099999999998</v>
      </c>
    </row>
    <row r="16" spans="1:20" ht="12.75" customHeight="1">
      <c r="G16" s="244"/>
      <c r="H16" s="244"/>
      <c r="I16" s="244"/>
      <c r="K16" s="244"/>
      <c r="L16" s="244"/>
      <c r="N16" s="244"/>
    </row>
    <row r="17" spans="2:14" ht="12.75" customHeight="1">
      <c r="B17" s="159" t="s">
        <v>69</v>
      </c>
      <c r="G17" s="244"/>
      <c r="H17" s="244"/>
      <c r="I17" s="244"/>
      <c r="K17" s="244"/>
      <c r="L17" s="244"/>
      <c r="N17" s="244"/>
    </row>
    <row r="18" spans="2:14" ht="12.75" customHeight="1">
      <c r="B18" s="427" t="s">
        <v>39</v>
      </c>
      <c r="D18" s="65"/>
      <c r="E18" s="65"/>
      <c r="F18" s="65"/>
      <c r="G18" s="228">
        <v>-6.67</v>
      </c>
      <c r="H18" s="228">
        <v>-48.698</v>
      </c>
      <c r="I18" s="228">
        <v>-11.487</v>
      </c>
      <c r="J18" s="113"/>
      <c r="K18" s="228">
        <v>-2.25</v>
      </c>
      <c r="L18" s="228">
        <v>-0.84</v>
      </c>
      <c r="M18" s="113"/>
      <c r="N18" s="113">
        <f ca="1">I18-K18+L18</f>
        <v>-10.077</v>
      </c>
    </row>
    <row r="19" spans="2:14" ht="12.75" customHeight="1">
      <c r="B19" s="427" t="s">
        <v>265</v>
      </c>
      <c r="D19" s="65"/>
      <c r="E19" s="65"/>
      <c r="F19" s="65"/>
      <c r="G19" s="228">
        <f ca="1">106.371-37.561</f>
        <v>68.81</v>
      </c>
      <c r="H19" s="228">
        <f ca="1">+-138.271-37.337</f>
        <v>-175.608</v>
      </c>
      <c r="I19" s="228">
        <f ca="1">103.889-199.58</f>
        <v>-95.691000000000017</v>
      </c>
      <c r="J19" s="113"/>
      <c r="K19" s="228">
        <v>67.88</v>
      </c>
      <c r="L19" s="228">
        <f ca="1">21.335-101.674</f>
        <v>-80.338999999999999</v>
      </c>
      <c r="M19" s="113"/>
      <c r="N19" s="113">
        <f t="shared" ref="N19" ca="1" si="1">I19-K19+L19</f>
        <v>-243.91000000000003</v>
      </c>
    </row>
    <row r="20" spans="2:14" ht="12.75" customHeight="1">
      <c r="B20" s="273" t="s">
        <v>204</v>
      </c>
      <c r="D20" s="119"/>
      <c r="E20" s="119"/>
      <c r="F20" s="119"/>
      <c r="G20" s="232">
        <f ca="1">271.7-G18-G19</f>
        <v>209.56</v>
      </c>
      <c r="H20" s="232">
        <f ca="1">-455.223-H18-H19</f>
        <v>-230.91700000000003</v>
      </c>
      <c r="I20" s="232">
        <f ca="1">48.553-I18-I19</f>
        <v>155.73100000000002</v>
      </c>
      <c r="J20" s="120"/>
      <c r="K20" s="232">
        <f ca="1">84.215-SUM(K18:K19)</f>
        <v>18.585000000000008</v>
      </c>
      <c r="L20" s="232">
        <f ca="1">8.633-SUM(L18:L19)</f>
        <v>89.811999999999998</v>
      </c>
      <c r="M20" s="120"/>
      <c r="N20" s="208">
        <f ca="1">I20-K20+L20</f>
        <v>226.95800000000003</v>
      </c>
    </row>
    <row r="21" spans="2:14" ht="12.75" customHeight="1">
      <c r="B21" s="65" t="s">
        <v>76</v>
      </c>
      <c r="G21" s="162">
        <f ca="1">SUM(G18:G20)</f>
        <v>271.7</v>
      </c>
      <c r="H21" s="162">
        <f ca="1">SUM(H18:H20)</f>
        <v>-455.22300000000007</v>
      </c>
      <c r="I21" s="162">
        <f ca="1">SUM(I18:I20)</f>
        <v>48.553000000000011</v>
      </c>
      <c r="J21" s="113"/>
      <c r="K21" s="162">
        <f ca="1">SUM(K18:K20)</f>
        <v>84.215000000000003</v>
      </c>
      <c r="L21" s="162">
        <f ca="1">SUM(L18:L20)</f>
        <v>8.6329999999999956</v>
      </c>
      <c r="M21" s="113"/>
      <c r="N21" s="162">
        <f ca="1">SUM(N18:N20)</f>
        <v>-27.028999999999996</v>
      </c>
    </row>
    <row r="22" spans="2:14" ht="12.75" customHeight="1">
      <c r="G22" s="244"/>
      <c r="H22" s="244"/>
      <c r="I22" s="244"/>
      <c r="K22" s="244"/>
      <c r="L22" s="244"/>
      <c r="N22" s="244"/>
    </row>
    <row r="23" spans="2:14" ht="12.75" customHeight="1">
      <c r="B23" s="159" t="s">
        <v>70</v>
      </c>
      <c r="G23" s="244"/>
      <c r="H23" s="244"/>
      <c r="I23" s="244"/>
      <c r="K23" s="244"/>
      <c r="L23" s="244"/>
      <c r="N23" s="244"/>
    </row>
    <row r="24" spans="2:14" ht="12.75" customHeight="1">
      <c r="B24" s="1" t="s">
        <v>257</v>
      </c>
      <c r="G24" s="120">
        <v>131.30799999999999</v>
      </c>
      <c r="H24" s="120">
        <v>155.84899999999999</v>
      </c>
      <c r="I24" s="120">
        <v>-143.02500000000001</v>
      </c>
      <c r="K24" s="244">
        <v>-51.139000000000003</v>
      </c>
      <c r="L24" s="201">
        <v>27.088999999999999</v>
      </c>
      <c r="N24" s="244">
        <f t="shared" ref="N24:N31" ca="1" si="2">I24-K24+L24</f>
        <v>-64.796999999999997</v>
      </c>
    </row>
    <row r="25" spans="2:14" ht="12.75" customHeight="1">
      <c r="B25" s="1" t="s">
        <v>258</v>
      </c>
      <c r="G25" s="120">
        <v>-175.137</v>
      </c>
      <c r="H25" s="120">
        <v>39.732999999999997</v>
      </c>
      <c r="I25" s="120">
        <v>126.092</v>
      </c>
      <c r="K25" s="244">
        <v>-27.204999999999998</v>
      </c>
      <c r="L25" s="201">
        <v>-16.585999999999999</v>
      </c>
      <c r="N25" s="244">
        <f t="shared" ca="1" si="2"/>
        <v>136.71100000000001</v>
      </c>
    </row>
    <row r="26" spans="2:14" ht="12.75" customHeight="1">
      <c r="B26" s="1" t="s">
        <v>259</v>
      </c>
      <c r="G26" s="120">
        <v>33.898000000000003</v>
      </c>
      <c r="H26" s="120">
        <v>0</v>
      </c>
      <c r="I26" s="120">
        <v>0</v>
      </c>
      <c r="K26" s="244">
        <v>0</v>
      </c>
      <c r="L26" s="201">
        <v>0</v>
      </c>
      <c r="N26" s="244">
        <f t="shared" ca="1" si="2"/>
        <v>0</v>
      </c>
    </row>
    <row r="27" spans="2:14" ht="12.75" customHeight="1">
      <c r="B27" s="1" t="s">
        <v>260</v>
      </c>
      <c r="G27" s="120">
        <v>3.9889999999999999</v>
      </c>
      <c r="H27" s="120">
        <v>3.3540000000000001</v>
      </c>
      <c r="I27" s="120">
        <v>5.3239999999999998</v>
      </c>
      <c r="K27" s="244">
        <v>3.456</v>
      </c>
      <c r="L27" s="201">
        <v>0.51900000000000002</v>
      </c>
      <c r="N27" s="244">
        <f t="shared" ca="1" si="2"/>
        <v>2.387</v>
      </c>
    </row>
    <row r="28" spans="2:14" ht="12.75" customHeight="1">
      <c r="B28" s="1" t="s">
        <v>261</v>
      </c>
      <c r="G28" s="120">
        <v>-1.8779999999999999</v>
      </c>
      <c r="H28" s="120">
        <v>0</v>
      </c>
      <c r="I28" s="120">
        <v>-10.837</v>
      </c>
      <c r="K28" s="244">
        <v>0</v>
      </c>
      <c r="L28" s="201">
        <f ca="1">+-3.805</f>
        <v>-3.8050000000000002</v>
      </c>
      <c r="N28" s="244">
        <f t="shared" ca="1" si="2"/>
        <v>-14.641999999999999</v>
      </c>
    </row>
    <row r="29" spans="2:14" ht="12.75" customHeight="1">
      <c r="B29" s="1" t="s">
        <v>262</v>
      </c>
      <c r="G29" s="120">
        <v>0</v>
      </c>
      <c r="H29" s="120">
        <v>0</v>
      </c>
      <c r="I29" s="120">
        <v>-8.4</v>
      </c>
      <c r="K29" s="244">
        <v>0</v>
      </c>
      <c r="L29" s="201">
        <v>0</v>
      </c>
      <c r="N29" s="244">
        <f t="shared" ca="1" si="2"/>
        <v>-8.4</v>
      </c>
    </row>
    <row r="30" spans="2:14" ht="12.75" customHeight="1">
      <c r="B30" s="1" t="s">
        <v>263</v>
      </c>
      <c r="G30" s="120">
        <v>-12.616</v>
      </c>
      <c r="H30" s="120">
        <v>-19.286000000000001</v>
      </c>
      <c r="I30" s="120">
        <f ca="1">+-29.564</f>
        <v>-29.564</v>
      </c>
      <c r="K30" s="244">
        <f ca="1">+-7.105</f>
        <v>-7.1050000000000004</v>
      </c>
      <c r="L30" s="201">
        <v>-8.6440000000000001</v>
      </c>
      <c r="N30" s="244">
        <f t="shared" ca="1" si="2"/>
        <v>-31.103000000000002</v>
      </c>
    </row>
    <row r="31" spans="2:14" ht="12.75" customHeight="1">
      <c r="B31" s="1" t="s">
        <v>266</v>
      </c>
      <c r="G31" s="120">
        <f ca="1">+-47.697-SUM(G24:G30)</f>
        <v>-27.260999999999999</v>
      </c>
      <c r="H31" s="120">
        <f ca="1">183.332-SUM(H24:H30)</f>
        <v>3.6819999999999879</v>
      </c>
      <c r="I31" s="120">
        <f ca="1">+-128.389-SUM(I24:I30)-1.536</f>
        <v>-69.515000000000015</v>
      </c>
      <c r="K31" s="244">
        <f ca="1">-82.163-SUM(K24:K30)</f>
        <v>-0.17000000000000171</v>
      </c>
      <c r="L31" s="244">
        <f ca="1">+-13.486-SUM(L24:L30)-2.576-18.733+1.536</f>
        <v>-31.832000000000001</v>
      </c>
      <c r="N31" s="429">
        <f t="shared" ca="1" si="2"/>
        <v>-101.17700000000002</v>
      </c>
    </row>
    <row r="32" spans="2:14" ht="12.75" customHeight="1">
      <c r="B32" s="65" t="s">
        <v>77</v>
      </c>
      <c r="G32" s="141">
        <f ca="1">+SUM(G24:G31)</f>
        <v>-47.697000000000003</v>
      </c>
      <c r="H32" s="426">
        <f t="shared" ref="H32:I32" ca="1" si="3">+SUM(H24:H31)</f>
        <v>183.33199999999999</v>
      </c>
      <c r="I32" s="142">
        <f t="shared" ca="1" si="3"/>
        <v>-129.92500000000001</v>
      </c>
      <c r="J32" s="113"/>
      <c r="K32" s="142">
        <f t="shared" ref="K32" ca="1" si="4">+SUM(K24:K31)</f>
        <v>-82.162999999999997</v>
      </c>
      <c r="L32" s="142">
        <f t="shared" ref="L32:N32" ca="1" si="5">+SUM(L24:L31)</f>
        <v>-33.259</v>
      </c>
      <c r="M32" s="113"/>
      <c r="N32" s="142">
        <f t="shared" ca="1" si="5"/>
        <v>-81.021000000000001</v>
      </c>
    </row>
    <row r="33" spans="2:14" ht="12.75" customHeight="1">
      <c r="G33" s="244"/>
      <c r="H33" s="244"/>
      <c r="I33" s="244"/>
      <c r="K33" s="244"/>
      <c r="L33" s="244"/>
      <c r="N33" s="244"/>
    </row>
    <row r="34" spans="2:14" ht="12.75" customHeight="1">
      <c r="B34" s="3" t="s">
        <v>157</v>
      </c>
      <c r="G34" s="140">
        <v>0</v>
      </c>
      <c r="H34" s="140">
        <v>0</v>
      </c>
      <c r="I34" s="140">
        <v>0</v>
      </c>
      <c r="J34" s="113"/>
      <c r="K34" s="140">
        <v>0</v>
      </c>
      <c r="L34" s="140">
        <v>0</v>
      </c>
      <c r="M34" s="113"/>
      <c r="N34" s="113">
        <f ca="1">I34-K34+L34</f>
        <v>0</v>
      </c>
    </row>
    <row r="35" spans="2:14" ht="12.75" customHeight="1">
      <c r="G35" s="113"/>
      <c r="H35" s="113"/>
      <c r="I35" s="113"/>
      <c r="J35" s="113"/>
      <c r="K35" s="113"/>
      <c r="L35" s="113"/>
      <c r="M35" s="113"/>
      <c r="N35" s="113"/>
    </row>
    <row r="36" spans="2:14" ht="12.75" customHeight="1">
      <c r="B36" s="65" t="s">
        <v>78</v>
      </c>
      <c r="G36" s="162">
        <f ca="1">G15+G21+G32+G34</f>
        <v>257.42699999999996</v>
      </c>
      <c r="H36" s="162">
        <f ca="1">H15+H21+H32+H34</f>
        <v>-191.7600000000001</v>
      </c>
      <c r="I36" s="162">
        <f ca="1">I15+I21+I32+I34</f>
        <v>11.179000000000002</v>
      </c>
      <c r="J36" s="113"/>
      <c r="K36" s="162">
        <f ca="1">K15+K21+K32+K34</f>
        <v>9.7510000000000048</v>
      </c>
      <c r="L36" s="162">
        <f ca="1">L15+L21+L32+L34</f>
        <v>13.442999999999998</v>
      </c>
      <c r="M36" s="113"/>
      <c r="N36" s="162">
        <f ca="1">N15+N21+N32+N34</f>
        <v>14.870999999999981</v>
      </c>
    </row>
    <row r="37" spans="2:14" ht="12.75" customHeight="1">
      <c r="B37" s="65"/>
      <c r="G37" s="162"/>
      <c r="H37" s="162"/>
      <c r="I37" s="162"/>
      <c r="J37" s="113"/>
      <c r="K37" s="162"/>
      <c r="L37" s="162"/>
      <c r="M37" s="113"/>
      <c r="N37" s="162"/>
    </row>
    <row r="38" spans="2:14" ht="12.75" customHeight="1">
      <c r="B38" s="3" t="s">
        <v>79</v>
      </c>
      <c r="G38" s="391">
        <v>43.945999999999998</v>
      </c>
      <c r="H38" s="392">
        <f ca="1">G39</f>
        <v>301.37299999999993</v>
      </c>
      <c r="I38" s="392">
        <f ca="1">H39</f>
        <v>109.61299999999983</v>
      </c>
      <c r="J38" s="113"/>
      <c r="K38" s="392">
        <f ca="1">+H39</f>
        <v>109.61299999999983</v>
      </c>
      <c r="L38" s="392">
        <f ca="1">+I39</f>
        <v>120.79199999999983</v>
      </c>
      <c r="M38" s="113"/>
      <c r="N38" s="392">
        <f ca="1">+K39</f>
        <v>119.36399999999983</v>
      </c>
    </row>
    <row r="39" spans="2:14" ht="12.75" customHeight="1" thickBot="1">
      <c r="B39" s="3" t="s">
        <v>80</v>
      </c>
      <c r="G39" s="393">
        <f ca="1">G36+G38</f>
        <v>301.37299999999993</v>
      </c>
      <c r="H39" s="393">
        <f ca="1">H36+H38</f>
        <v>109.61299999999983</v>
      </c>
      <c r="I39" s="393">
        <f ca="1">I36+I38</f>
        <v>120.79199999999983</v>
      </c>
      <c r="J39" s="113"/>
      <c r="K39" s="393">
        <f ca="1">K36+K38</f>
        <v>119.36399999999983</v>
      </c>
      <c r="L39" s="393">
        <f ca="1">L36+L38</f>
        <v>134.23499999999984</v>
      </c>
      <c r="M39" s="113"/>
      <c r="N39" s="393">
        <f ca="1">N36+N38</f>
        <v>134.23499999999981</v>
      </c>
    </row>
    <row r="40" spans="2:14" ht="12.75" customHeight="1" thickTop="1"/>
    <row r="41" spans="2:14" ht="12.75" customHeight="1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2:14" ht="12.75" customHeight="1">
      <c r="B42" s="190" t="str">
        <f ca="1">"Source: Company's "&amp;YEAR(afye)&amp;" Form 10-K."</f>
        <v>Source: Company's 2018 Form 10-K.</v>
      </c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</row>
    <row r="43" spans="2:14" ht="12.75" customHeight="1"/>
    <row r="44" spans="2:14" ht="12.75" customHeight="1">
      <c r="B44" s="3" t="s">
        <v>148</v>
      </c>
      <c r="G44" s="75"/>
      <c r="H44" s="75">
        <f ca="1">'Balance Sheet'!H8</f>
        <v>109.613</v>
      </c>
      <c r="I44" s="75">
        <f ca="1">'Balance Sheet'!I8</f>
        <v>120.792</v>
      </c>
      <c r="J44" s="72"/>
      <c r="K44" s="75">
        <f ca="1">'Balance Sheet'!K8</f>
        <v>119.364</v>
      </c>
      <c r="L44" s="75">
        <f ca="1">'Balance Sheet'!L8</f>
        <v>134.23500000000001</v>
      </c>
      <c r="M44" s="72"/>
      <c r="N44" s="113">
        <f ca="1">+L44</f>
        <v>134.23500000000001</v>
      </c>
    </row>
    <row r="45" spans="2:14" s="207" customFormat="1" ht="12.75" customHeight="1">
      <c r="B45" s="313" t="s">
        <v>115</v>
      </c>
      <c r="C45" s="203"/>
      <c r="D45" s="203"/>
      <c r="E45" s="203"/>
      <c r="F45" s="203"/>
      <c r="G45" s="394"/>
      <c r="H45" s="394">
        <f ca="1">H39-H44</f>
        <v>-1.7053025658242404E-13</v>
      </c>
      <c r="I45" s="394">
        <f ca="1">I39-I44</f>
        <v>-1.7053025658242404E-13</v>
      </c>
      <c r="J45" s="203"/>
      <c r="K45" s="394">
        <f ca="1">K39-K44</f>
        <v>-1.7053025658242404E-13</v>
      </c>
      <c r="L45" s="394">
        <f ca="1">L39-L44</f>
        <v>0</v>
      </c>
      <c r="M45" s="203"/>
      <c r="N45" s="394">
        <f ca="1">N39-N44</f>
        <v>0</v>
      </c>
    </row>
    <row r="46" spans="2:14" ht="12.75" customHeight="1">
      <c r="H46" s="395"/>
      <c r="N46" s="396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Z249"/>
  <sheetViews>
    <sheetView showGridLines="0" zoomScale="115" zoomScaleNormal="115" zoomScaleSheetLayoutView="70" workbookViewId="0">
      <selection activeCell="K230" sqref="K230"/>
    </sheetView>
  </sheetViews>
  <sheetFormatPr defaultColWidth="11.296875" defaultRowHeight="13"/>
  <cols>
    <col min="1" max="1" width="2.796875" style="4" customWidth="1"/>
    <col min="2" max="17" width="11.296875" style="3" customWidth="1"/>
    <col min="18" max="18" width="11.296875" style="4"/>
    <col min="19" max="19" width="15.5" style="4" bestFit="1" customWidth="1"/>
    <col min="20" max="16384" width="11.296875" style="4"/>
  </cols>
  <sheetData>
    <row r="1" spans="1:20">
      <c r="A1" s="267"/>
    </row>
    <row r="2" spans="1:20" ht="22.5">
      <c r="B2" s="62" t="str">
        <f ca="1">proj</f>
        <v>Project FIG Model</v>
      </c>
      <c r="C2" s="260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271" t="str">
        <f ca="1">IFERROR(IF(MAX(L111:Q111)&lt;F132,"","ERROR! REVOLVER BALANCE OVERDRAWN"),"")</f>
        <v/>
      </c>
      <c r="R2" s="6"/>
      <c r="S2" s="6"/>
      <c r="T2" s="6"/>
    </row>
    <row r="3" spans="1:20" s="212" customFormat="1" ht="20.149999999999999" customHeight="1">
      <c r="B3" s="252" t="str">
        <f ca="1">acq&amp;" - Projections"</f>
        <v>COLEMAN BANK - Projections</v>
      </c>
      <c r="C3" s="252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9"/>
      <c r="Q3" s="259" t="str">
        <f ca="1">acname</f>
        <v>Wall street consensus</v>
      </c>
    </row>
    <row r="4" spans="1:20">
      <c r="B4" s="131" t="str">
        <f ca="1">'Spread Cover'!B4</f>
        <v>(Amounts in Millions, Except Per Share Data)</v>
      </c>
      <c r="C4" s="63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09"/>
      <c r="Q4" s="309" t="str">
        <f ca="1">"Source: "&amp;CHOOSE(acase,E220,E221,E222,E223,E224)</f>
        <v>Source: Research Provider</v>
      </c>
    </row>
    <row r="5" spans="1:20">
      <c r="B5" s="63"/>
      <c r="C5" s="63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4"/>
      <c r="Q5" s="4"/>
    </row>
    <row r="6" spans="1:20" ht="16" customHeight="1" thickBot="1">
      <c r="B6" s="277" t="s">
        <v>40</v>
      </c>
      <c r="C6" s="277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  <c r="P6" s="279"/>
      <c r="Q6" s="279"/>
    </row>
    <row r="7" spans="1:20" ht="15" customHeight="1">
      <c r="B7" s="268" t="str">
        <f ca="1">+'Income Statement'!G5</f>
        <v>Fiscal Year Ended December 31,</v>
      </c>
      <c r="C7" s="268"/>
      <c r="D7" s="268"/>
      <c r="E7" s="268"/>
      <c r="F7" s="268"/>
      <c r="G7" s="268"/>
      <c r="H7" s="268"/>
      <c r="I7" s="297">
        <f ca="1">J7-1</f>
        <v>2016</v>
      </c>
      <c r="J7" s="297">
        <f ca="1">K7-1</f>
        <v>2017</v>
      </c>
      <c r="K7" s="331">
        <f ca="1">afy</f>
        <v>2018</v>
      </c>
      <c r="L7" s="332">
        <f ca="1">K7+1</f>
        <v>2019</v>
      </c>
      <c r="M7" s="298">
        <f ca="1">K7+2</f>
        <v>2020</v>
      </c>
      <c r="N7" s="298">
        <f ca="1">M7+1</f>
        <v>2021</v>
      </c>
      <c r="O7" s="298">
        <f ca="1">N7+1</f>
        <v>2022</v>
      </c>
      <c r="P7" s="298">
        <f ca="1">O7+1</f>
        <v>2023</v>
      </c>
      <c r="Q7" s="298">
        <f ca="1">P7+1</f>
        <v>2024</v>
      </c>
    </row>
    <row r="8" spans="1:20" ht="15" customHeight="1">
      <c r="B8" s="4" t="str">
        <f ca="1">+'Income Statement'!B7</f>
        <v>Interest Income</v>
      </c>
      <c r="C8" s="4"/>
      <c r="D8" s="4"/>
      <c r="E8" s="4"/>
      <c r="F8" s="4"/>
      <c r="G8" s="4"/>
      <c r="H8" s="4"/>
      <c r="I8" s="108">
        <f ca="1">+I10+I9</f>
        <v>133.42500000000001</v>
      </c>
      <c r="J8" s="108">
        <f t="shared" ref="J8:K8" ca="1" si="0">+J10+J9</f>
        <v>188.82900000000004</v>
      </c>
      <c r="K8" s="108">
        <f t="shared" ca="1" si="0"/>
        <v>276.654</v>
      </c>
      <c r="L8" s="108">
        <f t="shared" ref="L8:Q8" ca="1" si="1">K8*(1+L219)</f>
        <v>309.2</v>
      </c>
      <c r="M8" s="108">
        <f t="shared" ca="1" si="1"/>
        <v>323.5</v>
      </c>
      <c r="N8" s="108">
        <f t="shared" ca="1" si="1"/>
        <v>355.85</v>
      </c>
      <c r="O8" s="108">
        <f t="shared" ca="1" si="1"/>
        <v>391.43500000000006</v>
      </c>
      <c r="P8" s="108">
        <f t="shared" ca="1" si="1"/>
        <v>430.57850000000008</v>
      </c>
      <c r="Q8" s="108">
        <f t="shared" ca="1" si="1"/>
        <v>473.63635000000011</v>
      </c>
    </row>
    <row r="9" spans="1:20" ht="12.75" customHeight="1">
      <c r="B9" s="3" t="str">
        <f ca="1">+'Income Statement'!B8</f>
        <v>Interest Expense</v>
      </c>
      <c r="I9" s="105">
        <f ca="1">'Income Statement'!G8-'Income Statement'!G65</f>
        <v>13.163</v>
      </c>
      <c r="J9" s="105">
        <f ca="1">'Income Statement'!H8-'Income Statement'!H65</f>
        <v>18.311</v>
      </c>
      <c r="K9" s="105">
        <f ca="1">'Income Statement'!I8-'Income Statement'!I65</f>
        <v>35.652000000000001</v>
      </c>
      <c r="L9" s="208">
        <f ca="1">+L139</f>
        <v>40.96882478339429</v>
      </c>
      <c r="M9" s="208">
        <f t="shared" ref="M9:Q9" ca="1" si="2">+M139</f>
        <v>42.461673058448078</v>
      </c>
      <c r="N9" s="208">
        <f t="shared" ca="1" si="2"/>
        <v>43.686680976822025</v>
      </c>
      <c r="O9" s="208">
        <f t="shared" ca="1" si="2"/>
        <v>45.910207741331597</v>
      </c>
      <c r="P9" s="208">
        <f t="shared" ca="1" si="2"/>
        <v>48.270028631163882</v>
      </c>
      <c r="Q9" s="208">
        <f t="shared" ca="1" si="2"/>
        <v>50.776180090745612</v>
      </c>
    </row>
    <row r="10" spans="1:20" ht="12.75" customHeight="1">
      <c r="B10" s="3" t="str">
        <f ca="1">+'Income Statement'!B9</f>
        <v>Net Interest Income</v>
      </c>
      <c r="I10" s="436">
        <f ca="1">+'Income Statement'!G31</f>
        <v>120.26200000000001</v>
      </c>
      <c r="J10" s="437">
        <f ca="1">+'Income Statement'!H31</f>
        <v>170.51800000000003</v>
      </c>
      <c r="K10" s="437">
        <f ca="1">+'Income Statement'!I31</f>
        <v>241.00200000000001</v>
      </c>
      <c r="L10" s="324">
        <f ca="1">L8-L9</f>
        <v>268.23117521660572</v>
      </c>
      <c r="M10" s="324">
        <f t="shared" ref="M10:Q10" ca="1" si="3">M8-M9</f>
        <v>281.03832694155193</v>
      </c>
      <c r="N10" s="324">
        <f t="shared" ca="1" si="3"/>
        <v>312.16331902317802</v>
      </c>
      <c r="O10" s="324">
        <f t="shared" ca="1" si="3"/>
        <v>345.52479225866847</v>
      </c>
      <c r="P10" s="324">
        <f t="shared" ca="1" si="3"/>
        <v>382.30847136883619</v>
      </c>
      <c r="Q10" s="324">
        <f t="shared" ca="1" si="3"/>
        <v>422.86016990925452</v>
      </c>
    </row>
    <row r="11" spans="1:20" ht="12.75" customHeight="1">
      <c r="B11" s="3" t="str">
        <f ca="1">+'Income Statement'!B10</f>
        <v>Provision for Loan Losses</v>
      </c>
      <c r="I11" s="102">
        <f ca="1">'Income Statement'!G10</f>
        <v>-2.6230000000000002</v>
      </c>
      <c r="J11" s="102">
        <f ca="1">'Income Statement'!H10</f>
        <v>-4.4450000000000003</v>
      </c>
      <c r="K11" s="102">
        <f ca="1">'Income Statement'!I10</f>
        <v>-3.49</v>
      </c>
      <c r="L11" s="55">
        <f t="shared" ref="L11:Q11" ca="1" si="4">+-L8*L227</f>
        <v>-3.9005689417105844</v>
      </c>
      <c r="M11" s="55">
        <f t="shared" ca="1" si="4"/>
        <v>-4.080963947747005</v>
      </c>
      <c r="N11" s="55">
        <f t="shared" ca="1" si="4"/>
        <v>-4.4890603425217064</v>
      </c>
      <c r="O11" s="55">
        <f t="shared" ca="1" si="4"/>
        <v>-4.9379663767738773</v>
      </c>
      <c r="P11" s="55">
        <f t="shared" ca="1" si="4"/>
        <v>-5.4317630144512652</v>
      </c>
      <c r="Q11" s="55">
        <f t="shared" ca="1" si="4"/>
        <v>-5.9749393158963917</v>
      </c>
    </row>
    <row r="12" spans="1:20" ht="12.75" customHeight="1">
      <c r="B12" s="3" t="str">
        <f ca="1">+'Income Statement'!B11</f>
        <v>Net Interest Income after Provision for Loan Losses</v>
      </c>
      <c r="I12" s="423">
        <f ca="1">+SUM(I10:I11)</f>
        <v>117.63900000000001</v>
      </c>
      <c r="J12" s="424">
        <f t="shared" ref="J12:K12" ca="1" si="5">+SUM(J10:J11)</f>
        <v>166.07300000000004</v>
      </c>
      <c r="K12" s="425">
        <f t="shared" ca="1" si="5"/>
        <v>237.512</v>
      </c>
      <c r="L12" s="425">
        <f t="shared" ref="L12" ca="1" si="6">+SUM(L10:L11)</f>
        <v>264.33060627489516</v>
      </c>
      <c r="M12" s="425">
        <f t="shared" ref="M12" ca="1" si="7">+SUM(M10:M11)</f>
        <v>276.95736299380491</v>
      </c>
      <c r="N12" s="425">
        <f t="shared" ref="N12" ca="1" si="8">+SUM(N10:N11)</f>
        <v>307.67425868065629</v>
      </c>
      <c r="O12" s="425">
        <f t="shared" ref="O12" ca="1" si="9">+SUM(O10:O11)</f>
        <v>340.58682588189458</v>
      </c>
      <c r="P12" s="425">
        <f t="shared" ref="P12" ca="1" si="10">+SUM(P10:P11)</f>
        <v>376.8767083543849</v>
      </c>
      <c r="Q12" s="425">
        <f t="shared" ref="Q12" ca="1" si="11">+SUM(Q10:Q11)</f>
        <v>416.88523059335813</v>
      </c>
    </row>
    <row r="13" spans="1:20" ht="12.75" customHeight="1">
      <c r="B13" s="3" t="str">
        <f ca="1">+'Income Statement'!B12</f>
        <v>Other Income</v>
      </c>
      <c r="I13" s="434">
        <f ca="1">+'Income Statement'!G12</f>
        <v>20.411999999999999</v>
      </c>
      <c r="J13" s="434">
        <f ca="1">+'Income Statement'!H12</f>
        <v>27.071999999999999</v>
      </c>
      <c r="K13" s="434">
        <f ca="1">+'Income Statement'!I12</f>
        <v>34.826999999999998</v>
      </c>
      <c r="L13" s="430">
        <f ca="1">+K13*(1+L44)</f>
        <v>45.275100000000002</v>
      </c>
      <c r="M13" s="430">
        <f t="shared" ref="M13:Q13" ca="1" si="12">+L13*(1+M44)</f>
        <v>58.857630000000007</v>
      </c>
      <c r="N13" s="430">
        <f t="shared" ca="1" si="12"/>
        <v>64.743393000000012</v>
      </c>
      <c r="O13" s="430">
        <f t="shared" ca="1" si="12"/>
        <v>71.217732300000023</v>
      </c>
      <c r="P13" s="430">
        <f t="shared" ca="1" si="12"/>
        <v>78.339505530000025</v>
      </c>
      <c r="Q13" s="430">
        <f t="shared" ca="1" si="12"/>
        <v>86.173456083000033</v>
      </c>
    </row>
    <row r="14" spans="1:20" ht="12.75" customHeight="1">
      <c r="B14" s="4" t="str">
        <f ca="1">+'Income Statement'!B13</f>
        <v>Operating Expenses</v>
      </c>
      <c r="C14" s="4"/>
      <c r="D14" s="4"/>
      <c r="E14" s="4"/>
      <c r="F14" s="4"/>
      <c r="G14" s="4"/>
      <c r="H14" s="4"/>
      <c r="I14" s="102">
        <f ca="1">+'Income Statement'!G32</f>
        <v>-102.852</v>
      </c>
      <c r="J14" s="102">
        <f ca="1">+'Income Statement'!H32</f>
        <v>-126.02</v>
      </c>
      <c r="K14" s="102">
        <f ca="1">+'Income Statement'!I32</f>
        <v>-185.33699999999999</v>
      </c>
      <c r="L14" s="55">
        <f t="shared" ref="L14:Q14" ca="1" si="13">+-L8*L233</f>
        <v>-161.7116</v>
      </c>
      <c r="M14" s="55">
        <f t="shared" ca="1" si="13"/>
        <v>-180.83650000000003</v>
      </c>
      <c r="N14" s="55">
        <f t="shared" ca="1" si="13"/>
        <v>-197.14090000000002</v>
      </c>
      <c r="O14" s="55">
        <f t="shared" ca="1" si="13"/>
        <v>-214.89781500000004</v>
      </c>
      <c r="P14" s="55">
        <f t="shared" ca="1" si="13"/>
        <v>-234.23470400000005</v>
      </c>
      <c r="Q14" s="55">
        <f t="shared" ca="1" si="13"/>
        <v>-255.28999265000007</v>
      </c>
    </row>
    <row r="15" spans="1:20" ht="12.75" customHeight="1">
      <c r="B15" s="3" t="str">
        <f ca="1">+'Income Statement'!B14</f>
        <v>Operating Income</v>
      </c>
      <c r="I15" s="423">
        <f ca="1">+SUM(I12:I14)</f>
        <v>35.199000000000012</v>
      </c>
      <c r="J15" s="424">
        <f t="shared" ref="J15:K15" ca="1" si="14">+SUM(J12:J14)</f>
        <v>67.125000000000043</v>
      </c>
      <c r="K15" s="425">
        <f t="shared" ca="1" si="14"/>
        <v>87.00200000000001</v>
      </c>
      <c r="L15" s="425">
        <f t="shared" ref="L15" ca="1" si="15">+SUM(L12:L14)</f>
        <v>147.89410627489517</v>
      </c>
      <c r="M15" s="425">
        <f t="shared" ref="M15" ca="1" si="16">+SUM(M12:M14)</f>
        <v>154.97849299380491</v>
      </c>
      <c r="N15" s="425">
        <f t="shared" ref="N15" ca="1" si="17">+SUM(N12:N14)</f>
        <v>175.2767516806563</v>
      </c>
      <c r="O15" s="425">
        <f t="shared" ref="O15" ca="1" si="18">+SUM(O12:O14)</f>
        <v>196.90674318189457</v>
      </c>
      <c r="P15" s="425">
        <f t="shared" ref="P15" ca="1" si="19">+SUM(P12:P14)</f>
        <v>220.98150988438491</v>
      </c>
      <c r="Q15" s="425">
        <f t="shared" ref="Q15" ca="1" si="20">+SUM(Q12:Q14)</f>
        <v>247.76869402635808</v>
      </c>
      <c r="R15" s="55"/>
      <c r="S15" s="55"/>
      <c r="T15" s="55"/>
    </row>
    <row r="16" spans="1:20" ht="12.75" customHeight="1">
      <c r="B16" s="3" t="str">
        <f ca="1">+'Income Statement'!B15</f>
        <v>Other Expense, Net</v>
      </c>
      <c r="I16" s="434">
        <f ca="1">'Income Statement'!G15</f>
        <v>0</v>
      </c>
      <c r="J16" s="435">
        <f ca="1">'Income Statement'!H15</f>
        <v>0</v>
      </c>
      <c r="K16" s="435">
        <f ca="1">'Income Statement'!I15</f>
        <v>0</v>
      </c>
      <c r="L16" s="431">
        <v>0</v>
      </c>
      <c r="M16" s="431">
        <v>0</v>
      </c>
      <c r="N16" s="431">
        <v>0</v>
      </c>
      <c r="O16" s="431">
        <v>0</v>
      </c>
      <c r="P16" s="431">
        <v>0</v>
      </c>
      <c r="Q16" s="431">
        <v>0</v>
      </c>
      <c r="R16" s="373"/>
      <c r="S16" s="373"/>
      <c r="T16" s="373"/>
    </row>
    <row r="17" spans="2:17" ht="12.75" customHeight="1">
      <c r="B17" s="3" t="str">
        <f ca="1">+'Income Statement'!B16</f>
        <v>Pre-Tax Income</v>
      </c>
      <c r="D17" s="312"/>
      <c r="F17" s="4"/>
      <c r="I17" s="423">
        <f ca="1">+SUM(I15:I16)</f>
        <v>35.199000000000012</v>
      </c>
      <c r="J17" s="424">
        <f t="shared" ref="J17:K17" ca="1" si="21">+SUM(J15:J16)</f>
        <v>67.125000000000043</v>
      </c>
      <c r="K17" s="424">
        <f t="shared" ca="1" si="21"/>
        <v>87.00200000000001</v>
      </c>
      <c r="L17" s="424">
        <f t="shared" ref="L17" ca="1" si="22">+SUM(L15:L16)</f>
        <v>147.89410627489517</v>
      </c>
      <c r="M17" s="424">
        <f t="shared" ref="M17" ca="1" si="23">+SUM(M15:M16)</f>
        <v>154.97849299380491</v>
      </c>
      <c r="N17" s="424">
        <f t="shared" ref="N17" ca="1" si="24">+SUM(N15:N16)</f>
        <v>175.2767516806563</v>
      </c>
      <c r="O17" s="424">
        <f t="shared" ref="O17" ca="1" si="25">+SUM(O15:O16)</f>
        <v>196.90674318189457</v>
      </c>
      <c r="P17" s="424">
        <f t="shared" ref="P17" ca="1" si="26">+SUM(P15:P16)</f>
        <v>220.98150988438491</v>
      </c>
      <c r="Q17" s="424">
        <f t="shared" ref="Q17" ca="1" si="27">+SUM(Q15:Q16)</f>
        <v>247.76869402635808</v>
      </c>
    </row>
    <row r="18" spans="2:17" ht="12.75" customHeight="1">
      <c r="B18" s="3" t="str">
        <f ca="1">+'Income Statement'!B17</f>
        <v>Income Taxes</v>
      </c>
      <c r="D18" s="312"/>
      <c r="F18" s="4"/>
      <c r="I18" s="433">
        <f ca="1">+'Income Statement'!G17+'Income Statement'!G90</f>
        <v>12.153</v>
      </c>
      <c r="J18" s="433">
        <f ca="1">+'Income Statement'!H17+'Income Statement'!H90</f>
        <v>23.305</v>
      </c>
      <c r="K18" s="433">
        <f ca="1">+'Income Statement'!I17+'Income Statement'!I90</f>
        <v>13.945</v>
      </c>
      <c r="L18" s="432">
        <f ca="1">+L17*L26</f>
        <v>36.973526568723791</v>
      </c>
      <c r="M18" s="432">
        <f t="shared" ref="M18:Q18" ca="1" si="28">+M17*M26</f>
        <v>38.744623248451227</v>
      </c>
      <c r="N18" s="432">
        <f t="shared" ca="1" si="28"/>
        <v>43.819187920164076</v>
      </c>
      <c r="O18" s="432">
        <f t="shared" ca="1" si="28"/>
        <v>49.226685795473642</v>
      </c>
      <c r="P18" s="432">
        <f t="shared" ca="1" si="28"/>
        <v>55.245377471096226</v>
      </c>
      <c r="Q18" s="432">
        <f t="shared" ca="1" si="28"/>
        <v>61.942173506589519</v>
      </c>
    </row>
    <row r="19" spans="2:17" ht="12.75" customHeight="1">
      <c r="B19" s="3" t="str">
        <f ca="1">+'Income Statement'!B18</f>
        <v>Net Income</v>
      </c>
      <c r="D19" s="312"/>
      <c r="F19" s="4"/>
      <c r="I19" s="423">
        <f ca="1">+I17-I18</f>
        <v>23.046000000000014</v>
      </c>
      <c r="J19" s="424">
        <f t="shared" ref="J19:K19" ca="1" si="29">+J17-J18</f>
        <v>43.820000000000043</v>
      </c>
      <c r="K19" s="425">
        <f t="shared" ca="1" si="29"/>
        <v>73.057000000000016</v>
      </c>
      <c r="L19" s="425">
        <f t="shared" ref="L19:Q19" ca="1" si="30">+L17-L18</f>
        <v>110.92057970617137</v>
      </c>
      <c r="M19" s="425">
        <f t="shared" ca="1" si="30"/>
        <v>116.23386974535367</v>
      </c>
      <c r="N19" s="425">
        <f t="shared" ca="1" si="30"/>
        <v>131.45756376049223</v>
      </c>
      <c r="O19" s="425">
        <f t="shared" ca="1" si="30"/>
        <v>147.68005738642091</v>
      </c>
      <c r="P19" s="425">
        <f t="shared" ca="1" si="30"/>
        <v>165.73613241328869</v>
      </c>
      <c r="Q19" s="425">
        <f t="shared" ca="1" si="30"/>
        <v>185.82652051976856</v>
      </c>
    </row>
    <row r="20" spans="2:17" ht="12.75" customHeight="1">
      <c r="B20" s="3" t="s">
        <v>71</v>
      </c>
      <c r="I20" s="102">
        <f ca="1">'Income Statement'!G19</f>
        <v>23.526</v>
      </c>
      <c r="J20" s="102">
        <f ca="1">'Income Statement'!H19</f>
        <v>33.125</v>
      </c>
      <c r="K20" s="102">
        <f ca="1">'Income Statement'!I19</f>
        <v>47.656999999999996</v>
      </c>
      <c r="L20" s="55">
        <f ca="1">+L188</f>
        <v>50.758911460488214</v>
      </c>
      <c r="M20" s="55">
        <f t="shared" ref="M20:Q20" ca="1" si="31">+M188</f>
        <v>50.758911460488214</v>
      </c>
      <c r="N20" s="55">
        <f t="shared" ca="1" si="31"/>
        <v>50.758911460488214</v>
      </c>
      <c r="O20" s="55">
        <f t="shared" ca="1" si="31"/>
        <v>50.758911460488214</v>
      </c>
      <c r="P20" s="55">
        <f t="shared" ca="1" si="31"/>
        <v>50.758911460488214</v>
      </c>
      <c r="Q20" s="55">
        <f t="shared" ca="1" si="31"/>
        <v>50.758911460488214</v>
      </c>
    </row>
    <row r="21" spans="2:17" ht="12.75" customHeight="1">
      <c r="B21" s="159" t="s">
        <v>118</v>
      </c>
      <c r="C21" s="159"/>
      <c r="D21" s="159"/>
      <c r="E21" s="159"/>
      <c r="F21" s="159"/>
      <c r="G21" s="159"/>
      <c r="H21" s="159"/>
      <c r="I21" s="326">
        <f ca="1">+I19/I20</f>
        <v>0.97959704157102834</v>
      </c>
      <c r="J21" s="326">
        <f t="shared" ref="J21:K21" ca="1" si="32">+J19/J20</f>
        <v>1.3228679245283033</v>
      </c>
      <c r="K21" s="326">
        <f t="shared" ca="1" si="32"/>
        <v>1.5329752187506562</v>
      </c>
      <c r="L21" s="326">
        <f t="shared" ref="L21" ca="1" si="33">+L19/L20</f>
        <v>2.185243467888673</v>
      </c>
      <c r="M21" s="326">
        <f t="shared" ref="M21" ca="1" si="34">+M19/M20</f>
        <v>2.2899204573335368</v>
      </c>
      <c r="N21" s="326">
        <f t="shared" ref="N21" ca="1" si="35">+N19/N20</f>
        <v>2.5898420588239275</v>
      </c>
      <c r="O21" s="326">
        <f t="shared" ref="O21" ca="1" si="36">+O19/O20</f>
        <v>2.9094409855770471</v>
      </c>
      <c r="P21" s="326">
        <f t="shared" ref="P21" ca="1" si="37">+P19/P20</f>
        <v>3.2651632520193252</v>
      </c>
      <c r="Q21" s="326">
        <f t="shared" ref="Q21" ca="1" si="38">+Q19/Q20</f>
        <v>3.660963467753239</v>
      </c>
    </row>
    <row r="22" spans="2:17" ht="12.75" customHeight="1">
      <c r="B22" s="159"/>
      <c r="C22" s="159"/>
      <c r="D22" s="159"/>
      <c r="E22" s="159"/>
      <c r="F22" s="159"/>
      <c r="G22" s="159"/>
      <c r="H22" s="159"/>
      <c r="I22" s="327"/>
      <c r="J22" s="327"/>
      <c r="K22" s="327"/>
      <c r="L22" s="374"/>
      <c r="M22" s="327"/>
      <c r="N22" s="327"/>
      <c r="O22" s="327"/>
      <c r="P22" s="327"/>
      <c r="Q22" s="327"/>
    </row>
    <row r="23" spans="2:17" ht="12.75" customHeight="1">
      <c r="B23" s="3" t="s">
        <v>249</v>
      </c>
      <c r="I23" s="328">
        <f ca="1">'Income Statement'!G22</f>
        <v>150</v>
      </c>
      <c r="J23" s="328">
        <f ca="1">'Income Statement'!H22</f>
        <v>161</v>
      </c>
      <c r="K23" s="328">
        <f ca="1">'Income Statement'!I22</f>
        <v>198</v>
      </c>
      <c r="L23" s="311">
        <f ca="1">+K23+10</f>
        <v>208</v>
      </c>
      <c r="M23" s="311">
        <f t="shared" ref="M23:Q23" ca="1" si="39">+L23+10</f>
        <v>218</v>
      </c>
      <c r="N23" s="311">
        <f t="shared" ca="1" si="39"/>
        <v>228</v>
      </c>
      <c r="O23" s="311">
        <f t="shared" ca="1" si="39"/>
        <v>238</v>
      </c>
      <c r="P23" s="311">
        <f t="shared" ca="1" si="39"/>
        <v>248</v>
      </c>
      <c r="Q23" s="311">
        <f t="shared" ca="1" si="39"/>
        <v>258</v>
      </c>
    </row>
    <row r="24" spans="2:17" ht="12.75" customHeight="1">
      <c r="I24" s="329"/>
      <c r="J24" s="329"/>
      <c r="K24" s="329"/>
      <c r="L24" s="311"/>
      <c r="M24" s="311"/>
      <c r="N24" s="311"/>
      <c r="O24" s="311"/>
      <c r="P24" s="311"/>
      <c r="Q24" s="311"/>
    </row>
    <row r="25" spans="2:17" ht="12.75" customHeight="1">
      <c r="B25" s="101" t="s">
        <v>200</v>
      </c>
      <c r="C25" s="101"/>
    </row>
    <row r="26" spans="2:17" ht="12.75" customHeight="1">
      <c r="B26" s="3" t="s">
        <v>201</v>
      </c>
      <c r="I26" s="155">
        <f ca="1">+I18/I17</f>
        <v>0.34526549049688898</v>
      </c>
      <c r="J26" s="155">
        <f t="shared" ref="J26:K26" ca="1" si="40">+J18/J17</f>
        <v>0.34718808193668504</v>
      </c>
      <c r="K26" s="155">
        <f t="shared" ca="1" si="40"/>
        <v>0.16028367163973239</v>
      </c>
      <c r="L26" s="287">
        <f ca="1">atax</f>
        <v>0.25</v>
      </c>
      <c r="M26" s="155">
        <f ca="1">+L26</f>
        <v>0.25</v>
      </c>
      <c r="N26" s="155">
        <f ca="1">+M26</f>
        <v>0.25</v>
      </c>
      <c r="O26" s="155">
        <f ca="1">+N26</f>
        <v>0.25</v>
      </c>
      <c r="P26" s="155">
        <f ca="1">+O26</f>
        <v>0.25</v>
      </c>
      <c r="Q26" s="155">
        <f ca="1">+P26</f>
        <v>0.25</v>
      </c>
    </row>
    <row r="27" spans="2:17" ht="12.75" customHeight="1">
      <c r="I27" s="375"/>
      <c r="J27" s="375"/>
      <c r="K27" s="375"/>
      <c r="L27" s="311"/>
      <c r="M27" s="282"/>
      <c r="N27" s="282"/>
      <c r="O27" s="282"/>
      <c r="P27" s="282"/>
      <c r="Q27" s="282"/>
    </row>
    <row r="28" spans="2:17" ht="12.75" customHeight="1">
      <c r="B28" s="101" t="s">
        <v>16</v>
      </c>
      <c r="C28" s="101"/>
      <c r="L28" s="9"/>
    </row>
    <row r="29" spans="2:17" ht="12.75" customHeight="1">
      <c r="B29" s="3" t="s">
        <v>293</v>
      </c>
      <c r="I29" s="113">
        <f ca="1">+I15</f>
        <v>35.199000000000012</v>
      </c>
      <c r="J29" s="113">
        <f t="shared" ref="J29:Q29" ca="1" si="41">+J15</f>
        <v>67.125000000000043</v>
      </c>
      <c r="K29" s="113">
        <f t="shared" ca="1" si="41"/>
        <v>87.00200000000001</v>
      </c>
      <c r="L29" s="283">
        <f t="shared" ca="1" si="41"/>
        <v>147.89410627489517</v>
      </c>
      <c r="M29" s="113">
        <f t="shared" ca="1" si="41"/>
        <v>154.97849299380491</v>
      </c>
      <c r="N29" s="113">
        <f t="shared" ca="1" si="41"/>
        <v>175.2767516806563</v>
      </c>
      <c r="O29" s="113">
        <f t="shared" ca="1" si="41"/>
        <v>196.90674318189457</v>
      </c>
      <c r="P29" s="113">
        <f t="shared" ca="1" si="41"/>
        <v>220.98150988438491</v>
      </c>
      <c r="Q29" s="113">
        <f t="shared" ca="1" si="41"/>
        <v>247.76869402635808</v>
      </c>
    </row>
    <row r="30" spans="2:17" ht="12.75" customHeight="1">
      <c r="B30" s="3" t="s">
        <v>38</v>
      </c>
      <c r="I30" s="244">
        <f ca="1">+I9</f>
        <v>13.163</v>
      </c>
      <c r="J30" s="244">
        <f t="shared" ref="J30:Q30" ca="1" si="42">+J9</f>
        <v>18.311</v>
      </c>
      <c r="K30" s="244">
        <f t="shared" ca="1" si="42"/>
        <v>35.652000000000001</v>
      </c>
      <c r="L30" s="244">
        <f t="shared" ca="1" si="42"/>
        <v>40.96882478339429</v>
      </c>
      <c r="M30" s="244">
        <f t="shared" ca="1" si="42"/>
        <v>42.461673058448078</v>
      </c>
      <c r="N30" s="244">
        <f t="shared" ca="1" si="42"/>
        <v>43.686680976822025</v>
      </c>
      <c r="O30" s="244">
        <f t="shared" ca="1" si="42"/>
        <v>45.910207741331597</v>
      </c>
      <c r="P30" s="244">
        <f t="shared" ca="1" si="42"/>
        <v>48.270028631163882</v>
      </c>
      <c r="Q30" s="244">
        <f t="shared" ca="1" si="42"/>
        <v>50.776180090745612</v>
      </c>
    </row>
    <row r="31" spans="2:17" ht="12.75" customHeight="1">
      <c r="B31" s="3" t="s">
        <v>17</v>
      </c>
      <c r="I31" s="105">
        <f ca="1">'Income Statement'!G27</f>
        <v>4.7859999999999996</v>
      </c>
      <c r="J31" s="105">
        <f ca="1">'Income Statement'!H27</f>
        <v>6.3029999999999999</v>
      </c>
      <c r="K31" s="105">
        <f ca="1">'Income Statement'!I27</f>
        <v>8.7059999999999995</v>
      </c>
      <c r="L31" s="272">
        <f t="shared" ref="L31:Q31" ca="1" si="43">L77+L78</f>
        <v>9.730187165195515</v>
      </c>
      <c r="M31" s="208">
        <f t="shared" ca="1" si="43"/>
        <v>10.180192587130495</v>
      </c>
      <c r="N31" s="208">
        <f t="shared" ca="1" si="43"/>
        <v>11.198211845843545</v>
      </c>
      <c r="O31" s="208">
        <f t="shared" ca="1" si="43"/>
        <v>12.3180330304279</v>
      </c>
      <c r="P31" s="208">
        <f t="shared" ca="1" si="43"/>
        <v>13.54983633347069</v>
      </c>
      <c r="Q31" s="208">
        <f t="shared" ca="1" si="43"/>
        <v>14.90481996681776</v>
      </c>
    </row>
    <row r="32" spans="2:17" ht="12.75" customHeight="1">
      <c r="B32" s="3" t="s">
        <v>11</v>
      </c>
      <c r="I32" s="288">
        <f ca="1">I29+I31+I30</f>
        <v>53.14800000000001</v>
      </c>
      <c r="J32" s="289">
        <f t="shared" ref="J32:Q32" ca="1" si="44">J29+J31+J30</f>
        <v>91.739000000000033</v>
      </c>
      <c r="K32" s="289">
        <f t="shared" ca="1" si="44"/>
        <v>131.36000000000001</v>
      </c>
      <c r="L32" s="376">
        <f t="shared" ca="1" si="44"/>
        <v>198.59311822348496</v>
      </c>
      <c r="M32" s="289">
        <f t="shared" ca="1" si="44"/>
        <v>207.62035863938348</v>
      </c>
      <c r="N32" s="289">
        <f t="shared" ca="1" si="44"/>
        <v>230.16164450332187</v>
      </c>
      <c r="O32" s="289">
        <f t="shared" ca="1" si="44"/>
        <v>255.13498395365406</v>
      </c>
      <c r="P32" s="281">
        <f t="shared" ca="1" si="44"/>
        <v>282.80137484901945</v>
      </c>
      <c r="Q32" s="281">
        <f t="shared" ca="1" si="44"/>
        <v>313.44969408392149</v>
      </c>
    </row>
    <row r="33" spans="2:17" ht="12.75" customHeight="1">
      <c r="G33" s="235"/>
      <c r="H33" s="235"/>
      <c r="I33" s="113"/>
      <c r="J33" s="113"/>
      <c r="K33" s="113"/>
      <c r="L33" s="283"/>
      <c r="M33" s="113"/>
      <c r="N33" s="113"/>
      <c r="O33" s="113"/>
      <c r="P33" s="113"/>
      <c r="Q33" s="113"/>
    </row>
    <row r="34" spans="2:17" ht="12.75" customHeight="1">
      <c r="B34" s="101" t="s">
        <v>66</v>
      </c>
      <c r="C34" s="101"/>
    </row>
    <row r="35" spans="2:17" ht="12.75" customHeight="1">
      <c r="B35" s="3" t="s">
        <v>250</v>
      </c>
      <c r="I35" s="155">
        <f ca="1">+I10/I8</f>
        <v>0.90134532508900134</v>
      </c>
      <c r="J35" s="155">
        <f t="shared" ref="J35:Q35" ca="1" si="45">+J10/J8</f>
        <v>0.90302866614767852</v>
      </c>
      <c r="K35" s="155">
        <f t="shared" ca="1" si="45"/>
        <v>0.87113144939165899</v>
      </c>
      <c r="L35" s="155">
        <f t="shared" ca="1" si="45"/>
        <v>0.86750056667725006</v>
      </c>
      <c r="M35" s="155">
        <f t="shared" ca="1" si="45"/>
        <v>0.86874289626445733</v>
      </c>
      <c r="N35" s="155">
        <f t="shared" ca="1" si="45"/>
        <v>0.87723287627702118</v>
      </c>
      <c r="O35" s="155">
        <f t="shared" ca="1" si="45"/>
        <v>0.88271307435121649</v>
      </c>
      <c r="P35" s="155">
        <f t="shared" ca="1" si="45"/>
        <v>0.88789493987469448</v>
      </c>
      <c r="Q35" s="155">
        <f t="shared" ca="1" si="45"/>
        <v>0.89279501015759122</v>
      </c>
    </row>
    <row r="36" spans="2:17" ht="12.75" customHeight="1">
      <c r="B36" s="3" t="str">
        <f ca="1">+B11</f>
        <v>Provision for Loan Losses</v>
      </c>
      <c r="I36" s="155">
        <f ca="1">+-I11/I8</f>
        <v>1.9658984448191866E-2</v>
      </c>
      <c r="J36" s="155">
        <f t="shared" ref="J36:Q36" ca="1" si="46">+-J11/J8</f>
        <v>2.353981644768547E-2</v>
      </c>
      <c r="K36" s="155">
        <f t="shared" ca="1" si="46"/>
        <v>1.2615035387162304E-2</v>
      </c>
      <c r="L36" s="155">
        <f t="shared" ca="1" si="46"/>
        <v>1.2615035387162304E-2</v>
      </c>
      <c r="M36" s="155">
        <f t="shared" ca="1" si="46"/>
        <v>1.2615035387162302E-2</v>
      </c>
      <c r="N36" s="155">
        <f t="shared" ca="1" si="46"/>
        <v>1.2615035387162304E-2</v>
      </c>
      <c r="O36" s="155">
        <f t="shared" ca="1" si="46"/>
        <v>1.2615035387162304E-2</v>
      </c>
      <c r="P36" s="155">
        <f t="shared" ca="1" si="46"/>
        <v>1.2615035387162304E-2</v>
      </c>
      <c r="Q36" s="155">
        <f t="shared" ca="1" si="46"/>
        <v>1.2615035387162304E-2</v>
      </c>
    </row>
    <row r="37" spans="2:17" ht="12.75" customHeight="1">
      <c r="B37" s="3" t="s">
        <v>248</v>
      </c>
      <c r="I37" s="155">
        <f ca="1">+-I14/I8</f>
        <v>0.77086003372681278</v>
      </c>
      <c r="J37" s="155">
        <f t="shared" ref="J37:Q37" ca="1" si="47">+-J14/J8</f>
        <v>0.66737630342796905</v>
      </c>
      <c r="K37" s="155">
        <f t="shared" ca="1" si="47"/>
        <v>0.66992344227808021</v>
      </c>
      <c r="L37" s="155">
        <f t="shared" ca="1" si="47"/>
        <v>0.52300000000000002</v>
      </c>
      <c r="M37" s="155">
        <f t="shared" ca="1" si="47"/>
        <v>0.55900000000000005</v>
      </c>
      <c r="N37" s="155">
        <f t="shared" ca="1" si="47"/>
        <v>0.55400000000000005</v>
      </c>
      <c r="O37" s="155">
        <f t="shared" ca="1" si="47"/>
        <v>0.54900000000000004</v>
      </c>
      <c r="P37" s="155">
        <f t="shared" ca="1" si="47"/>
        <v>0.54400000000000004</v>
      </c>
      <c r="Q37" s="155">
        <f t="shared" ca="1" si="47"/>
        <v>0.53900000000000003</v>
      </c>
    </row>
    <row r="38" spans="2:17" ht="12.75" customHeight="1">
      <c r="B38" s="3" t="s">
        <v>11</v>
      </c>
      <c r="I38" s="155">
        <f t="shared" ref="I38:Q38" ca="1" si="48">I32/I8</f>
        <v>0.39833614390106808</v>
      </c>
      <c r="J38" s="155">
        <f t="shared" ca="1" si="48"/>
        <v>0.48583109585921663</v>
      </c>
      <c r="K38" s="155">
        <f t="shared" ca="1" si="48"/>
        <v>0.4748169193288368</v>
      </c>
      <c r="L38" s="155">
        <f t="shared" ca="1" si="48"/>
        <v>0.64228045997246108</v>
      </c>
      <c r="M38" s="155">
        <f t="shared" ca="1" si="48"/>
        <v>0.64179399888526578</v>
      </c>
      <c r="N38" s="155">
        <f t="shared" ca="1" si="48"/>
        <v>0.6467939988852659</v>
      </c>
      <c r="O38" s="155">
        <f t="shared" ca="1" si="48"/>
        <v>0.65179399888526579</v>
      </c>
      <c r="P38" s="155">
        <f t="shared" ca="1" si="48"/>
        <v>0.6567939988852658</v>
      </c>
      <c r="Q38" s="155">
        <f t="shared" ca="1" si="48"/>
        <v>0.66179399888526591</v>
      </c>
    </row>
    <row r="39" spans="2:17" ht="12.75" customHeight="1">
      <c r="B39" s="3" t="s">
        <v>293</v>
      </c>
      <c r="I39" s="155">
        <f t="shared" ref="I39:Q39" ca="1" si="49">I29/I8</f>
        <v>0.26381112984822941</v>
      </c>
      <c r="J39" s="155">
        <f t="shared" ca="1" si="49"/>
        <v>0.35548035524204452</v>
      </c>
      <c r="K39" s="155">
        <f t="shared" ca="1" si="49"/>
        <v>0.3144794580956719</v>
      </c>
      <c r="L39" s="155">
        <f t="shared" ca="1" si="49"/>
        <v>0.47831211602488738</v>
      </c>
      <c r="M39" s="155">
        <f t="shared" ca="1" si="49"/>
        <v>0.47906798452489924</v>
      </c>
      <c r="N39" s="155">
        <f t="shared" ca="1" si="49"/>
        <v>0.49255796453746326</v>
      </c>
      <c r="O39" s="155">
        <f t="shared" ca="1" si="49"/>
        <v>0.50303816261165846</v>
      </c>
      <c r="P39" s="155">
        <f t="shared" ca="1" si="49"/>
        <v>0.51322002813513645</v>
      </c>
      <c r="Q39" s="155">
        <f t="shared" ca="1" si="49"/>
        <v>0.5231200984180332</v>
      </c>
    </row>
    <row r="40" spans="2:17" ht="12.75" customHeight="1">
      <c r="B40" s="3" t="s">
        <v>12</v>
      </c>
      <c r="I40" s="155">
        <f ca="1">+I19/I8</f>
        <v>0.17272625070264203</v>
      </c>
      <c r="J40" s="155">
        <f t="shared" ref="J40:Q40" ca="1" si="50">+J19/J8</f>
        <v>0.23206181253938768</v>
      </c>
      <c r="K40" s="155">
        <f t="shared" ca="1" si="50"/>
        <v>0.26407353589682425</v>
      </c>
      <c r="L40" s="155">
        <f t="shared" ca="1" si="50"/>
        <v>0.35873408701866549</v>
      </c>
      <c r="M40" s="155">
        <f t="shared" ca="1" si="50"/>
        <v>0.35930098839367441</v>
      </c>
      <c r="N40" s="155">
        <f t="shared" ca="1" si="50"/>
        <v>0.36941847340309747</v>
      </c>
      <c r="O40" s="155">
        <f t="shared" ca="1" si="50"/>
        <v>0.37727862195874384</v>
      </c>
      <c r="P40" s="155">
        <f t="shared" ca="1" si="50"/>
        <v>0.38491502110135239</v>
      </c>
      <c r="Q40" s="155">
        <f t="shared" ca="1" si="50"/>
        <v>0.39234007381352493</v>
      </c>
    </row>
    <row r="41" spans="2:17" ht="12.75" customHeight="1">
      <c r="I41" s="155"/>
      <c r="J41" s="155"/>
      <c r="K41" s="155"/>
      <c r="L41" s="155"/>
      <c r="M41" s="155"/>
      <c r="N41" s="155"/>
      <c r="O41" s="155"/>
      <c r="P41" s="155"/>
      <c r="Q41" s="155"/>
    </row>
    <row r="42" spans="2:17" ht="12.75" customHeight="1">
      <c r="B42" s="101" t="s">
        <v>18</v>
      </c>
      <c r="C42" s="101"/>
      <c r="I42" s="270"/>
      <c r="J42" s="270"/>
      <c r="K42" s="270"/>
      <c r="L42" s="270"/>
      <c r="M42" s="270"/>
      <c r="N42" s="270"/>
      <c r="O42" s="270"/>
      <c r="P42" s="270"/>
      <c r="Q42" s="270"/>
    </row>
    <row r="43" spans="2:17" s="189" customFormat="1" ht="12.75" customHeight="1">
      <c r="B43" s="3" t="s">
        <v>138</v>
      </c>
      <c r="C43" s="3"/>
      <c r="D43" s="3"/>
      <c r="E43" s="3"/>
      <c r="F43" s="3"/>
      <c r="G43" s="3"/>
      <c r="H43" s="3"/>
      <c r="I43" s="155">
        <v>0</v>
      </c>
      <c r="J43" s="155">
        <f t="shared" ref="J43:Q43" ca="1" si="51">J8/I8-1</f>
        <v>0.41524451939291751</v>
      </c>
      <c r="K43" s="155">
        <f t="shared" ca="1" si="51"/>
        <v>0.46510334747311033</v>
      </c>
      <c r="L43" s="155">
        <f t="shared" ca="1" si="51"/>
        <v>0.11764153057609872</v>
      </c>
      <c r="M43" s="155">
        <f t="shared" ca="1" si="51"/>
        <v>4.6248382923673947E-2</v>
      </c>
      <c r="N43" s="155">
        <f t="shared" ca="1" si="51"/>
        <v>0.10000000000000009</v>
      </c>
      <c r="O43" s="155">
        <f t="shared" ca="1" si="51"/>
        <v>0.10000000000000009</v>
      </c>
      <c r="P43" s="155">
        <f t="shared" ca="1" si="51"/>
        <v>0.10000000000000009</v>
      </c>
      <c r="Q43" s="155">
        <f t="shared" ca="1" si="51"/>
        <v>0.10000000000000009</v>
      </c>
    </row>
    <row r="44" spans="2:17" s="189" customFormat="1" ht="12.75" customHeight="1">
      <c r="B44" s="3" t="s">
        <v>247</v>
      </c>
      <c r="C44" s="3"/>
      <c r="D44" s="3"/>
      <c r="E44" s="3"/>
      <c r="F44" s="3"/>
      <c r="G44" s="3"/>
      <c r="H44" s="3"/>
      <c r="I44" s="155">
        <v>0</v>
      </c>
      <c r="J44" s="155">
        <f ca="1">+J13/I13-1</f>
        <v>0.32627865961199287</v>
      </c>
      <c r="K44" s="155">
        <f ca="1">+K13/J13-1</f>
        <v>0.28645833333333326</v>
      </c>
      <c r="L44" s="448">
        <v>0.3</v>
      </c>
      <c r="M44" s="448">
        <v>0.3</v>
      </c>
      <c r="N44" s="448">
        <v>0.1</v>
      </c>
      <c r="O44" s="448">
        <v>0.1</v>
      </c>
      <c r="P44" s="448">
        <v>0.1</v>
      </c>
      <c r="Q44" s="448">
        <v>0.1</v>
      </c>
    </row>
    <row r="45" spans="2:17" s="189" customFormat="1" ht="12.75" customHeight="1">
      <c r="B45" s="3" t="s">
        <v>11</v>
      </c>
      <c r="C45" s="3"/>
      <c r="D45" s="3"/>
      <c r="E45" s="3"/>
      <c r="F45" s="3"/>
      <c r="G45" s="3"/>
      <c r="H45" s="3"/>
      <c r="I45" s="155">
        <v>0</v>
      </c>
      <c r="J45" s="155">
        <f t="shared" ref="J45:Q45" ca="1" si="52">IF(AND(J32&gt;=0,I32&gt;0),J32/I32-1,"NM")</f>
        <v>0.72610446300895637</v>
      </c>
      <c r="K45" s="155">
        <f t="shared" ca="1" si="52"/>
        <v>0.43188829178430077</v>
      </c>
      <c r="L45" s="155">
        <f t="shared" ca="1" si="52"/>
        <v>0.51182337259047617</v>
      </c>
      <c r="M45" s="155">
        <f t="shared" ca="1" si="52"/>
        <v>4.5455957873322683E-2</v>
      </c>
      <c r="N45" s="155">
        <f t="shared" ca="1" si="52"/>
        <v>0.10856972799613751</v>
      </c>
      <c r="O45" s="155">
        <f t="shared" ca="1" si="52"/>
        <v>0.1085034802572058</v>
      </c>
      <c r="P45" s="155">
        <f t="shared" ca="1" si="52"/>
        <v>0.10843824890902098</v>
      </c>
      <c r="Q45" s="155">
        <f t="shared" ca="1" si="52"/>
        <v>0.10837401073903696</v>
      </c>
    </row>
    <row r="46" spans="2:17" s="189" customFormat="1" ht="12.75" customHeight="1">
      <c r="B46" s="3" t="s">
        <v>293</v>
      </c>
      <c r="C46" s="3"/>
      <c r="D46" s="3"/>
      <c r="E46" s="3"/>
      <c r="F46" s="3"/>
      <c r="G46" s="3"/>
      <c r="H46" s="3"/>
      <c r="I46" s="155">
        <v>0</v>
      </c>
      <c r="J46" s="155">
        <f t="shared" ref="J46:Q46" ca="1" si="53">IF(AND(J29&gt;=0,I29&gt;0),J29/I29-1,"NM")</f>
        <v>0.90701440381829079</v>
      </c>
      <c r="K46" s="155">
        <f t="shared" ca="1" si="53"/>
        <v>0.29611918063314646</v>
      </c>
      <c r="L46" s="155">
        <f t="shared" ca="1" si="53"/>
        <v>0.69989317802918505</v>
      </c>
      <c r="M46" s="155">
        <f t="shared" ca="1" si="53"/>
        <v>4.7901751444657137E-2</v>
      </c>
      <c r="N46" s="155">
        <f t="shared" ca="1" si="53"/>
        <v>0.13097468103308252</v>
      </c>
      <c r="O46" s="155">
        <f t="shared" ca="1" si="53"/>
        <v>0.12340479438281005</v>
      </c>
      <c r="P46" s="155">
        <f t="shared" ca="1" si="53"/>
        <v>0.12226481588927118</v>
      </c>
      <c r="Q46" s="155">
        <f t="shared" ca="1" si="53"/>
        <v>0.12121911989825729</v>
      </c>
    </row>
    <row r="47" spans="2:17" s="189" customFormat="1" ht="12.75" customHeight="1">
      <c r="B47" s="3" t="str">
        <f ca="1">B21</f>
        <v>Diluted EPS</v>
      </c>
      <c r="C47" s="3"/>
      <c r="D47" s="3"/>
      <c r="E47" s="3"/>
      <c r="F47" s="3"/>
      <c r="G47" s="3"/>
      <c r="H47" s="3"/>
      <c r="I47" s="155">
        <v>0</v>
      </c>
      <c r="J47" s="155">
        <f t="shared" ref="J47:Q47" ca="1" si="54">IF(AND(J21&gt;=0,I21&gt;0),J21/I21-1,"NM")</f>
        <v>0.35042049780668427</v>
      </c>
      <c r="K47" s="155">
        <f t="shared" ca="1" si="54"/>
        <v>0.15882711367219149</v>
      </c>
      <c r="L47" s="155">
        <f t="shared" ca="1" si="54"/>
        <v>0.42549171125519059</v>
      </c>
      <c r="M47" s="155">
        <f t="shared" ca="1" si="54"/>
        <v>4.7901751444657137E-2</v>
      </c>
      <c r="N47" s="155">
        <f t="shared" ca="1" si="54"/>
        <v>0.13097468103308274</v>
      </c>
      <c r="O47" s="155">
        <f t="shared" ca="1" si="54"/>
        <v>0.12340479438280982</v>
      </c>
      <c r="P47" s="155">
        <f t="shared" ca="1" si="54"/>
        <v>0.12226481588927141</v>
      </c>
      <c r="Q47" s="155">
        <f t="shared" ca="1" si="54"/>
        <v>0.12121911989825707</v>
      </c>
    </row>
    <row r="48" spans="2:17" ht="12.75" customHeight="1">
      <c r="B48" s="292"/>
      <c r="C48" s="292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2:17" ht="16" customHeight="1" thickBot="1">
      <c r="B49" s="277" t="s">
        <v>41</v>
      </c>
      <c r="C49" s="277"/>
      <c r="D49" s="278"/>
      <c r="E49" s="278"/>
      <c r="F49" s="278"/>
      <c r="G49" s="278"/>
      <c r="H49" s="278"/>
      <c r="I49" s="278"/>
      <c r="J49" s="278"/>
      <c r="K49" s="278"/>
      <c r="L49" s="278"/>
      <c r="M49" s="278"/>
      <c r="N49" s="278"/>
      <c r="O49" s="278"/>
      <c r="P49" s="279"/>
      <c r="Q49" s="279"/>
    </row>
    <row r="50" spans="2:17" ht="15" customHeight="1">
      <c r="B50" s="268" t="str">
        <f ca="1">$B$7</f>
        <v>Fiscal Year Ended December 31,</v>
      </c>
      <c r="C50" s="268"/>
      <c r="D50" s="268"/>
      <c r="E50" s="268"/>
      <c r="F50" s="268"/>
      <c r="G50" s="268"/>
      <c r="H50" s="268"/>
      <c r="I50" s="297"/>
      <c r="J50" s="297">
        <f t="shared" ref="J50:Q50" ca="1" si="55">J7</f>
        <v>2017</v>
      </c>
      <c r="K50" s="331">
        <f t="shared" ca="1" si="55"/>
        <v>2018</v>
      </c>
      <c r="L50" s="332">
        <f t="shared" ca="1" si="55"/>
        <v>2019</v>
      </c>
      <c r="M50" s="298">
        <f t="shared" ca="1" si="55"/>
        <v>2020</v>
      </c>
      <c r="N50" s="298">
        <f t="shared" ca="1" si="55"/>
        <v>2021</v>
      </c>
      <c r="O50" s="298">
        <f t="shared" ca="1" si="55"/>
        <v>2022</v>
      </c>
      <c r="P50" s="298">
        <f t="shared" ca="1" si="55"/>
        <v>2023</v>
      </c>
      <c r="Q50" s="298">
        <f t="shared" ca="1" si="55"/>
        <v>2024</v>
      </c>
    </row>
    <row r="51" spans="2:17" ht="15" customHeight="1">
      <c r="B51" s="101" t="s">
        <v>2</v>
      </c>
      <c r="C51" s="101"/>
    </row>
    <row r="52" spans="2:17" ht="12.75" customHeight="1">
      <c r="B52" s="3" t="str">
        <f ca="1">+'Balance Sheet'!B8</f>
        <v>Cash</v>
      </c>
      <c r="J52" s="75">
        <f ca="1">'Balance Sheet'!H8</f>
        <v>109.613</v>
      </c>
      <c r="K52" s="75">
        <f ca="1">'Balance Sheet'!I8</f>
        <v>120.792</v>
      </c>
      <c r="L52" s="113">
        <f t="shared" ref="L52:Q52" ca="1" si="56">L98</f>
        <v>55.998961072930712</v>
      </c>
      <c r="M52" s="113">
        <f t="shared" ca="1" si="56"/>
        <v>347.26570584192905</v>
      </c>
      <c r="N52" s="113">
        <f t="shared" ca="1" si="56"/>
        <v>284.61580049099518</v>
      </c>
      <c r="O52" s="113">
        <f t="shared" ca="1" si="56"/>
        <v>216.08462301180469</v>
      </c>
      <c r="P52" s="113">
        <f t="shared" ca="1" si="56"/>
        <v>141.01111263020948</v>
      </c>
      <c r="Q52" s="113">
        <f t="shared" ca="1" si="56"/>
        <v>58.675246975565585</v>
      </c>
    </row>
    <row r="53" spans="2:17" ht="12.75" customHeight="1">
      <c r="B53" s="3" t="str">
        <f ca="1">+'Balance Sheet'!B9</f>
        <v>Loans Receivable, Net</v>
      </c>
      <c r="J53" s="77">
        <f ca="1">'Balance Sheet'!H9</f>
        <v>4811.4160000000002</v>
      </c>
      <c r="K53" s="77">
        <f ca="1">'Balance Sheet'!I9</f>
        <v>6526.7489999999989</v>
      </c>
      <c r="L53" s="120">
        <f ca="1">+L204</f>
        <v>7126.4406140828441</v>
      </c>
      <c r="M53" s="120">
        <f t="shared" ref="M53:Q53" ca="1" si="57">+M204</f>
        <v>7288.0519699217439</v>
      </c>
      <c r="N53" s="120">
        <f t="shared" ca="1" si="57"/>
        <v>7840.2266286585018</v>
      </c>
      <c r="O53" s="120">
        <f t="shared" ca="1" si="57"/>
        <v>8438.3326404930976</v>
      </c>
      <c r="P53" s="120">
        <f t="shared" ca="1" si="57"/>
        <v>9086.2888676578514</v>
      </c>
      <c r="Q53" s="120">
        <f t="shared" ca="1" si="57"/>
        <v>9788.3587753453467</v>
      </c>
    </row>
    <row r="54" spans="2:17" ht="12.75" customHeight="1">
      <c r="B54" s="3" t="str">
        <f ca="1">+'Balance Sheet'!B10</f>
        <v>Interest and Dividends Receivable</v>
      </c>
      <c r="J54" s="77">
        <f ca="1">'Balance Sheet'!H10</f>
        <v>14.254</v>
      </c>
      <c r="K54" s="77">
        <f ca="1">'Balance Sheet'!I10</f>
        <v>19.689</v>
      </c>
      <c r="L54" s="120">
        <f ca="1">+L212</f>
        <v>21.703802395574275</v>
      </c>
      <c r="M54" s="120">
        <f t="shared" ref="M54:Q54" ca="1" si="58">+M212</f>
        <v>22.707568159664547</v>
      </c>
      <c r="N54" s="120">
        <f t="shared" ca="1" si="58"/>
        <v>24.978324975631004</v>
      </c>
      <c r="O54" s="120">
        <f t="shared" ca="1" si="58"/>
        <v>27.476157473194107</v>
      </c>
      <c r="P54" s="120">
        <f t="shared" ca="1" si="58"/>
        <v>30.223773220513518</v>
      </c>
      <c r="Q54" s="120">
        <f t="shared" ca="1" si="58"/>
        <v>33.24615054256487</v>
      </c>
    </row>
    <row r="55" spans="2:17" ht="12.75" customHeight="1">
      <c r="B55" s="3" t="str">
        <f ca="1">+'Balance Sheet'!B11</f>
        <v>Property, Plant &amp; Equipment</v>
      </c>
      <c r="J55" s="102">
        <f ca="1">'Balance Sheet'!H11</f>
        <v>101.776</v>
      </c>
      <c r="K55" s="102">
        <f ca="1">'Balance Sheet'!I11</f>
        <v>111.209</v>
      </c>
      <c r="L55" s="55">
        <f t="shared" ref="L55:Q55" ca="1" si="59">+K55-L77-L83</f>
        <v>114.31716109653213</v>
      </c>
      <c r="M55" s="55">
        <f t="shared" ca="1" si="59"/>
        <v>117.56906961764516</v>
      </c>
      <c r="N55" s="55">
        <f t="shared" ca="1" si="59"/>
        <v>121.14616899086947</v>
      </c>
      <c r="O55" s="55">
        <f t="shared" ca="1" si="59"/>
        <v>125.08097830141622</v>
      </c>
      <c r="P55" s="55">
        <f t="shared" ca="1" si="59"/>
        <v>129.40926854301765</v>
      </c>
      <c r="Q55" s="55">
        <f t="shared" ca="1" si="59"/>
        <v>134.17038780877922</v>
      </c>
    </row>
    <row r="56" spans="2:17" ht="12.75" customHeight="1">
      <c r="B56" s="119" t="str">
        <f ca="1">+'Balance Sheet'!B12</f>
        <v>Goodwill</v>
      </c>
      <c r="C56" s="112"/>
      <c r="J56" s="102">
        <f ca="1">'Balance Sheet'!H12</f>
        <v>150.501</v>
      </c>
      <c r="K56" s="102">
        <f ca="1">'Balance Sheet'!I12</f>
        <v>338.44200000000001</v>
      </c>
      <c r="L56" s="55">
        <f ca="1">+K56</f>
        <v>338.44200000000001</v>
      </c>
      <c r="M56" s="55">
        <f t="shared" ref="M56:Q56" ca="1" si="60">+L56</f>
        <v>338.44200000000001</v>
      </c>
      <c r="N56" s="55">
        <f t="shared" ca="1" si="60"/>
        <v>338.44200000000001</v>
      </c>
      <c r="O56" s="55">
        <f t="shared" ca="1" si="60"/>
        <v>338.44200000000001</v>
      </c>
      <c r="P56" s="55">
        <f t="shared" ca="1" si="60"/>
        <v>338.44200000000001</v>
      </c>
      <c r="Q56" s="55">
        <f t="shared" ca="1" si="60"/>
        <v>338.44200000000001</v>
      </c>
    </row>
    <row r="57" spans="2:17" ht="12.75" customHeight="1">
      <c r="B57" s="3" t="str">
        <f ca="1">+'Balance Sheet'!B13</f>
        <v>Other Intangible Assets</v>
      </c>
      <c r="J57" s="102">
        <f ca="1">'Balance Sheet'!H13</f>
        <v>8.8849999999999998</v>
      </c>
      <c r="K57" s="102">
        <f ca="1">'Balance Sheet'!I13</f>
        <v>16.971</v>
      </c>
      <c r="L57" s="120">
        <f ca="1">+K57</f>
        <v>16.971</v>
      </c>
      <c r="M57" s="120">
        <f t="shared" ref="M57:Q57" ca="1" si="61">+L57</f>
        <v>16.971</v>
      </c>
      <c r="N57" s="120">
        <f t="shared" ca="1" si="61"/>
        <v>16.971</v>
      </c>
      <c r="O57" s="120">
        <f t="shared" ca="1" si="61"/>
        <v>16.971</v>
      </c>
      <c r="P57" s="120">
        <f t="shared" ca="1" si="61"/>
        <v>16.971</v>
      </c>
      <c r="Q57" s="120">
        <f t="shared" ca="1" si="61"/>
        <v>16.971</v>
      </c>
    </row>
    <row r="58" spans="2:17" ht="12.75" customHeight="1">
      <c r="B58" s="3" t="str">
        <f ca="1">+'Balance Sheet'!B14</f>
        <v>Other Long-Term Assets</v>
      </c>
      <c r="J58" s="102">
        <f ca="1">'Balance Sheet'!H14</f>
        <v>219.56099999999969</v>
      </c>
      <c r="K58" s="102">
        <f ca="1">'Balance Sheet'!I14</f>
        <v>382.3020000000015</v>
      </c>
      <c r="L58" s="120">
        <f ca="1">+K58</f>
        <v>382.3020000000015</v>
      </c>
      <c r="M58" s="120">
        <f t="shared" ref="M58:Q58" ca="1" si="62">+L58</f>
        <v>382.3020000000015</v>
      </c>
      <c r="N58" s="120">
        <f t="shared" ca="1" si="62"/>
        <v>382.3020000000015</v>
      </c>
      <c r="O58" s="120">
        <f t="shared" ca="1" si="62"/>
        <v>382.3020000000015</v>
      </c>
      <c r="P58" s="120">
        <f t="shared" ca="1" si="62"/>
        <v>382.3020000000015</v>
      </c>
      <c r="Q58" s="120">
        <f t="shared" ca="1" si="62"/>
        <v>382.3020000000015</v>
      </c>
    </row>
    <row r="59" spans="2:17" ht="12.75" customHeight="1">
      <c r="B59" s="112" t="s">
        <v>5</v>
      </c>
      <c r="C59" s="112"/>
      <c r="J59" s="438">
        <f ca="1">'Balance Sheet'!H15</f>
        <v>5416.0060000000003</v>
      </c>
      <c r="K59" s="439">
        <f ca="1">'Balance Sheet'!I15</f>
        <v>7516.1540000000005</v>
      </c>
      <c r="L59" s="439">
        <f ca="1">+SUM(L52:L58)</f>
        <v>8056.1755386478826</v>
      </c>
      <c r="M59" s="439">
        <f t="shared" ref="M59:Q59" ca="1" si="63">+SUM(M52:M58)</f>
        <v>8513.3093135409836</v>
      </c>
      <c r="N59" s="439">
        <f t="shared" ca="1" si="63"/>
        <v>9008.6819231159971</v>
      </c>
      <c r="O59" s="439">
        <f t="shared" ca="1" si="63"/>
        <v>9544.6893992795121</v>
      </c>
      <c r="P59" s="439">
        <f t="shared" ca="1" si="63"/>
        <v>10124.648022051591</v>
      </c>
      <c r="Q59" s="439">
        <f t="shared" ca="1" si="63"/>
        <v>10752.165560672256</v>
      </c>
    </row>
    <row r="60" spans="2:17" ht="12.75" customHeight="1">
      <c r="J60" s="108"/>
      <c r="K60" s="108"/>
      <c r="L60" s="108"/>
      <c r="M60" s="108"/>
      <c r="N60" s="108"/>
      <c r="O60" s="108"/>
      <c r="P60" s="108"/>
      <c r="Q60" s="108"/>
    </row>
    <row r="61" spans="2:17" ht="12.75" customHeight="1">
      <c r="B61" s="101" t="s">
        <v>6</v>
      </c>
      <c r="C61" s="101"/>
      <c r="J61" s="333"/>
      <c r="K61" s="333"/>
      <c r="L61" s="333"/>
      <c r="M61" s="166"/>
      <c r="N61" s="166"/>
      <c r="O61" s="166"/>
      <c r="P61" s="166"/>
      <c r="Q61" s="166"/>
    </row>
    <row r="62" spans="2:17" ht="12.75" customHeight="1">
      <c r="B62" s="3" t="str">
        <f ca="1">+'Balance Sheet'!B18</f>
        <v>Short-Term Debt and Curr. Portion of Long-Term Debt</v>
      </c>
      <c r="J62" s="75">
        <f ca="1">'Balance Sheet'!H18</f>
        <v>0</v>
      </c>
      <c r="K62" s="75">
        <f ca="1">'Balance Sheet'!I18</f>
        <v>0</v>
      </c>
      <c r="L62" s="113">
        <f ca="1">M128</f>
        <v>5.4891300000000003</v>
      </c>
      <c r="M62" s="113">
        <f t="shared" ref="M62:Q62" ca="1" si="64">N128</f>
        <v>5.4891300000000003</v>
      </c>
      <c r="N62" s="113">
        <f t="shared" ca="1" si="64"/>
        <v>5.4891300000000003</v>
      </c>
      <c r="O62" s="113">
        <f t="shared" ca="1" si="64"/>
        <v>5.4891300000000003</v>
      </c>
      <c r="P62" s="113">
        <f t="shared" ca="1" si="64"/>
        <v>5.4891300000000003</v>
      </c>
      <c r="Q62" s="113">
        <f t="shared" ca="1" si="64"/>
        <v>0</v>
      </c>
    </row>
    <row r="63" spans="2:17" ht="12.75" customHeight="1">
      <c r="B63" s="3" t="str">
        <f ca="1">+'Balance Sheet'!B19</f>
        <v>Deposits</v>
      </c>
      <c r="J63" s="77">
        <f ca="1">'Balance Sheet'!H19</f>
        <v>4342.7979999999998</v>
      </c>
      <c r="K63" s="77">
        <f ca="1">'Balance Sheet'!I19</f>
        <v>5814.5690000000004</v>
      </c>
      <c r="L63" s="120">
        <f ca="1">+L208</f>
        <v>6279.7345200000009</v>
      </c>
      <c r="M63" s="120">
        <f t="shared" ref="M63:Q63" ca="1" si="65">+M208</f>
        <v>6656.5185912000015</v>
      </c>
      <c r="N63" s="120">
        <f t="shared" ca="1" si="65"/>
        <v>7055.9097066720024</v>
      </c>
      <c r="O63" s="120">
        <f t="shared" ca="1" si="65"/>
        <v>7479.2642890723228</v>
      </c>
      <c r="P63" s="120">
        <f t="shared" ca="1" si="65"/>
        <v>7928.0201464166621</v>
      </c>
      <c r="Q63" s="120">
        <f t="shared" ca="1" si="65"/>
        <v>8403.7013552016615</v>
      </c>
    </row>
    <row r="64" spans="2:17" ht="12.75" customHeight="1">
      <c r="B64" s="3" t="str">
        <f ca="1">+'Balance Sheet'!B20</f>
        <v>Long-Term Debt</v>
      </c>
      <c r="J64" s="102">
        <f ca="1">'Balance Sheet'!H20</f>
        <v>424.87799999999999</v>
      </c>
      <c r="K64" s="102">
        <f ca="1">'Balance Sheet'!I20</f>
        <v>610.673</v>
      </c>
      <c r="L64" s="55">
        <f ca="1">+L118-L62</f>
        <v>599.69473999999991</v>
      </c>
      <c r="M64" s="55">
        <f t="shared" ref="M64:Q64" ca="1" si="66">+M118-M62</f>
        <v>594.20560999999987</v>
      </c>
      <c r="N64" s="55">
        <f t="shared" ca="1" si="66"/>
        <v>588.71647999999993</v>
      </c>
      <c r="O64" s="55">
        <f t="shared" ca="1" si="66"/>
        <v>583.22734999999989</v>
      </c>
      <c r="P64" s="55">
        <f t="shared" ca="1" si="66"/>
        <v>577.73821999999996</v>
      </c>
      <c r="Q64" s="55">
        <f t="shared" ca="1" si="66"/>
        <v>577.73821999999996</v>
      </c>
    </row>
    <row r="65" spans="2:17" ht="12.75" customHeight="1">
      <c r="B65" s="179" t="str">
        <f ca="1">+'Balance Sheet'!B21</f>
        <v>Other Long-Term Liabilities</v>
      </c>
      <c r="C65" s="443"/>
      <c r="D65" s="4"/>
      <c r="E65" s="4"/>
      <c r="F65" s="4"/>
      <c r="G65" s="4"/>
      <c r="H65" s="4"/>
      <c r="I65" s="4"/>
      <c r="J65" s="55">
        <f ca="1">'Balance Sheet'!H21</f>
        <v>46.388999999999996</v>
      </c>
      <c r="K65" s="55">
        <f ca="1">'Balance Sheet'!I21</f>
        <v>51.554000000000002</v>
      </c>
      <c r="L65" s="55">
        <f ca="1">+K65</f>
        <v>51.554000000000002</v>
      </c>
      <c r="M65" s="55">
        <f t="shared" ref="M65:Q65" ca="1" si="67">+L65</f>
        <v>51.554000000000002</v>
      </c>
      <c r="N65" s="55">
        <f t="shared" ca="1" si="67"/>
        <v>51.554000000000002</v>
      </c>
      <c r="O65" s="55">
        <f t="shared" ca="1" si="67"/>
        <v>51.554000000000002</v>
      </c>
      <c r="P65" s="55">
        <f t="shared" ca="1" si="67"/>
        <v>51.554000000000002</v>
      </c>
      <c r="Q65" s="55">
        <f t="shared" ca="1" si="67"/>
        <v>51.554000000000002</v>
      </c>
    </row>
    <row r="66" spans="2:17" ht="12.75" customHeight="1">
      <c r="B66" s="3" t="str">
        <f ca="1">+'Balance Sheet'!B22</f>
        <v>Minority Interest</v>
      </c>
      <c r="J66" s="77">
        <f ca="1">'Balance Sheet'!H22</f>
        <v>0</v>
      </c>
      <c r="K66" s="77">
        <f ca="1">'Balance Sheet'!I22</f>
        <v>0</v>
      </c>
      <c r="L66" s="120">
        <v>0</v>
      </c>
      <c r="M66" s="120">
        <v>0</v>
      </c>
      <c r="N66" s="120">
        <v>0</v>
      </c>
      <c r="O66" s="120">
        <v>0</v>
      </c>
      <c r="P66" s="120">
        <v>0</v>
      </c>
      <c r="Q66" s="120">
        <v>0</v>
      </c>
    </row>
    <row r="67" spans="2:17" ht="12.75" customHeight="1">
      <c r="B67" s="3" t="str">
        <f ca="1">+'Balance Sheet'!B23</f>
        <v>Preferred Stock</v>
      </c>
      <c r="J67" s="77">
        <f ca="1">'Balance Sheet'!H23</f>
        <v>0</v>
      </c>
      <c r="K67" s="77">
        <f ca="1">'Balance Sheet'!I23</f>
        <v>0</v>
      </c>
      <c r="L67" s="120">
        <f t="shared" ref="L67:P67" ca="1" si="68">K67</f>
        <v>0</v>
      </c>
      <c r="M67" s="120">
        <f t="shared" ca="1" si="68"/>
        <v>0</v>
      </c>
      <c r="N67" s="120">
        <f t="shared" ca="1" si="68"/>
        <v>0</v>
      </c>
      <c r="O67" s="120">
        <f t="shared" ca="1" si="68"/>
        <v>0</v>
      </c>
      <c r="P67" s="120">
        <f t="shared" ca="1" si="68"/>
        <v>0</v>
      </c>
      <c r="Q67" s="120">
        <f ca="1">P67</f>
        <v>0</v>
      </c>
    </row>
    <row r="68" spans="2:17" ht="12.75" customHeight="1">
      <c r="B68" s="3" t="str">
        <f ca="1">+'Balance Sheet'!B24</f>
        <v>Shareholders' Equity</v>
      </c>
      <c r="J68" s="77">
        <f ca="1">'Balance Sheet'!H24</f>
        <v>601.94100000000003</v>
      </c>
      <c r="K68" s="77">
        <f ca="1">'Balance Sheet'!I24</f>
        <v>1039.3579999999999</v>
      </c>
      <c r="L68" s="120">
        <f ca="1">K68+L19+L90+L79</f>
        <v>1119.7031486478818</v>
      </c>
      <c r="M68" s="120">
        <f t="shared" ref="M68:Q68" ca="1" si="69">L68+M19+M90+M79</f>
        <v>1205.5419823409825</v>
      </c>
      <c r="N68" s="120">
        <f t="shared" ca="1" si="69"/>
        <v>1307.0126064439962</v>
      </c>
      <c r="O68" s="120">
        <f t="shared" ca="1" si="69"/>
        <v>1425.1546302071908</v>
      </c>
      <c r="P68" s="120">
        <f t="shared" ca="1" si="69"/>
        <v>1561.8465256349307</v>
      </c>
      <c r="Q68" s="120">
        <f t="shared" ca="1" si="69"/>
        <v>1719.1719854705955</v>
      </c>
    </row>
    <row r="69" spans="2:17" ht="12.75" customHeight="1">
      <c r="B69" s="112" t="s">
        <v>74</v>
      </c>
      <c r="C69" s="112"/>
      <c r="J69" s="288">
        <f ca="1">'Balance Sheet'!H25</f>
        <v>5416.0059999999994</v>
      </c>
      <c r="K69" s="289">
        <f ca="1">'Balance Sheet'!I25</f>
        <v>7516.1540000000005</v>
      </c>
      <c r="L69" s="289">
        <f ca="1">+SUM(L62:L68)</f>
        <v>8056.1755386478826</v>
      </c>
      <c r="M69" s="289">
        <f t="shared" ref="M69:Q69" ca="1" si="70">+SUM(M62:M68)</f>
        <v>8513.3093135409836</v>
      </c>
      <c r="N69" s="289">
        <f t="shared" ca="1" si="70"/>
        <v>9008.6819231159989</v>
      </c>
      <c r="O69" s="289">
        <f t="shared" ca="1" si="70"/>
        <v>9544.689399279514</v>
      </c>
      <c r="P69" s="289">
        <f t="shared" ca="1" si="70"/>
        <v>10124.648022051591</v>
      </c>
      <c r="Q69" s="289">
        <f t="shared" ca="1" si="70"/>
        <v>10752.165560672256</v>
      </c>
    </row>
    <row r="70" spans="2:17" ht="12.75" customHeight="1">
      <c r="J70" s="108"/>
      <c r="K70" s="108"/>
      <c r="L70" s="108"/>
      <c r="M70" s="108"/>
      <c r="N70" s="108"/>
      <c r="O70" s="108"/>
      <c r="P70" s="108"/>
      <c r="Q70" s="108"/>
    </row>
    <row r="71" spans="2:17" ht="12.75" customHeight="1">
      <c r="B71" s="3" t="s">
        <v>1</v>
      </c>
      <c r="J71" s="55">
        <f t="shared" ref="J71:Q71" ca="1" si="71">J59-J69</f>
        <v>0</v>
      </c>
      <c r="K71" s="55">
        <f t="shared" ca="1" si="71"/>
        <v>0</v>
      </c>
      <c r="L71" s="55">
        <f t="shared" ca="1" si="71"/>
        <v>0</v>
      </c>
      <c r="M71" s="55">
        <f t="shared" ca="1" si="71"/>
        <v>0</v>
      </c>
      <c r="N71" s="55">
        <f t="shared" ca="1" si="71"/>
        <v>0</v>
      </c>
      <c r="O71" s="55">
        <f t="shared" ca="1" si="71"/>
        <v>0</v>
      </c>
      <c r="P71" s="55">
        <f t="shared" ca="1" si="71"/>
        <v>0</v>
      </c>
      <c r="Q71" s="55">
        <f t="shared" ca="1" si="71"/>
        <v>0</v>
      </c>
    </row>
    <row r="72" spans="2:17" ht="12.75" customHeight="1">
      <c r="J72" s="55"/>
      <c r="K72" s="55"/>
      <c r="L72" s="55"/>
      <c r="M72" s="55"/>
      <c r="N72" s="55"/>
      <c r="O72" s="55"/>
      <c r="P72" s="55"/>
      <c r="Q72" s="55"/>
    </row>
    <row r="73" spans="2:17" ht="12.75" customHeight="1">
      <c r="J73" s="316"/>
      <c r="K73" s="316"/>
      <c r="L73" s="316"/>
      <c r="M73" s="316"/>
      <c r="N73" s="316"/>
      <c r="O73" s="316"/>
      <c r="P73" s="316"/>
      <c r="Q73" s="316"/>
    </row>
    <row r="74" spans="2:17" ht="16" customHeight="1" thickBot="1">
      <c r="B74" s="277" t="s">
        <v>42</v>
      </c>
      <c r="C74" s="277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9"/>
      <c r="Q74" s="279"/>
    </row>
    <row r="75" spans="2:17" ht="15" customHeight="1">
      <c r="B75" s="268" t="str">
        <f ca="1">$B$7</f>
        <v>Fiscal Year Ended December 31,</v>
      </c>
      <c r="C75" s="268"/>
      <c r="D75" s="268"/>
      <c r="E75" s="268"/>
      <c r="F75" s="268"/>
      <c r="G75" s="268"/>
      <c r="H75" s="268"/>
      <c r="I75" s="297"/>
      <c r="J75" s="297"/>
      <c r="K75" s="331"/>
      <c r="L75" s="332">
        <f t="shared" ref="L75:Q75" ca="1" si="72">L7</f>
        <v>2019</v>
      </c>
      <c r="M75" s="298">
        <f t="shared" ca="1" si="72"/>
        <v>2020</v>
      </c>
      <c r="N75" s="298">
        <f t="shared" ca="1" si="72"/>
        <v>2021</v>
      </c>
      <c r="O75" s="298">
        <f t="shared" ca="1" si="72"/>
        <v>2022</v>
      </c>
      <c r="P75" s="298">
        <f t="shared" ca="1" si="72"/>
        <v>2023</v>
      </c>
      <c r="Q75" s="298">
        <f t="shared" ca="1" si="72"/>
        <v>2024</v>
      </c>
    </row>
    <row r="76" spans="2:17" ht="15" customHeight="1">
      <c r="B76" s="3" t="s">
        <v>12</v>
      </c>
      <c r="L76" s="283">
        <f ca="1">+L19</f>
        <v>110.92057970617137</v>
      </c>
      <c r="M76" s="283">
        <f t="shared" ref="M76:Q76" ca="1" si="73">+M19</f>
        <v>116.23386974535367</v>
      </c>
      <c r="N76" s="283">
        <f t="shared" ca="1" si="73"/>
        <v>131.45756376049223</v>
      </c>
      <c r="O76" s="283">
        <f t="shared" ca="1" si="73"/>
        <v>147.68005738642091</v>
      </c>
      <c r="P76" s="283">
        <f t="shared" ca="1" si="73"/>
        <v>165.73613241328869</v>
      </c>
      <c r="Q76" s="283">
        <f t="shared" ca="1" si="73"/>
        <v>185.82652051976856</v>
      </c>
    </row>
    <row r="77" spans="2:17" s="14" customFormat="1">
      <c r="B77" s="9" t="s">
        <v>205</v>
      </c>
      <c r="C77" s="9"/>
      <c r="D77" s="9"/>
      <c r="E77" s="9"/>
      <c r="F77" s="9"/>
      <c r="G77" s="9"/>
      <c r="H77" s="9"/>
      <c r="I77" s="9"/>
      <c r="J77" s="9"/>
      <c r="K77" s="9"/>
      <c r="L77" s="31">
        <f t="shared" ref="L77:Q77" ca="1" si="74">L201-L78</f>
        <v>9.730187165195515</v>
      </c>
      <c r="M77" s="31">
        <f t="shared" ca="1" si="74"/>
        <v>10.180192587130495</v>
      </c>
      <c r="N77" s="31">
        <f t="shared" ca="1" si="74"/>
        <v>11.198211845843545</v>
      </c>
      <c r="O77" s="31">
        <f t="shared" ca="1" si="74"/>
        <v>12.3180330304279</v>
      </c>
      <c r="P77" s="31">
        <f t="shared" ca="1" si="74"/>
        <v>13.54983633347069</v>
      </c>
      <c r="Q77" s="31">
        <f t="shared" ca="1" si="74"/>
        <v>14.90481996681776</v>
      </c>
    </row>
    <row r="78" spans="2:17">
      <c r="B78" s="3" t="s">
        <v>128</v>
      </c>
      <c r="L78" s="263">
        <v>0</v>
      </c>
      <c r="M78" s="263">
        <v>0</v>
      </c>
      <c r="N78" s="263">
        <v>0</v>
      </c>
      <c r="O78" s="263">
        <v>0</v>
      </c>
      <c r="P78" s="263">
        <v>0</v>
      </c>
      <c r="Q78" s="263">
        <v>0</v>
      </c>
    </row>
    <row r="79" spans="2:17" s="14" customFormat="1">
      <c r="B79" s="9" t="s">
        <v>245</v>
      </c>
      <c r="C79" s="9"/>
      <c r="D79" s="9"/>
      <c r="E79" s="9"/>
      <c r="F79" s="9"/>
      <c r="G79" s="9"/>
      <c r="H79" s="9"/>
      <c r="I79" s="9"/>
      <c r="J79" s="9"/>
      <c r="K79" s="9"/>
      <c r="L79" s="31">
        <f t="shared" ref="L79:Q79" ca="1" si="75">+-L11</f>
        <v>3.9005689417105844</v>
      </c>
      <c r="M79" s="31">
        <f t="shared" ca="1" si="75"/>
        <v>4.080963947747005</v>
      </c>
      <c r="N79" s="31">
        <f t="shared" ca="1" si="75"/>
        <v>4.4890603425217064</v>
      </c>
      <c r="O79" s="31">
        <f t="shared" ca="1" si="75"/>
        <v>4.9379663767738773</v>
      </c>
      <c r="P79" s="31">
        <f t="shared" ca="1" si="75"/>
        <v>5.4317630144512652</v>
      </c>
      <c r="Q79" s="31">
        <f t="shared" ca="1" si="75"/>
        <v>5.9749393158963917</v>
      </c>
    </row>
    <row r="80" spans="2:17">
      <c r="B80" s="4" t="s">
        <v>273</v>
      </c>
      <c r="C80" s="4"/>
      <c r="D80" s="4"/>
      <c r="E80" s="4"/>
      <c r="F80" s="4"/>
      <c r="G80" s="4"/>
      <c r="H80" s="4"/>
      <c r="I80" s="4"/>
      <c r="J80" s="4"/>
      <c r="K80" s="4"/>
      <c r="L80" s="15">
        <f t="shared" ref="L80:Q80" ca="1" si="76">+-(L54-K54)</f>
        <v>-2.0148023955742751</v>
      </c>
      <c r="M80" s="15">
        <f t="shared" ca="1" si="76"/>
        <v>-1.0037657640902715</v>
      </c>
      <c r="N80" s="15">
        <f t="shared" ca="1" si="76"/>
        <v>-2.2707568159664575</v>
      </c>
      <c r="O80" s="15">
        <f t="shared" ca="1" si="76"/>
        <v>-2.4978324975631025</v>
      </c>
      <c r="P80" s="15">
        <f t="shared" ca="1" si="76"/>
        <v>-2.7476157473194114</v>
      </c>
      <c r="Q80" s="15">
        <f t="shared" ca="1" si="76"/>
        <v>-3.0223773220513515</v>
      </c>
    </row>
    <row r="81" spans="2:26" ht="12.75" customHeight="1">
      <c r="B81" s="335" t="s">
        <v>125</v>
      </c>
      <c r="C81" s="335"/>
      <c r="L81" s="319">
        <f t="shared" ref="L81:Q81" ca="1" si="77">SUM(L76:L80)</f>
        <v>122.53653341750319</v>
      </c>
      <c r="M81" s="320">
        <f t="shared" ca="1" si="77"/>
        <v>129.4912605161409</v>
      </c>
      <c r="N81" s="320">
        <f t="shared" ca="1" si="77"/>
        <v>144.87407913289104</v>
      </c>
      <c r="O81" s="320">
        <f t="shared" ca="1" si="77"/>
        <v>162.43822429605959</v>
      </c>
      <c r="P81" s="321">
        <f t="shared" ca="1" si="77"/>
        <v>181.97011601389124</v>
      </c>
      <c r="Q81" s="321">
        <f t="shared" ca="1" si="77"/>
        <v>203.68390248043139</v>
      </c>
    </row>
    <row r="82" spans="2:26" ht="12.75" customHeight="1">
      <c r="L82" s="371"/>
      <c r="M82" s="371"/>
      <c r="N82" s="371"/>
      <c r="O82" s="371"/>
      <c r="P82" s="371"/>
      <c r="Q82" s="371"/>
    </row>
    <row r="83" spans="2:26" ht="12.75" customHeight="1">
      <c r="B83" s="3" t="s">
        <v>39</v>
      </c>
      <c r="L83" s="31">
        <f t="shared" ref="L83:Q83" ca="1" si="78">-L198</f>
        <v>-12.838348261727646</v>
      </c>
      <c r="M83" s="31">
        <f t="shared" ca="1" si="78"/>
        <v>-13.43210110824351</v>
      </c>
      <c r="N83" s="31">
        <f t="shared" ca="1" si="78"/>
        <v>-14.775311219067863</v>
      </c>
      <c r="O83" s="31">
        <f t="shared" ca="1" si="78"/>
        <v>-16.252842340974649</v>
      </c>
      <c r="P83" s="31">
        <f t="shared" ca="1" si="78"/>
        <v>-17.878126575072116</v>
      </c>
      <c r="Q83" s="31">
        <f t="shared" ca="1" si="78"/>
        <v>-19.665939232579326</v>
      </c>
    </row>
    <row r="84" spans="2:26" ht="12.75" customHeight="1">
      <c r="B84" s="3" t="s">
        <v>265</v>
      </c>
      <c r="L84" s="31">
        <f t="shared" ref="L84:Q84" ca="1" si="79">+K53-L53</f>
        <v>-599.69161408284526</v>
      </c>
      <c r="M84" s="31">
        <f t="shared" ca="1" si="79"/>
        <v>-161.61135583889973</v>
      </c>
      <c r="N84" s="31">
        <f t="shared" ca="1" si="79"/>
        <v>-552.17465873675792</v>
      </c>
      <c r="O84" s="31">
        <f t="shared" ca="1" si="79"/>
        <v>-598.10601183459585</v>
      </c>
      <c r="P84" s="31">
        <f t="shared" ca="1" si="79"/>
        <v>-647.95622716475373</v>
      </c>
      <c r="Q84" s="31">
        <f t="shared" ca="1" si="79"/>
        <v>-702.06990768749529</v>
      </c>
    </row>
    <row r="85" spans="2:26" ht="12.75" customHeight="1">
      <c r="B85" s="3" t="s">
        <v>204</v>
      </c>
      <c r="L85" s="290">
        <v>0</v>
      </c>
      <c r="M85" s="290">
        <v>0</v>
      </c>
      <c r="N85" s="290">
        <v>0</v>
      </c>
      <c r="O85" s="290">
        <v>0</v>
      </c>
      <c r="P85" s="290">
        <v>0</v>
      </c>
      <c r="Q85" s="290">
        <v>0</v>
      </c>
    </row>
    <row r="86" spans="2:26" ht="12.75" customHeight="1">
      <c r="B86" s="293" t="s">
        <v>126</v>
      </c>
      <c r="C86" s="293"/>
      <c r="D86" s="159"/>
      <c r="E86" s="159"/>
      <c r="F86" s="159"/>
      <c r="G86" s="159"/>
      <c r="H86" s="159"/>
      <c r="I86" s="159"/>
      <c r="J86" s="159"/>
      <c r="K86" s="159"/>
      <c r="L86" s="319">
        <f t="shared" ref="L86:Q86" ca="1" si="80">SUM(L83:L85)</f>
        <v>-612.52996234457294</v>
      </c>
      <c r="M86" s="318">
        <f t="shared" ca="1" si="80"/>
        <v>-175.04345694714323</v>
      </c>
      <c r="N86" s="318">
        <f t="shared" ca="1" si="80"/>
        <v>-566.94996995582574</v>
      </c>
      <c r="O86" s="318">
        <f t="shared" ca="1" si="80"/>
        <v>-614.35885417557051</v>
      </c>
      <c r="P86" s="261">
        <f t="shared" ca="1" si="80"/>
        <v>-665.83435373982581</v>
      </c>
      <c r="Q86" s="261">
        <f t="shared" ca="1" si="80"/>
        <v>-721.73584692007466</v>
      </c>
      <c r="S86" s="450"/>
      <c r="T86" s="450"/>
      <c r="U86" s="450"/>
      <c r="V86" s="450"/>
      <c r="W86" s="450"/>
      <c r="X86" s="450"/>
      <c r="Y86" s="450"/>
      <c r="Z86" s="450"/>
    </row>
    <row r="87" spans="2:26" ht="12.75" customHeight="1">
      <c r="B87" s="112"/>
      <c r="C87" s="112"/>
      <c r="L87" s="31"/>
      <c r="M87" s="120"/>
      <c r="N87" s="120"/>
      <c r="O87" s="120"/>
      <c r="P87" s="120"/>
      <c r="Q87" s="120"/>
    </row>
    <row r="88" spans="2:26" ht="12.75" customHeight="1">
      <c r="B88" s="3" t="s">
        <v>59</v>
      </c>
      <c r="L88" s="31">
        <f t="shared" ref="L88:Q88" ca="1" si="81">-L128</f>
        <v>-5.4891300000000003</v>
      </c>
      <c r="M88" s="120">
        <f t="shared" ca="1" si="81"/>
        <v>-5.4891300000000003</v>
      </c>
      <c r="N88" s="120">
        <f t="shared" ca="1" si="81"/>
        <v>-5.4891300000000003</v>
      </c>
      <c r="O88" s="120">
        <f t="shared" ca="1" si="81"/>
        <v>-5.4891300000000003</v>
      </c>
      <c r="P88" s="120">
        <f t="shared" ca="1" si="81"/>
        <v>-5.4891300000000003</v>
      </c>
      <c r="Q88" s="120">
        <f t="shared" ca="1" si="81"/>
        <v>-5.4891300000000003</v>
      </c>
    </row>
    <row r="89" spans="2:26" ht="12.75" customHeight="1">
      <c r="B89" s="3" t="s">
        <v>274</v>
      </c>
      <c r="L89" s="31">
        <f t="shared" ref="L89:Q89" ca="1" si="82">+L63-K63</f>
        <v>465.16552000000047</v>
      </c>
      <c r="M89" s="31">
        <f t="shared" ca="1" si="82"/>
        <v>376.78407120000065</v>
      </c>
      <c r="N89" s="31">
        <f t="shared" ca="1" si="82"/>
        <v>399.39111547200082</v>
      </c>
      <c r="O89" s="31">
        <f t="shared" ca="1" si="82"/>
        <v>423.3545824003204</v>
      </c>
      <c r="P89" s="31">
        <f t="shared" ca="1" si="82"/>
        <v>448.75585734433935</v>
      </c>
      <c r="Q89" s="31">
        <f t="shared" ca="1" si="82"/>
        <v>475.6812087849994</v>
      </c>
      <c r="S89" s="451"/>
    </row>
    <row r="90" spans="2:26" ht="12.75" customHeight="1">
      <c r="B90" s="3" t="s">
        <v>202</v>
      </c>
      <c r="F90" s="294">
        <f ca="1">'Spread Cover'!J19</f>
        <v>0.68</v>
      </c>
      <c r="G90" s="3" t="s">
        <v>58</v>
      </c>
      <c r="L90" s="31">
        <f t="shared" ref="L90:Q90" ca="1" si="83">-$F90*L194</f>
        <v>-34.476000000000006</v>
      </c>
      <c r="M90" s="31">
        <f t="shared" ca="1" si="83"/>
        <v>-34.476000000000006</v>
      </c>
      <c r="N90" s="31">
        <f t="shared" ca="1" si="83"/>
        <v>-34.476000000000006</v>
      </c>
      <c r="O90" s="31">
        <f t="shared" ca="1" si="83"/>
        <v>-34.476000000000006</v>
      </c>
      <c r="P90" s="31">
        <f t="shared" ca="1" si="83"/>
        <v>-34.476000000000006</v>
      </c>
      <c r="Q90" s="31">
        <f t="shared" ca="1" si="83"/>
        <v>-34.476000000000006</v>
      </c>
    </row>
    <row r="91" spans="2:26" ht="12.75" customHeight="1">
      <c r="B91" s="3" t="s">
        <v>19</v>
      </c>
      <c r="L91" s="31">
        <f t="shared" ref="L91:Q91" ca="1" si="84">-L182</f>
        <v>0</v>
      </c>
      <c r="M91" s="31">
        <f t="shared" ca="1" si="84"/>
        <v>0</v>
      </c>
      <c r="N91" s="31">
        <f t="shared" ca="1" si="84"/>
        <v>0</v>
      </c>
      <c r="O91" s="31">
        <f t="shared" ca="1" si="84"/>
        <v>0</v>
      </c>
      <c r="P91" s="31">
        <f t="shared" ca="1" si="84"/>
        <v>0</v>
      </c>
      <c r="Q91" s="31">
        <f t="shared" ca="1" si="84"/>
        <v>0</v>
      </c>
    </row>
    <row r="92" spans="2:26" ht="12.75" customHeight="1">
      <c r="B92" s="3" t="s">
        <v>137</v>
      </c>
      <c r="F92" s="322">
        <v>10</v>
      </c>
      <c r="G92" s="119" t="s">
        <v>57</v>
      </c>
      <c r="H92" s="119"/>
      <c r="I92" s="4"/>
      <c r="L92" s="272">
        <f t="shared" ref="L92:Q92" ca="1" si="85">L110</f>
        <v>0</v>
      </c>
      <c r="M92" s="272">
        <f t="shared" ca="1" si="85"/>
        <v>0</v>
      </c>
      <c r="N92" s="272">
        <f t="shared" ca="1" si="85"/>
        <v>0</v>
      </c>
      <c r="O92" s="272">
        <f t="shared" ca="1" si="85"/>
        <v>0</v>
      </c>
      <c r="P92" s="272">
        <f t="shared" ca="1" si="85"/>
        <v>0</v>
      </c>
      <c r="Q92" s="272">
        <f t="shared" ca="1" si="85"/>
        <v>0</v>
      </c>
      <c r="R92" s="314"/>
    </row>
    <row r="93" spans="2:26" ht="12.75" customHeight="1">
      <c r="B93" s="293" t="s">
        <v>127</v>
      </c>
      <c r="C93" s="293"/>
      <c r="I93" s="322"/>
      <c r="L93" s="319">
        <f t="shared" ref="L93:Q93" ca="1" si="86">SUM(L88:L92)</f>
        <v>425.20039000000048</v>
      </c>
      <c r="M93" s="319">
        <f t="shared" ca="1" si="86"/>
        <v>336.81894120000067</v>
      </c>
      <c r="N93" s="319">
        <f t="shared" ca="1" si="86"/>
        <v>359.42598547200083</v>
      </c>
      <c r="O93" s="319">
        <f t="shared" ca="1" si="86"/>
        <v>383.38945240032041</v>
      </c>
      <c r="P93" s="319">
        <f t="shared" ca="1" si="86"/>
        <v>408.79072734433936</v>
      </c>
      <c r="Q93" s="319">
        <f t="shared" ca="1" si="86"/>
        <v>435.71607878499941</v>
      </c>
    </row>
    <row r="94" spans="2:26" ht="12.75" customHeight="1">
      <c r="I94" s="322"/>
      <c r="L94" s="15"/>
      <c r="M94" s="55"/>
      <c r="N94" s="55"/>
      <c r="O94" s="55"/>
      <c r="P94" s="55"/>
      <c r="Q94" s="55"/>
    </row>
    <row r="95" spans="2:26" ht="12.75" customHeight="1">
      <c r="B95" s="3" t="s">
        <v>169</v>
      </c>
      <c r="L95" s="31">
        <f t="shared" ref="L95:Q95" ca="1" si="87">L81+L86+L93</f>
        <v>-64.79303892706929</v>
      </c>
      <c r="M95" s="31">
        <f t="shared" ca="1" si="87"/>
        <v>291.26674476899836</v>
      </c>
      <c r="N95" s="31">
        <f t="shared" ca="1" si="87"/>
        <v>-62.649905350933864</v>
      </c>
      <c r="O95" s="31">
        <f t="shared" ca="1" si="87"/>
        <v>-68.53117747919049</v>
      </c>
      <c r="P95" s="31">
        <f t="shared" ca="1" si="87"/>
        <v>-75.073510381595213</v>
      </c>
      <c r="Q95" s="31">
        <f t="shared" ca="1" si="87"/>
        <v>-82.335865654643897</v>
      </c>
    </row>
    <row r="96" spans="2:26" ht="12.75" customHeight="1">
      <c r="L96" s="31"/>
      <c r="M96" s="120"/>
      <c r="N96" s="120"/>
      <c r="O96" s="120"/>
      <c r="P96" s="120"/>
      <c r="Q96" s="120"/>
    </row>
    <row r="97" spans="2:17" ht="12.75" customHeight="1">
      <c r="B97" s="3" t="s">
        <v>51</v>
      </c>
      <c r="L97" s="272">
        <f t="shared" ref="L97:Q97" ca="1" si="88">K52</f>
        <v>120.792</v>
      </c>
      <c r="M97" s="208">
        <f t="shared" ca="1" si="88"/>
        <v>55.998961072930712</v>
      </c>
      <c r="N97" s="208">
        <f t="shared" ca="1" si="88"/>
        <v>347.26570584192905</v>
      </c>
      <c r="O97" s="208">
        <f t="shared" ca="1" si="88"/>
        <v>284.61580049099518</v>
      </c>
      <c r="P97" s="208">
        <f t="shared" ca="1" si="88"/>
        <v>216.08462301180469</v>
      </c>
      <c r="Q97" s="208">
        <f t="shared" ca="1" si="88"/>
        <v>141.01111263020948</v>
      </c>
    </row>
    <row r="98" spans="2:17" ht="12.75" customHeight="1">
      <c r="B98" s="3" t="s">
        <v>20</v>
      </c>
      <c r="L98" s="337">
        <f t="shared" ref="L98:Q98" ca="1" si="89">L97+L95</f>
        <v>55.998961072930712</v>
      </c>
      <c r="M98" s="337">
        <f t="shared" ca="1" si="89"/>
        <v>347.26570584192905</v>
      </c>
      <c r="N98" s="337">
        <f t="shared" ca="1" si="89"/>
        <v>284.61580049099518</v>
      </c>
      <c r="O98" s="337">
        <f t="shared" ca="1" si="89"/>
        <v>216.08462301180469</v>
      </c>
      <c r="P98" s="337">
        <f t="shared" ca="1" si="89"/>
        <v>141.01111263020948</v>
      </c>
      <c r="Q98" s="337">
        <f t="shared" ca="1" si="89"/>
        <v>58.675246975565585</v>
      </c>
    </row>
    <row r="99" spans="2:17" ht="12.75" customHeight="1">
      <c r="L99" s="55"/>
      <c r="M99" s="55"/>
      <c r="N99" s="55"/>
      <c r="O99" s="55"/>
      <c r="P99" s="55"/>
      <c r="Q99" s="55"/>
    </row>
    <row r="100" spans="2:17" s="14" customFormat="1" ht="12.75" customHeight="1">
      <c r="B100" s="9" t="s">
        <v>21</v>
      </c>
      <c r="C100" s="9"/>
      <c r="D100" s="9"/>
      <c r="E100" s="9"/>
      <c r="F100" s="9"/>
      <c r="G100" s="9"/>
      <c r="H100" s="9"/>
      <c r="I100" s="9"/>
      <c r="J100" s="9"/>
      <c r="K100" s="9"/>
      <c r="L100" s="31">
        <f t="shared" ref="L100:Q100" ca="1" si="90">L106</f>
        <v>0</v>
      </c>
      <c r="M100" s="31">
        <f t="shared" ca="1" si="90"/>
        <v>0</v>
      </c>
      <c r="N100" s="31">
        <f t="shared" ca="1" si="90"/>
        <v>0</v>
      </c>
      <c r="O100" s="31">
        <f t="shared" ca="1" si="90"/>
        <v>0</v>
      </c>
      <c r="P100" s="31">
        <f t="shared" ca="1" si="90"/>
        <v>0</v>
      </c>
      <c r="Q100" s="31">
        <f t="shared" ca="1" si="90"/>
        <v>0</v>
      </c>
    </row>
    <row r="101" spans="2:17" s="14" customFormat="1" ht="12.75" customHeight="1">
      <c r="B101" s="9" t="s">
        <v>22</v>
      </c>
      <c r="C101" s="9"/>
      <c r="D101" s="9"/>
      <c r="E101" s="9"/>
      <c r="F101" s="9"/>
      <c r="G101" s="9"/>
      <c r="H101" s="9"/>
      <c r="I101" s="9"/>
      <c r="J101" s="9"/>
      <c r="K101" s="9"/>
      <c r="L101" s="31">
        <f t="shared" ref="L101:Q101" ca="1" si="91">L111</f>
        <v>0</v>
      </c>
      <c r="M101" s="31">
        <f t="shared" ca="1" si="91"/>
        <v>0</v>
      </c>
      <c r="N101" s="31">
        <f t="shared" ca="1" si="91"/>
        <v>0</v>
      </c>
      <c r="O101" s="31">
        <f t="shared" ca="1" si="91"/>
        <v>0</v>
      </c>
      <c r="P101" s="31">
        <f t="shared" ca="1" si="91"/>
        <v>0</v>
      </c>
      <c r="Q101" s="31">
        <f t="shared" ca="1" si="91"/>
        <v>0</v>
      </c>
    </row>
    <row r="102" spans="2:17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2:17" ht="16" customHeight="1" thickBot="1">
      <c r="B103" s="277" t="s">
        <v>98</v>
      </c>
      <c r="C103" s="277"/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9"/>
      <c r="Q103" s="279"/>
    </row>
    <row r="104" spans="2:17" ht="15" customHeight="1">
      <c r="B104" s="268" t="str">
        <f ca="1">$B$7</f>
        <v>Fiscal Year Ended December 31,</v>
      </c>
      <c r="C104" s="268"/>
      <c r="D104" s="268"/>
      <c r="E104" s="268"/>
      <c r="F104" s="268"/>
      <c r="G104" s="268"/>
      <c r="H104" s="268"/>
      <c r="I104" s="297"/>
      <c r="J104" s="297"/>
      <c r="K104" s="331">
        <f t="shared" ref="K104:Q104" ca="1" si="92">K7</f>
        <v>2018</v>
      </c>
      <c r="L104" s="332">
        <f t="shared" ca="1" si="92"/>
        <v>2019</v>
      </c>
      <c r="M104" s="298">
        <f t="shared" ca="1" si="92"/>
        <v>2020</v>
      </c>
      <c r="N104" s="298">
        <f t="shared" ca="1" si="92"/>
        <v>2021</v>
      </c>
      <c r="O104" s="298">
        <f t="shared" ca="1" si="92"/>
        <v>2022</v>
      </c>
      <c r="P104" s="298">
        <f t="shared" ca="1" si="92"/>
        <v>2023</v>
      </c>
      <c r="Q104" s="298">
        <f t="shared" ca="1" si="92"/>
        <v>2024</v>
      </c>
    </row>
    <row r="105" spans="2:17" s="14" customFormat="1" ht="15" customHeight="1">
      <c r="B105" s="211" t="s">
        <v>137</v>
      </c>
      <c r="C105" s="211"/>
      <c r="D105" s="9"/>
      <c r="E105" s="9"/>
      <c r="F105" s="9"/>
      <c r="G105" s="9"/>
      <c r="H105" s="9"/>
      <c r="I105" s="19"/>
      <c r="J105" s="19"/>
      <c r="K105" s="19"/>
      <c r="L105" s="19"/>
      <c r="M105" s="19"/>
      <c r="N105" s="19"/>
      <c r="O105" s="19"/>
      <c r="P105" s="19"/>
      <c r="Q105" s="19"/>
    </row>
    <row r="106" spans="2:17" s="14" customFormat="1" ht="12.75" customHeight="1">
      <c r="B106" s="9" t="s">
        <v>131</v>
      </c>
      <c r="C106" s="211"/>
      <c r="D106" s="9"/>
      <c r="E106" s="9"/>
      <c r="F106" s="9"/>
      <c r="G106" s="9"/>
      <c r="H106" s="9"/>
      <c r="I106" s="19"/>
      <c r="J106" s="19"/>
      <c r="L106" s="265">
        <f ca="1">K114</f>
        <v>0</v>
      </c>
      <c r="M106" s="265">
        <f ca="1">L111</f>
        <v>0</v>
      </c>
      <c r="N106" s="265">
        <f ca="1">M111</f>
        <v>0</v>
      </c>
      <c r="O106" s="265">
        <f ca="1">N111</f>
        <v>0</v>
      </c>
      <c r="P106" s="265">
        <f ca="1">O111</f>
        <v>0</v>
      </c>
      <c r="Q106" s="265">
        <f ca="1">P111</f>
        <v>0</v>
      </c>
    </row>
    <row r="107" spans="2:17" s="14" customFormat="1" ht="12.75" customHeight="1">
      <c r="B107" s="9" t="s">
        <v>132</v>
      </c>
      <c r="C107" s="211"/>
      <c r="D107" s="9"/>
      <c r="E107" s="9"/>
      <c r="F107" s="9"/>
      <c r="G107" s="9"/>
      <c r="H107" s="9"/>
      <c r="I107" s="19"/>
      <c r="J107" s="19"/>
      <c r="K107" s="336"/>
      <c r="L107" s="23">
        <f t="shared" ref="L107:Q107" ca="1" si="93">L97</f>
        <v>120.792</v>
      </c>
      <c r="M107" s="23">
        <f t="shared" ca="1" si="93"/>
        <v>55.998961072930712</v>
      </c>
      <c r="N107" s="23">
        <f t="shared" ca="1" si="93"/>
        <v>347.26570584192905</v>
      </c>
      <c r="O107" s="23">
        <f t="shared" ca="1" si="93"/>
        <v>284.61580049099518</v>
      </c>
      <c r="P107" s="23">
        <f t="shared" ca="1" si="93"/>
        <v>216.08462301180469</v>
      </c>
      <c r="Q107" s="23">
        <f t="shared" ca="1" si="93"/>
        <v>141.01111263020948</v>
      </c>
    </row>
    <row r="108" spans="2:17" s="14" customFormat="1" ht="12.75" customHeight="1">
      <c r="B108" s="9" t="s">
        <v>133</v>
      </c>
      <c r="C108" s="211"/>
      <c r="D108" s="9"/>
      <c r="E108" s="9"/>
      <c r="F108" s="9"/>
      <c r="G108" s="9"/>
      <c r="H108" s="9"/>
      <c r="I108" s="19"/>
      <c r="J108" s="19"/>
      <c r="K108" s="336"/>
      <c r="L108" s="23">
        <f t="shared" ref="L108:Q108" ca="1" si="94">L81+L86+SUM(L88:L91)</f>
        <v>-64.79303892706929</v>
      </c>
      <c r="M108" s="23">
        <f t="shared" ca="1" si="94"/>
        <v>291.26674476899836</v>
      </c>
      <c r="N108" s="23">
        <f t="shared" ca="1" si="94"/>
        <v>-62.649905350933864</v>
      </c>
      <c r="O108" s="23">
        <f t="shared" ca="1" si="94"/>
        <v>-68.53117747919049</v>
      </c>
      <c r="P108" s="23">
        <f t="shared" ca="1" si="94"/>
        <v>-75.073510381595213</v>
      </c>
      <c r="Q108" s="23">
        <f t="shared" ca="1" si="94"/>
        <v>-82.335865654643897</v>
      </c>
    </row>
    <row r="109" spans="2:17" s="14" customFormat="1" ht="12.75" customHeight="1">
      <c r="B109" s="9" t="s">
        <v>134</v>
      </c>
      <c r="C109" s="211"/>
      <c r="D109" s="9"/>
      <c r="E109" s="9"/>
      <c r="F109" s="9"/>
      <c r="G109" s="9"/>
      <c r="H109" s="9"/>
      <c r="I109" s="19"/>
      <c r="J109" s="19"/>
      <c r="K109" s="336"/>
      <c r="L109" s="23">
        <f ca="1">-F92</f>
        <v>-10</v>
      </c>
      <c r="M109" s="23">
        <f ca="1">L109</f>
        <v>-10</v>
      </c>
      <c r="N109" s="23">
        <f ca="1">M109</f>
        <v>-10</v>
      </c>
      <c r="O109" s="23">
        <f ca="1">N109</f>
        <v>-10</v>
      </c>
      <c r="P109" s="23">
        <f ca="1">O109</f>
        <v>-10</v>
      </c>
      <c r="Q109" s="23">
        <f ca="1">P109</f>
        <v>-10</v>
      </c>
    </row>
    <row r="110" spans="2:17" s="14" customFormat="1" ht="12.75" customHeight="1">
      <c r="B110" s="9" t="s">
        <v>136</v>
      </c>
      <c r="C110" s="211"/>
      <c r="D110" s="9"/>
      <c r="E110" s="9"/>
      <c r="F110" s="9"/>
      <c r="G110" s="9"/>
      <c r="H110" s="9"/>
      <c r="I110" s="19"/>
      <c r="J110" s="19"/>
      <c r="K110" s="336"/>
      <c r="L110" s="23">
        <f t="shared" ref="L110:Q110" ca="1" si="95">-MIN(SUM(L107:L109),L106)</f>
        <v>0</v>
      </c>
      <c r="M110" s="23">
        <f t="shared" ca="1" si="95"/>
        <v>0</v>
      </c>
      <c r="N110" s="23">
        <f t="shared" ca="1" si="95"/>
        <v>0</v>
      </c>
      <c r="O110" s="23">
        <f t="shared" ca="1" si="95"/>
        <v>0</v>
      </c>
      <c r="P110" s="23">
        <f t="shared" ca="1" si="95"/>
        <v>0</v>
      </c>
      <c r="Q110" s="23">
        <f t="shared" ca="1" si="95"/>
        <v>0</v>
      </c>
    </row>
    <row r="111" spans="2:17" s="14" customFormat="1" ht="12.75" customHeight="1">
      <c r="B111" s="9" t="s">
        <v>135</v>
      </c>
      <c r="C111" s="211"/>
      <c r="D111" s="9"/>
      <c r="E111" s="9"/>
      <c r="F111" s="9"/>
      <c r="G111" s="9"/>
      <c r="H111" s="9"/>
      <c r="I111" s="19"/>
      <c r="J111" s="19"/>
      <c r="K111" s="336"/>
      <c r="L111" s="337">
        <f t="shared" ref="L111:Q111" ca="1" si="96">L106+L110</f>
        <v>0</v>
      </c>
      <c r="M111" s="337">
        <f t="shared" ca="1" si="96"/>
        <v>0</v>
      </c>
      <c r="N111" s="337">
        <f t="shared" ca="1" si="96"/>
        <v>0</v>
      </c>
      <c r="O111" s="337">
        <f t="shared" ca="1" si="96"/>
        <v>0</v>
      </c>
      <c r="P111" s="337">
        <f t="shared" ca="1" si="96"/>
        <v>0</v>
      </c>
      <c r="Q111" s="337">
        <f t="shared" ca="1" si="96"/>
        <v>0</v>
      </c>
    </row>
    <row r="112" spans="2:17" s="14" customFormat="1" ht="12.75" customHeight="1">
      <c r="B112" s="9"/>
      <c r="C112" s="211"/>
      <c r="D112" s="9"/>
      <c r="E112" s="9"/>
      <c r="F112" s="9"/>
      <c r="G112" s="9"/>
      <c r="H112" s="9"/>
      <c r="I112" s="19"/>
      <c r="J112" s="19"/>
      <c r="K112" s="336"/>
      <c r="L112" s="15"/>
      <c r="M112" s="15"/>
      <c r="N112" s="15"/>
      <c r="O112" s="15"/>
      <c r="P112" s="15"/>
      <c r="Q112" s="15"/>
    </row>
    <row r="113" spans="2:17" ht="12.75" customHeight="1">
      <c r="B113" s="101" t="s">
        <v>47</v>
      </c>
      <c r="C113" s="101"/>
      <c r="I113" s="104"/>
      <c r="J113" s="104"/>
      <c r="K113" s="338"/>
      <c r="L113" s="280"/>
      <c r="M113" s="280"/>
      <c r="N113" s="280"/>
      <c r="O113" s="280"/>
      <c r="P113" s="280"/>
      <c r="Q113" s="280"/>
    </row>
    <row r="114" spans="2:17" ht="12.75" customHeight="1">
      <c r="B114" s="3" t="s">
        <v>23</v>
      </c>
      <c r="J114" s="325"/>
      <c r="K114" s="140">
        <v>0</v>
      </c>
      <c r="L114" s="31">
        <f t="shared" ref="L114:Q114" ca="1" si="97">L111</f>
        <v>0</v>
      </c>
      <c r="M114" s="31">
        <f t="shared" ca="1" si="97"/>
        <v>0</v>
      </c>
      <c r="N114" s="31">
        <f t="shared" ca="1" si="97"/>
        <v>0</v>
      </c>
      <c r="O114" s="31">
        <f t="shared" ca="1" si="97"/>
        <v>0</v>
      </c>
      <c r="P114" s="31">
        <f t="shared" ca="1" si="97"/>
        <v>0</v>
      </c>
      <c r="Q114" s="31">
        <f t="shared" ca="1" si="97"/>
        <v>0</v>
      </c>
    </row>
    <row r="115" spans="2:17" ht="12.75" customHeight="1">
      <c r="B115" s="1" t="s">
        <v>275</v>
      </c>
      <c r="C115" s="1"/>
      <c r="J115" s="202"/>
      <c r="K115" s="145">
        <v>449.38299999999998</v>
      </c>
      <c r="L115" s="55">
        <f t="shared" ref="L115:Q117" ca="1" si="98">K115-L125</f>
        <v>444.88916999999998</v>
      </c>
      <c r="M115" s="55">
        <f t="shared" ca="1" si="98"/>
        <v>440.39533999999998</v>
      </c>
      <c r="N115" s="55">
        <f t="shared" ca="1" si="98"/>
        <v>435.90150999999997</v>
      </c>
      <c r="O115" s="55">
        <f t="shared" ca="1" si="98"/>
        <v>431.40767999999997</v>
      </c>
      <c r="P115" s="55">
        <f t="shared" ca="1" si="98"/>
        <v>426.91384999999997</v>
      </c>
      <c r="Q115" s="55">
        <f t="shared" ca="1" si="98"/>
        <v>422.42001999999997</v>
      </c>
    </row>
    <row r="116" spans="2:17" ht="12.75" customHeight="1">
      <c r="B116" s="1" t="s">
        <v>117</v>
      </c>
      <c r="C116" s="1"/>
      <c r="J116" s="202"/>
      <c r="K116" s="145">
        <v>99.53</v>
      </c>
      <c r="L116" s="55">
        <f t="shared" ca="1" si="98"/>
        <v>98.534700000000001</v>
      </c>
      <c r="M116" s="55">
        <f t="shared" ca="1" si="98"/>
        <v>97.539400000000001</v>
      </c>
      <c r="N116" s="55">
        <f t="shared" ca="1" si="98"/>
        <v>96.5441</v>
      </c>
      <c r="O116" s="55">
        <f t="shared" ca="1" si="98"/>
        <v>95.5488</v>
      </c>
      <c r="P116" s="55">
        <f t="shared" ca="1" si="98"/>
        <v>94.5535</v>
      </c>
      <c r="Q116" s="55">
        <f t="shared" ca="1" si="98"/>
        <v>93.558199999999999</v>
      </c>
    </row>
    <row r="117" spans="2:17" ht="12.75" customHeight="1">
      <c r="B117" s="1" t="s">
        <v>276</v>
      </c>
      <c r="C117" s="1"/>
      <c r="J117" s="202"/>
      <c r="K117" s="145">
        <v>61.76</v>
      </c>
      <c r="L117" s="55">
        <f t="shared" ca="1" si="98"/>
        <v>61.76</v>
      </c>
      <c r="M117" s="55">
        <f t="shared" ca="1" si="98"/>
        <v>61.76</v>
      </c>
      <c r="N117" s="55">
        <f t="shared" ca="1" si="98"/>
        <v>61.76</v>
      </c>
      <c r="O117" s="55">
        <f t="shared" ca="1" si="98"/>
        <v>61.76</v>
      </c>
      <c r="P117" s="55">
        <f t="shared" ca="1" si="98"/>
        <v>61.76</v>
      </c>
      <c r="Q117" s="55">
        <f t="shared" ca="1" si="98"/>
        <v>61.76</v>
      </c>
    </row>
    <row r="118" spans="2:17" ht="12.75" customHeight="1">
      <c r="B118" s="112" t="s">
        <v>24</v>
      </c>
      <c r="C118" s="112"/>
      <c r="J118" s="246"/>
      <c r="K118" s="317">
        <f ca="1">SUM(K114:K117)</f>
        <v>610.673</v>
      </c>
      <c r="L118" s="324">
        <f t="shared" ref="L118:Q118" ca="1" si="99">SUM(L114:L117)</f>
        <v>605.18386999999996</v>
      </c>
      <c r="M118" s="324">
        <f t="shared" ca="1" si="99"/>
        <v>599.69473999999991</v>
      </c>
      <c r="N118" s="324">
        <f t="shared" ca="1" si="99"/>
        <v>594.20560999999998</v>
      </c>
      <c r="O118" s="324">
        <f t="shared" ca="1" si="99"/>
        <v>588.71647999999993</v>
      </c>
      <c r="P118" s="334">
        <f t="shared" ca="1" si="99"/>
        <v>583.22735</v>
      </c>
      <c r="Q118" s="334">
        <f t="shared" ca="1" si="99"/>
        <v>577.73821999999996</v>
      </c>
    </row>
    <row r="119" spans="2:17" ht="12.75" customHeight="1">
      <c r="B119" s="3" t="s">
        <v>7</v>
      </c>
      <c r="J119" s="246"/>
      <c r="K119" s="120">
        <v>0</v>
      </c>
      <c r="L119" s="120">
        <v>0</v>
      </c>
      <c r="M119" s="120">
        <v>0</v>
      </c>
      <c r="N119" s="120">
        <v>0</v>
      </c>
      <c r="O119" s="120">
        <v>0</v>
      </c>
      <c r="P119" s="120">
        <v>0</v>
      </c>
      <c r="Q119" s="120">
        <v>0</v>
      </c>
    </row>
    <row r="120" spans="2:17" ht="12.75" customHeight="1">
      <c r="B120" s="3" t="s">
        <v>8</v>
      </c>
      <c r="J120" s="246"/>
      <c r="K120" s="120">
        <v>0</v>
      </c>
      <c r="L120" s="120">
        <v>0</v>
      </c>
      <c r="M120" s="120">
        <v>0</v>
      </c>
      <c r="N120" s="120">
        <v>0</v>
      </c>
      <c r="O120" s="120">
        <v>0</v>
      </c>
      <c r="P120" s="120">
        <v>0</v>
      </c>
      <c r="Q120" s="120">
        <v>0</v>
      </c>
    </row>
    <row r="121" spans="2:17" ht="12.75" customHeight="1">
      <c r="B121" s="3" t="s">
        <v>50</v>
      </c>
      <c r="J121" s="246"/>
      <c r="K121" s="208">
        <f ca="1">+K68</f>
        <v>1039.3579999999999</v>
      </c>
      <c r="L121" s="208">
        <f t="shared" ref="L121:Q121" ca="1" si="100">+L68</f>
        <v>1119.7031486478818</v>
      </c>
      <c r="M121" s="208">
        <f t="shared" ca="1" si="100"/>
        <v>1205.5419823409825</v>
      </c>
      <c r="N121" s="208">
        <f t="shared" ca="1" si="100"/>
        <v>1307.0126064439962</v>
      </c>
      <c r="O121" s="208">
        <f t="shared" ca="1" si="100"/>
        <v>1425.1546302071908</v>
      </c>
      <c r="P121" s="208">
        <f t="shared" ca="1" si="100"/>
        <v>1561.8465256349307</v>
      </c>
      <c r="Q121" s="208">
        <f t="shared" ca="1" si="100"/>
        <v>1719.1719854705955</v>
      </c>
    </row>
    <row r="122" spans="2:17" ht="12.75" customHeight="1">
      <c r="B122" s="112" t="s">
        <v>25</v>
      </c>
      <c r="C122" s="112"/>
      <c r="J122" s="235"/>
      <c r="K122" s="317">
        <f t="shared" ref="K122:Q122" ca="1" si="101">SUM(K118:K121)</f>
        <v>1650.0309999999999</v>
      </c>
      <c r="L122" s="324">
        <f t="shared" ca="1" si="101"/>
        <v>1724.8870186478816</v>
      </c>
      <c r="M122" s="324">
        <f t="shared" ca="1" si="101"/>
        <v>1805.2367223409824</v>
      </c>
      <c r="N122" s="324">
        <f t="shared" ca="1" si="101"/>
        <v>1901.2182164439962</v>
      </c>
      <c r="O122" s="324">
        <f t="shared" ca="1" si="101"/>
        <v>2013.8711102071907</v>
      </c>
      <c r="P122" s="334">
        <f t="shared" ca="1" si="101"/>
        <v>2145.0738756349306</v>
      </c>
      <c r="Q122" s="334">
        <f t="shared" ca="1" si="101"/>
        <v>2296.9102054705954</v>
      </c>
    </row>
    <row r="123" spans="2:17" ht="12.75" customHeight="1">
      <c r="B123" s="112"/>
      <c r="C123" s="112"/>
      <c r="J123" s="235"/>
      <c r="K123" s="55"/>
      <c r="L123" s="55"/>
      <c r="M123" s="55"/>
      <c r="N123" s="55"/>
      <c r="O123" s="55"/>
      <c r="P123" s="55"/>
      <c r="Q123" s="55"/>
    </row>
    <row r="124" spans="2:17" ht="12.75" customHeight="1">
      <c r="B124" s="101" t="s">
        <v>26</v>
      </c>
      <c r="C124" s="101"/>
      <c r="K124" s="120"/>
      <c r="L124" s="120"/>
      <c r="M124" s="120"/>
      <c r="N124" s="120"/>
      <c r="O124" s="120"/>
      <c r="P124" s="120"/>
      <c r="Q124" s="120"/>
    </row>
    <row r="125" spans="2:17" ht="12.75" customHeight="1">
      <c r="B125" s="3" t="str">
        <f ca="1">B115</f>
        <v>Federal Home Loan Advances</v>
      </c>
      <c r="F125" s="444">
        <v>0.01</v>
      </c>
      <c r="K125" s="120"/>
      <c r="L125" s="156">
        <f t="shared" ref="L125:Q125" ca="1" si="102">+$F$125*$K$115</f>
        <v>4.49383</v>
      </c>
      <c r="M125" s="156">
        <f t="shared" ca="1" si="102"/>
        <v>4.49383</v>
      </c>
      <c r="N125" s="156">
        <f t="shared" ca="1" si="102"/>
        <v>4.49383</v>
      </c>
      <c r="O125" s="156">
        <f t="shared" ca="1" si="102"/>
        <v>4.49383</v>
      </c>
      <c r="P125" s="156">
        <f t="shared" ca="1" si="102"/>
        <v>4.49383</v>
      </c>
      <c r="Q125" s="156">
        <f t="shared" ca="1" si="102"/>
        <v>4.49383</v>
      </c>
    </row>
    <row r="126" spans="2:17" ht="12.75" customHeight="1">
      <c r="B126" s="3" t="str">
        <f ca="1">B116</f>
        <v>Term Loan</v>
      </c>
      <c r="F126" s="444">
        <v>0.01</v>
      </c>
      <c r="K126" s="120"/>
      <c r="L126" s="156">
        <f t="shared" ref="L126:Q126" ca="1" si="103">+$F$126*$K$116</f>
        <v>0.99530000000000007</v>
      </c>
      <c r="M126" s="156">
        <f t="shared" ca="1" si="103"/>
        <v>0.99530000000000007</v>
      </c>
      <c r="N126" s="156">
        <f t="shared" ca="1" si="103"/>
        <v>0.99530000000000007</v>
      </c>
      <c r="O126" s="156">
        <f t="shared" ca="1" si="103"/>
        <v>0.99530000000000007</v>
      </c>
      <c r="P126" s="156">
        <f t="shared" ca="1" si="103"/>
        <v>0.99530000000000007</v>
      </c>
      <c r="Q126" s="156">
        <f t="shared" ca="1" si="103"/>
        <v>0.99530000000000007</v>
      </c>
    </row>
    <row r="127" spans="2:17" ht="12.75" customHeight="1">
      <c r="B127" s="3" t="str">
        <f ca="1">B117</f>
        <v>Repurchase Agreement Loans</v>
      </c>
      <c r="K127" s="55"/>
      <c r="L127" s="156">
        <v>0</v>
      </c>
      <c r="M127" s="156">
        <v>0</v>
      </c>
      <c r="N127" s="156">
        <v>0</v>
      </c>
      <c r="O127" s="156">
        <v>0</v>
      </c>
      <c r="P127" s="156">
        <v>0</v>
      </c>
      <c r="Q127" s="156">
        <v>0</v>
      </c>
    </row>
    <row r="128" spans="2:17" ht="12.75" customHeight="1">
      <c r="B128" s="112" t="s">
        <v>27</v>
      </c>
      <c r="C128" s="112"/>
      <c r="K128" s="55"/>
      <c r="L128" s="324">
        <f t="shared" ref="L128:Q128" ca="1" si="104">SUM(L125:L127)</f>
        <v>5.4891300000000003</v>
      </c>
      <c r="M128" s="324">
        <f t="shared" ca="1" si="104"/>
        <v>5.4891300000000003</v>
      </c>
      <c r="N128" s="324">
        <f t="shared" ca="1" si="104"/>
        <v>5.4891300000000003</v>
      </c>
      <c r="O128" s="324">
        <f t="shared" ca="1" si="104"/>
        <v>5.4891300000000003</v>
      </c>
      <c r="P128" s="324">
        <f t="shared" ca="1" si="104"/>
        <v>5.4891300000000003</v>
      </c>
      <c r="Q128" s="324">
        <f t="shared" ca="1" si="104"/>
        <v>5.4891300000000003</v>
      </c>
    </row>
    <row r="129" spans="2:17" ht="12.75" customHeight="1">
      <c r="B129" s="112"/>
      <c r="C129" s="112"/>
      <c r="K129" s="120"/>
      <c r="L129" s="55"/>
      <c r="M129" s="55"/>
      <c r="N129" s="55"/>
      <c r="O129" s="55"/>
      <c r="P129" s="55"/>
      <c r="Q129" s="55"/>
    </row>
    <row r="130" spans="2:17" ht="12.75" customHeight="1">
      <c r="B130" s="101" t="s">
        <v>38</v>
      </c>
      <c r="C130" s="101"/>
      <c r="E130" s="104"/>
      <c r="F130" s="4"/>
      <c r="G130" s="4"/>
      <c r="H130" s="4"/>
      <c r="K130" s="120"/>
      <c r="L130" s="120"/>
      <c r="M130" s="120"/>
      <c r="N130" s="120"/>
      <c r="O130" s="120"/>
      <c r="P130" s="120"/>
      <c r="Q130" s="120"/>
    </row>
    <row r="131" spans="2:17" ht="12.75" customHeight="1">
      <c r="B131" s="3" t="str">
        <f ca="1">B114</f>
        <v>Revolver</v>
      </c>
      <c r="E131" s="275"/>
      <c r="F131" s="296" t="s">
        <v>147</v>
      </c>
      <c r="G131" s="4"/>
      <c r="H131" s="4"/>
      <c r="K131" s="120"/>
      <c r="L131" s="120">
        <f t="shared" ref="L131:Q131" ca="1" si="105">AVERAGE(K114:L114)*L151</f>
        <v>0</v>
      </c>
      <c r="M131" s="120">
        <f t="shared" ca="1" si="105"/>
        <v>0</v>
      </c>
      <c r="N131" s="120">
        <f t="shared" ca="1" si="105"/>
        <v>0</v>
      </c>
      <c r="O131" s="120">
        <f t="shared" ca="1" si="105"/>
        <v>0</v>
      </c>
      <c r="P131" s="120">
        <f t="shared" ca="1" si="105"/>
        <v>0</v>
      </c>
      <c r="Q131" s="120">
        <f t="shared" ca="1" si="105"/>
        <v>0</v>
      </c>
    </row>
    <row r="132" spans="2:17" ht="12.75" customHeight="1">
      <c r="B132" s="3" t="s">
        <v>175</v>
      </c>
      <c r="E132" s="275"/>
      <c r="F132" s="339">
        <v>250</v>
      </c>
      <c r="G132" s="4"/>
      <c r="H132" s="4"/>
      <c r="K132" s="120"/>
      <c r="L132" s="55">
        <f t="shared" ref="L132:Q132" ca="1" si="106">($F132-AVERAGE(K114:L114))*L152</f>
        <v>0</v>
      </c>
      <c r="M132" s="55">
        <f t="shared" ca="1" si="106"/>
        <v>0</v>
      </c>
      <c r="N132" s="55">
        <f t="shared" ca="1" si="106"/>
        <v>0</v>
      </c>
      <c r="O132" s="55">
        <f t="shared" ca="1" si="106"/>
        <v>0</v>
      </c>
      <c r="P132" s="55">
        <f t="shared" ca="1" si="106"/>
        <v>0</v>
      </c>
      <c r="Q132" s="55">
        <f t="shared" ca="1" si="106"/>
        <v>0</v>
      </c>
    </row>
    <row r="133" spans="2:17" ht="12.75" customHeight="1">
      <c r="B133" s="3" t="str">
        <f ca="1">B115</f>
        <v>Federal Home Loan Advances</v>
      </c>
      <c r="E133" s="275"/>
      <c r="F133" s="340"/>
      <c r="G133" s="4"/>
      <c r="H133" s="4"/>
      <c r="K133" s="120"/>
      <c r="L133" s="55">
        <f t="shared" ref="L133:Q135" ca="1" si="107">AVERAGE(K115:L115)*L153</f>
        <v>11.401970167499998</v>
      </c>
      <c r="M133" s="55">
        <f t="shared" ca="1" si="107"/>
        <v>11.619359193749998</v>
      </c>
      <c r="N133" s="55">
        <f t="shared" ca="1" si="107"/>
        <v>11.720470368749998</v>
      </c>
      <c r="O133" s="55">
        <f t="shared" ca="1" si="107"/>
        <v>11.817087713749999</v>
      </c>
      <c r="P133" s="55">
        <f t="shared" ca="1" si="107"/>
        <v>11.909211228749999</v>
      </c>
      <c r="Q133" s="55">
        <f t="shared" ca="1" si="107"/>
        <v>11.996840913749999</v>
      </c>
    </row>
    <row r="134" spans="2:17" ht="12.75" customHeight="1">
      <c r="B134" s="3" t="str">
        <f ca="1">B116</f>
        <v>Term Loan</v>
      </c>
      <c r="E134" s="275"/>
      <c r="F134" s="269"/>
      <c r="G134" s="4"/>
      <c r="H134" s="4"/>
      <c r="K134" s="120"/>
      <c r="L134" s="55">
        <f t="shared" ca="1" si="107"/>
        <v>2.9709705</v>
      </c>
      <c r="M134" s="55">
        <f t="shared" ca="1" si="107"/>
        <v>2.9411114999999999</v>
      </c>
      <c r="N134" s="55">
        <f t="shared" ca="1" si="107"/>
        <v>2.9112525000000002</v>
      </c>
      <c r="O134" s="55">
        <f t="shared" ca="1" si="107"/>
        <v>2.8813934999999997</v>
      </c>
      <c r="P134" s="55">
        <f t="shared" ca="1" si="107"/>
        <v>2.8515345000000001</v>
      </c>
      <c r="Q134" s="55">
        <f t="shared" ca="1" si="107"/>
        <v>2.8216754999999996</v>
      </c>
    </row>
    <row r="135" spans="2:17" ht="12.75" customHeight="1">
      <c r="B135" s="3" t="str">
        <f ca="1">B117</f>
        <v>Repurchase Agreement Loans</v>
      </c>
      <c r="E135" s="275"/>
      <c r="F135" s="446" t="s">
        <v>280</v>
      </c>
      <c r="G135" s="4"/>
      <c r="H135" s="4"/>
      <c r="K135" s="120"/>
      <c r="L135" s="55">
        <f t="shared" ca="1" si="107"/>
        <v>0.15440000000000001</v>
      </c>
      <c r="M135" s="55">
        <f t="shared" ca="1" si="107"/>
        <v>0.15440000000000001</v>
      </c>
      <c r="N135" s="55">
        <f t="shared" ca="1" si="107"/>
        <v>0.15440000000000001</v>
      </c>
      <c r="O135" s="55">
        <f t="shared" ca="1" si="107"/>
        <v>0.15440000000000001</v>
      </c>
      <c r="P135" s="55">
        <f t="shared" ca="1" si="107"/>
        <v>0.15440000000000001</v>
      </c>
      <c r="Q135" s="55">
        <f t="shared" ca="1" si="107"/>
        <v>0.15440000000000001</v>
      </c>
    </row>
    <row r="136" spans="2:17" ht="12.75" customHeight="1">
      <c r="B136" s="3" t="s">
        <v>277</v>
      </c>
      <c r="E136" s="275"/>
      <c r="F136" s="445">
        <f ca="1">+K136/AVERAGE(J63:K63)</f>
        <v>4.4456402924104247E-3</v>
      </c>
      <c r="G136" s="4"/>
      <c r="H136" s="4"/>
      <c r="K136" s="156">
        <v>22.577999999999999</v>
      </c>
      <c r="L136" s="55">
        <f t="shared" ref="L136:Q136" ca="1" si="108">+$F$136*AVERAGE(K63:L63)</f>
        <v>26.883461518576617</v>
      </c>
      <c r="M136" s="55">
        <f t="shared" ca="1" si="108"/>
        <v>28.754964031985224</v>
      </c>
      <c r="N136" s="55">
        <f t="shared" ca="1" si="108"/>
        <v>30.48026187390434</v>
      </c>
      <c r="O136" s="55">
        <f t="shared" ca="1" si="108"/>
        <v>32.309077586338603</v>
      </c>
      <c r="P136" s="55">
        <f t="shared" ca="1" si="108"/>
        <v>34.247622241518918</v>
      </c>
      <c r="Q136" s="55">
        <f t="shared" ca="1" si="108"/>
        <v>36.30247957601005</v>
      </c>
    </row>
    <row r="137" spans="2:17" ht="12.75" customHeight="1">
      <c r="B137" s="112" t="s">
        <v>28</v>
      </c>
      <c r="C137" s="112"/>
      <c r="E137" s="275"/>
      <c r="F137" s="4"/>
      <c r="G137" s="4"/>
      <c r="H137" s="4"/>
      <c r="K137" s="120"/>
      <c r="L137" s="341">
        <f t="shared" ref="L137:Q137" ca="1" si="109">SUM(L131:L136)</f>
        <v>41.410802186076616</v>
      </c>
      <c r="M137" s="342">
        <f t="shared" ca="1" si="109"/>
        <v>43.469834725735225</v>
      </c>
      <c r="N137" s="342">
        <f t="shared" ca="1" si="109"/>
        <v>45.266384742654338</v>
      </c>
      <c r="O137" s="342">
        <f t="shared" ca="1" si="109"/>
        <v>47.161958800088598</v>
      </c>
      <c r="P137" s="343">
        <f t="shared" ca="1" si="109"/>
        <v>49.162767970268916</v>
      </c>
      <c r="Q137" s="343">
        <f t="shared" ca="1" si="109"/>
        <v>51.27539598976005</v>
      </c>
    </row>
    <row r="138" spans="2:17" ht="12.75" customHeight="1">
      <c r="B138" s="3" t="s">
        <v>138</v>
      </c>
      <c r="E138" s="275"/>
      <c r="F138" s="344"/>
      <c r="G138" s="4"/>
      <c r="H138" s="4"/>
      <c r="K138" s="120"/>
      <c r="L138" s="208">
        <f t="shared" ref="L138:Q138" ca="1" si="110">-AVERAGE(K52:L52)*L156</f>
        <v>-0.44197740268232677</v>
      </c>
      <c r="M138" s="208">
        <f t="shared" ca="1" si="110"/>
        <v>-1.0081616672871494</v>
      </c>
      <c r="N138" s="208">
        <f t="shared" ca="1" si="110"/>
        <v>-1.5797037658323105</v>
      </c>
      <c r="O138" s="208">
        <f t="shared" ca="1" si="110"/>
        <v>-1.2517510587569998</v>
      </c>
      <c r="P138" s="208">
        <f t="shared" ca="1" si="110"/>
        <v>-0.89273933910503545</v>
      </c>
      <c r="Q138" s="208">
        <f t="shared" ca="1" si="110"/>
        <v>-0.49921589901443769</v>
      </c>
    </row>
    <row r="139" spans="2:17" ht="12.75" customHeight="1">
      <c r="B139" s="112" t="s">
        <v>14</v>
      </c>
      <c r="C139" s="112"/>
      <c r="E139" s="4"/>
      <c r="F139" s="4"/>
      <c r="G139" s="4"/>
      <c r="H139" s="4"/>
      <c r="K139" s="120"/>
      <c r="L139" s="341">
        <f t="shared" ref="L139:Q139" ca="1" si="111">SUM(L137:L138)</f>
        <v>40.96882478339429</v>
      </c>
      <c r="M139" s="341">
        <f t="shared" ca="1" si="111"/>
        <v>42.461673058448078</v>
      </c>
      <c r="N139" s="341">
        <f t="shared" ca="1" si="111"/>
        <v>43.686680976822025</v>
      </c>
      <c r="O139" s="341">
        <f t="shared" ca="1" si="111"/>
        <v>45.910207741331597</v>
      </c>
      <c r="P139" s="341">
        <f t="shared" ca="1" si="111"/>
        <v>48.270028631163882</v>
      </c>
      <c r="Q139" s="341">
        <f t="shared" ca="1" si="111"/>
        <v>50.776180090745612</v>
      </c>
    </row>
    <row r="140" spans="2:17" ht="12.75" customHeight="1">
      <c r="L140" s="230"/>
      <c r="M140" s="230"/>
      <c r="N140" s="230"/>
      <c r="O140" s="230"/>
      <c r="P140" s="230"/>
      <c r="Q140" s="230"/>
    </row>
    <row r="141" spans="2:17" ht="16" customHeight="1" thickBot="1">
      <c r="B141" s="277" t="s">
        <v>190</v>
      </c>
      <c r="C141" s="277"/>
      <c r="D141" s="278"/>
      <c r="E141" s="278"/>
      <c r="F141" s="278"/>
      <c r="G141" s="278"/>
      <c r="H141" s="278"/>
      <c r="I141" s="278"/>
      <c r="J141" s="278"/>
      <c r="K141" s="278"/>
      <c r="L141" s="278"/>
      <c r="M141" s="278"/>
      <c r="N141" s="278"/>
      <c r="O141" s="278"/>
      <c r="P141" s="279"/>
      <c r="Q141" s="279"/>
    </row>
    <row r="142" spans="2:17" ht="15" customHeight="1">
      <c r="B142" s="268" t="str">
        <f ca="1">+B7</f>
        <v>Fiscal Year Ended December 31,</v>
      </c>
      <c r="C142" s="268"/>
      <c r="D142" s="268"/>
      <c r="E142" s="268"/>
      <c r="F142" s="268"/>
      <c r="G142" s="268"/>
      <c r="H142" s="268"/>
      <c r="I142" s="297"/>
      <c r="J142" s="297"/>
      <c r="K142" s="331"/>
      <c r="L142" s="332">
        <f t="shared" ref="L142:Q142" ca="1" si="112">L7</f>
        <v>2019</v>
      </c>
      <c r="M142" s="298">
        <f t="shared" ca="1" si="112"/>
        <v>2020</v>
      </c>
      <c r="N142" s="298">
        <f t="shared" ca="1" si="112"/>
        <v>2021</v>
      </c>
      <c r="O142" s="298">
        <f t="shared" ca="1" si="112"/>
        <v>2022</v>
      </c>
      <c r="P142" s="298">
        <f t="shared" ca="1" si="112"/>
        <v>2023</v>
      </c>
      <c r="Q142" s="298">
        <f t="shared" ca="1" si="112"/>
        <v>2024</v>
      </c>
    </row>
    <row r="143" spans="2:17" ht="15" customHeight="1">
      <c r="B143" s="101" t="s">
        <v>176</v>
      </c>
      <c r="J143" s="155"/>
      <c r="K143" s="155"/>
      <c r="L143" s="155"/>
      <c r="M143" s="155"/>
      <c r="N143" s="155"/>
      <c r="O143" s="155"/>
      <c r="P143" s="155"/>
      <c r="Q143" s="155"/>
    </row>
    <row r="144" spans="2:17" ht="12.75" customHeight="1">
      <c r="B144" s="3" t="s">
        <v>177</v>
      </c>
      <c r="J144" s="155"/>
      <c r="K144" s="155"/>
      <c r="L144" s="458">
        <v>240</v>
      </c>
      <c r="M144" s="458">
        <f ca="1">L146</f>
        <v>250</v>
      </c>
      <c r="N144" s="458">
        <f t="shared" ref="N144:Q144" ca="1" si="113">M146</f>
        <v>255</v>
      </c>
      <c r="O144" s="458">
        <f t="shared" ca="1" si="113"/>
        <v>260</v>
      </c>
      <c r="P144" s="458">
        <f t="shared" ca="1" si="113"/>
        <v>265</v>
      </c>
      <c r="Q144" s="458">
        <f t="shared" ca="1" si="113"/>
        <v>270</v>
      </c>
    </row>
    <row r="145" spans="2:17" ht="12.75" customHeight="1">
      <c r="B145" s="3" t="s">
        <v>178</v>
      </c>
      <c r="J145" s="155"/>
      <c r="K145" s="155"/>
      <c r="L145" s="458">
        <f ca="1">AVERAGE(L146,L144)</f>
        <v>245</v>
      </c>
      <c r="M145" s="458">
        <f t="shared" ref="M145:Q145" ca="1" si="114">AVERAGE(M146,M144)</f>
        <v>252.5</v>
      </c>
      <c r="N145" s="458">
        <f t="shared" ca="1" si="114"/>
        <v>257.5</v>
      </c>
      <c r="O145" s="458">
        <f t="shared" ca="1" si="114"/>
        <v>262.5</v>
      </c>
      <c r="P145" s="458">
        <f t="shared" ca="1" si="114"/>
        <v>267.5</v>
      </c>
      <c r="Q145" s="458">
        <f t="shared" ca="1" si="114"/>
        <v>272.5</v>
      </c>
    </row>
    <row r="146" spans="2:17" ht="12.75" customHeight="1">
      <c r="B146" s="3" t="s">
        <v>179</v>
      </c>
      <c r="J146" s="155"/>
      <c r="K146" s="155"/>
      <c r="L146" s="458">
        <v>250</v>
      </c>
      <c r="M146" s="458">
        <f ca="1">L146+5</f>
        <v>255</v>
      </c>
      <c r="N146" s="458">
        <f t="shared" ref="N146:Q146" ca="1" si="115">M146+5</f>
        <v>260</v>
      </c>
      <c r="O146" s="458">
        <f t="shared" ca="1" si="115"/>
        <v>265</v>
      </c>
      <c r="P146" s="458">
        <f t="shared" ca="1" si="115"/>
        <v>270</v>
      </c>
      <c r="Q146" s="458">
        <f t="shared" ca="1" si="115"/>
        <v>275</v>
      </c>
    </row>
    <row r="147" spans="2:17" ht="12.75" customHeight="1">
      <c r="B147" s="112" t="s">
        <v>180</v>
      </c>
      <c r="J147" s="155"/>
      <c r="K147" s="155"/>
      <c r="L147" s="345">
        <f t="shared" ref="L147:Q147" ca="1" si="116">AVERAGE(L144:L146)</f>
        <v>245</v>
      </c>
      <c r="M147" s="346">
        <f t="shared" ca="1" si="116"/>
        <v>252.5</v>
      </c>
      <c r="N147" s="346">
        <f t="shared" ca="1" si="116"/>
        <v>257.5</v>
      </c>
      <c r="O147" s="346">
        <f t="shared" ca="1" si="116"/>
        <v>262.5</v>
      </c>
      <c r="P147" s="346">
        <f t="shared" ca="1" si="116"/>
        <v>267.5</v>
      </c>
      <c r="Q147" s="347">
        <f t="shared" ca="1" si="116"/>
        <v>272.5</v>
      </c>
    </row>
    <row r="148" spans="2:17" ht="12.75" customHeight="1">
      <c r="B148" s="112"/>
      <c r="J148" s="155"/>
      <c r="K148" s="155"/>
      <c r="L148" s="155"/>
      <c r="M148" s="155"/>
      <c r="N148" s="155"/>
      <c r="O148" s="155"/>
      <c r="P148" s="155"/>
      <c r="Q148" s="155"/>
    </row>
    <row r="149" spans="2:17" ht="12.75" customHeight="1">
      <c r="B149" s="112"/>
      <c r="E149" s="104" t="s">
        <v>188</v>
      </c>
      <c r="G149" s="248" t="s">
        <v>182</v>
      </c>
      <c r="H149" s="248"/>
      <c r="J149" s="155"/>
      <c r="K149" s="155"/>
      <c r="L149" s="155"/>
      <c r="M149" s="155"/>
      <c r="N149" s="155"/>
      <c r="O149" s="155"/>
      <c r="P149" s="155"/>
      <c r="Q149" s="155"/>
    </row>
    <row r="150" spans="2:17" ht="12.75" customHeight="1">
      <c r="B150" s="251" t="s">
        <v>181</v>
      </c>
      <c r="E150" s="104" t="s">
        <v>185</v>
      </c>
      <c r="F150" s="67" t="s">
        <v>189</v>
      </c>
      <c r="G150" s="67" t="s">
        <v>183</v>
      </c>
      <c r="H150" s="67" t="s">
        <v>184</v>
      </c>
      <c r="J150" s="155"/>
      <c r="K150" s="155"/>
      <c r="L150" s="155"/>
      <c r="M150" s="155"/>
      <c r="N150" s="155"/>
      <c r="O150" s="155"/>
      <c r="P150" s="155"/>
      <c r="Q150" s="155"/>
    </row>
    <row r="151" spans="2:17" ht="12.75" customHeight="1">
      <c r="B151" s="119" t="str">
        <f ca="1">+B131</f>
        <v>Revolver</v>
      </c>
      <c r="E151" s="348" t="s">
        <v>186</v>
      </c>
      <c r="F151" s="349">
        <v>0</v>
      </c>
      <c r="G151" s="350">
        <v>50</v>
      </c>
      <c r="H151" s="351">
        <v>0.02</v>
      </c>
      <c r="J151" s="155"/>
      <c r="K151" s="155"/>
      <c r="L151" s="310">
        <f t="shared" ref="L151:Q156" ca="1" si="117">IF($E151="F",$F151,(MAX(L$147,$H151)+$G151)/10000)</f>
        <v>2.9499999999999998E-2</v>
      </c>
      <c r="M151" s="310">
        <f t="shared" ca="1" si="117"/>
        <v>3.0249999999999999E-2</v>
      </c>
      <c r="N151" s="310">
        <f t="shared" ca="1" si="117"/>
        <v>3.075E-2</v>
      </c>
      <c r="O151" s="310">
        <f t="shared" ca="1" si="117"/>
        <v>3.125E-2</v>
      </c>
      <c r="P151" s="310">
        <f t="shared" ca="1" si="117"/>
        <v>3.175E-2</v>
      </c>
      <c r="Q151" s="310">
        <f t="shared" ca="1" si="117"/>
        <v>3.2250000000000001E-2</v>
      </c>
    </row>
    <row r="152" spans="2:17" ht="12.75" customHeight="1">
      <c r="B152" s="119" t="str">
        <f ca="1">+B132</f>
        <v>Undrawn Revolver Fee</v>
      </c>
      <c r="E152" s="274" t="s">
        <v>187</v>
      </c>
      <c r="F152" s="275">
        <v>0</v>
      </c>
      <c r="G152" s="276">
        <v>25</v>
      </c>
      <c r="H152" s="276">
        <v>0.02</v>
      </c>
      <c r="J152" s="155"/>
      <c r="K152" s="155"/>
      <c r="L152" s="310">
        <f t="shared" ca="1" si="117"/>
        <v>0</v>
      </c>
      <c r="M152" s="310">
        <f t="shared" ca="1" si="117"/>
        <v>0</v>
      </c>
      <c r="N152" s="310">
        <f t="shared" ca="1" si="117"/>
        <v>0</v>
      </c>
      <c r="O152" s="310">
        <f t="shared" ca="1" si="117"/>
        <v>0</v>
      </c>
      <c r="P152" s="310">
        <f t="shared" ca="1" si="117"/>
        <v>0</v>
      </c>
      <c r="Q152" s="310">
        <f t="shared" ca="1" si="117"/>
        <v>0</v>
      </c>
    </row>
    <row r="153" spans="2:17" ht="12.75" customHeight="1">
      <c r="B153" s="119" t="str">
        <f ca="1">+B133</f>
        <v>Federal Home Loan Advances</v>
      </c>
      <c r="E153" s="274" t="s">
        <v>186</v>
      </c>
      <c r="F153" s="275">
        <v>0</v>
      </c>
      <c r="G153" s="276">
        <v>10</v>
      </c>
      <c r="H153" s="276">
        <v>100</v>
      </c>
      <c r="J153" s="155"/>
      <c r="K153" s="155"/>
      <c r="L153" s="310">
        <f t="shared" ca="1" si="117"/>
        <v>2.5499999999999998E-2</v>
      </c>
      <c r="M153" s="310">
        <f t="shared" ca="1" si="117"/>
        <v>2.6249999999999999E-2</v>
      </c>
      <c r="N153" s="310">
        <f t="shared" ca="1" si="117"/>
        <v>2.6749999999999999E-2</v>
      </c>
      <c r="O153" s="310">
        <f t="shared" ca="1" si="117"/>
        <v>2.725E-2</v>
      </c>
      <c r="P153" s="310">
        <f t="shared" ca="1" si="117"/>
        <v>2.775E-2</v>
      </c>
      <c r="Q153" s="310">
        <f t="shared" ca="1" si="117"/>
        <v>2.8250000000000001E-2</v>
      </c>
    </row>
    <row r="154" spans="2:17" ht="12.75" customHeight="1">
      <c r="B154" s="119" t="str">
        <f ca="1">+B134</f>
        <v>Term Loan</v>
      </c>
      <c r="E154" s="274" t="s">
        <v>187</v>
      </c>
      <c r="F154" s="275">
        <v>0.03</v>
      </c>
      <c r="G154" s="276">
        <v>0</v>
      </c>
      <c r="H154" s="276">
        <v>0</v>
      </c>
      <c r="J154" s="155"/>
      <c r="K154" s="155"/>
      <c r="L154" s="310">
        <f t="shared" ca="1" si="117"/>
        <v>0.03</v>
      </c>
      <c r="M154" s="310">
        <f t="shared" ca="1" si="117"/>
        <v>0.03</v>
      </c>
      <c r="N154" s="310">
        <f t="shared" ca="1" si="117"/>
        <v>0.03</v>
      </c>
      <c r="O154" s="310">
        <f t="shared" ca="1" si="117"/>
        <v>0.03</v>
      </c>
      <c r="P154" s="310">
        <f t="shared" ca="1" si="117"/>
        <v>0.03</v>
      </c>
      <c r="Q154" s="310">
        <f t="shared" ca="1" si="117"/>
        <v>0.03</v>
      </c>
    </row>
    <row r="155" spans="2:17" ht="12.75" customHeight="1">
      <c r="B155" s="119" t="str">
        <f ca="1">+B135</f>
        <v>Repurchase Agreement Loans</v>
      </c>
      <c r="E155" s="274" t="s">
        <v>187</v>
      </c>
      <c r="F155" s="275">
        <v>2.5000000000000001E-3</v>
      </c>
      <c r="G155" s="276">
        <v>0</v>
      </c>
      <c r="H155" s="276">
        <v>0.02</v>
      </c>
      <c r="J155" s="155"/>
      <c r="K155" s="155"/>
      <c r="L155" s="310">
        <f t="shared" ca="1" si="117"/>
        <v>2.5000000000000001E-3</v>
      </c>
      <c r="M155" s="310">
        <f t="shared" ca="1" si="117"/>
        <v>2.5000000000000001E-3</v>
      </c>
      <c r="N155" s="310">
        <f t="shared" ca="1" si="117"/>
        <v>2.5000000000000001E-3</v>
      </c>
      <c r="O155" s="310">
        <f t="shared" ca="1" si="117"/>
        <v>2.5000000000000001E-3</v>
      </c>
      <c r="P155" s="310">
        <f t="shared" ca="1" si="117"/>
        <v>2.5000000000000001E-3</v>
      </c>
      <c r="Q155" s="310">
        <f t="shared" ca="1" si="117"/>
        <v>2.5000000000000001E-3</v>
      </c>
    </row>
    <row r="156" spans="2:17" ht="12.75" customHeight="1">
      <c r="B156" s="119" t="str">
        <f ca="1">+B138</f>
        <v>Interest Income</v>
      </c>
      <c r="E156" s="274" t="s">
        <v>187</v>
      </c>
      <c r="F156" s="275">
        <v>5.0000000000000001E-3</v>
      </c>
      <c r="G156" s="276">
        <v>0</v>
      </c>
      <c r="H156" s="276">
        <v>0.02</v>
      </c>
      <c r="J156" s="155"/>
      <c r="K156" s="155"/>
      <c r="L156" s="310">
        <f t="shared" ca="1" si="117"/>
        <v>5.0000000000000001E-3</v>
      </c>
      <c r="M156" s="310">
        <f t="shared" ca="1" si="117"/>
        <v>5.0000000000000001E-3</v>
      </c>
      <c r="N156" s="310">
        <f t="shared" ca="1" si="117"/>
        <v>5.0000000000000001E-3</v>
      </c>
      <c r="O156" s="310">
        <f t="shared" ca="1" si="117"/>
        <v>5.0000000000000001E-3</v>
      </c>
      <c r="P156" s="310">
        <f t="shared" ca="1" si="117"/>
        <v>5.0000000000000001E-3</v>
      </c>
      <c r="Q156" s="310">
        <f t="shared" ca="1" si="117"/>
        <v>5.0000000000000001E-3</v>
      </c>
    </row>
    <row r="157" spans="2:17" ht="12.75" customHeight="1">
      <c r="J157" s="155"/>
      <c r="K157" s="155"/>
      <c r="L157" s="155"/>
      <c r="M157" s="155"/>
      <c r="N157" s="155"/>
      <c r="O157" s="155"/>
      <c r="P157" s="155"/>
      <c r="Q157" s="155"/>
    </row>
    <row r="158" spans="2:17" ht="16" customHeight="1" thickBot="1">
      <c r="B158" s="277" t="s">
        <v>286</v>
      </c>
      <c r="C158" s="277"/>
      <c r="D158" s="278"/>
      <c r="E158" s="278"/>
      <c r="F158" s="278"/>
      <c r="G158" s="278"/>
      <c r="H158" s="278"/>
      <c r="I158" s="278"/>
      <c r="J158" s="278"/>
      <c r="K158" s="278"/>
      <c r="L158" s="278"/>
      <c r="M158" s="278"/>
      <c r="N158" s="278"/>
      <c r="O158" s="278"/>
      <c r="P158" s="279"/>
      <c r="Q158" s="279"/>
    </row>
    <row r="159" spans="2:17" ht="15" customHeight="1">
      <c r="B159" s="268" t="str">
        <f ca="1">+B7</f>
        <v>Fiscal Year Ended December 31,</v>
      </c>
      <c r="C159" s="268"/>
      <c r="D159" s="268"/>
      <c r="E159" s="268"/>
      <c r="F159" s="268"/>
      <c r="G159" s="268"/>
      <c r="H159" s="268"/>
      <c r="I159" s="297"/>
      <c r="J159" s="297">
        <f t="shared" ref="J159:Q159" ca="1" si="118">J7</f>
        <v>2017</v>
      </c>
      <c r="K159" s="331">
        <f t="shared" ca="1" si="118"/>
        <v>2018</v>
      </c>
      <c r="L159" s="332">
        <f t="shared" ca="1" si="118"/>
        <v>2019</v>
      </c>
      <c r="M159" s="298">
        <f t="shared" ca="1" si="118"/>
        <v>2020</v>
      </c>
      <c r="N159" s="298">
        <f t="shared" ca="1" si="118"/>
        <v>2021</v>
      </c>
      <c r="O159" s="298">
        <f t="shared" ca="1" si="118"/>
        <v>2022</v>
      </c>
      <c r="P159" s="298">
        <f t="shared" ca="1" si="118"/>
        <v>2023</v>
      </c>
      <c r="Q159" s="298">
        <f t="shared" ca="1" si="118"/>
        <v>2024</v>
      </c>
    </row>
    <row r="160" spans="2:17" ht="15" customHeight="1">
      <c r="B160" s="3" t="s">
        <v>9</v>
      </c>
      <c r="J160" s="155">
        <f ca="1">+(J64+J62)/(J62+J64+J68)</f>
        <v>0.41378081239244696</v>
      </c>
      <c r="K160" s="155">
        <f t="shared" ref="K160:Q160" ca="1" si="119">+(K64+K62)/(K62+K64+K68)</f>
        <v>0.37009789513045516</v>
      </c>
      <c r="L160" s="155">
        <f t="shared" ca="1" si="119"/>
        <v>0.35085420868573547</v>
      </c>
      <c r="M160" s="155">
        <f t="shared" ca="1" si="119"/>
        <v>0.33219728613892363</v>
      </c>
      <c r="N160" s="155">
        <f t="shared" ca="1" si="119"/>
        <v>0.31253940492501237</v>
      </c>
      <c r="O160" s="155">
        <f t="shared" ca="1" si="119"/>
        <v>0.29233076387864354</v>
      </c>
      <c r="P160" s="155">
        <f t="shared" ca="1" si="119"/>
        <v>0.27189149829507281</v>
      </c>
      <c r="Q160" s="155">
        <f t="shared" ca="1" si="119"/>
        <v>0.2515284309434429</v>
      </c>
    </row>
    <row r="161" spans="2:17" ht="12.75" customHeight="1">
      <c r="B161" s="3" t="s">
        <v>10</v>
      </c>
      <c r="J161" s="155">
        <f ca="1">+IF((J64+J62-J52)/(J62+J64+J68)&lt;0,"NM",(J64+J62-J52)/(J62+J64+J68))</f>
        <v>0.30703074251645129</v>
      </c>
      <c r="K161" s="155">
        <f t="shared" ref="K161:Q161" ca="1" si="120">+IF((K64+K62-K52)/(K62+K64+K68)&lt;0,"NM",(K64+K62-K52)/(K62+K64+K68))</f>
        <v>0.29689199778670822</v>
      </c>
      <c r="L161" s="155">
        <f t="shared" ca="1" si="120"/>
        <v>0.31838891648542222</v>
      </c>
      <c r="M161" s="155">
        <f t="shared" ca="1" si="120"/>
        <v>0.13983154177737295</v>
      </c>
      <c r="N161" s="155">
        <f t="shared" ca="1" si="120"/>
        <v>0.16283759898327502</v>
      </c>
      <c r="O161" s="155">
        <f t="shared" ca="1" si="120"/>
        <v>0.18503262453070207</v>
      </c>
      <c r="P161" s="155">
        <f t="shared" ca="1" si="120"/>
        <v>0.20615431589221925</v>
      </c>
      <c r="Q161" s="155">
        <f t="shared" ca="1" si="120"/>
        <v>0.22598313673219442</v>
      </c>
    </row>
    <row r="162" spans="2:17" ht="12.75" customHeight="1">
      <c r="B162" s="1" t="s">
        <v>281</v>
      </c>
      <c r="C162" s="72"/>
      <c r="D162" s="72"/>
      <c r="E162" s="72"/>
      <c r="J162" s="155">
        <f t="shared" ref="J162:Q162" ca="1" si="121">+J68/J59</f>
        <v>0.11114112502829576</v>
      </c>
      <c r="K162" s="155">
        <f t="shared" ca="1" si="121"/>
        <v>0.13828322304199725</v>
      </c>
      <c r="L162" s="155">
        <f t="shared" ca="1" si="121"/>
        <v>0.13898693533629339</v>
      </c>
      <c r="M162" s="155">
        <f t="shared" ca="1" si="121"/>
        <v>0.14160674045091817</v>
      </c>
      <c r="N162" s="155">
        <f t="shared" ca="1" si="121"/>
        <v>0.14508366680038315</v>
      </c>
      <c r="O162" s="155">
        <f t="shared" ca="1" si="121"/>
        <v>0.14931388236842674</v>
      </c>
      <c r="P162" s="155">
        <f t="shared" ca="1" si="121"/>
        <v>0.154261809618785</v>
      </c>
      <c r="Q162" s="155">
        <f t="shared" ca="1" si="121"/>
        <v>0.15989076579686781</v>
      </c>
    </row>
    <row r="163" spans="2:17" ht="12.75" customHeight="1">
      <c r="B163" s="1" t="s">
        <v>282</v>
      </c>
      <c r="C163" s="72"/>
      <c r="D163" s="72"/>
      <c r="E163" s="72"/>
      <c r="J163" s="155">
        <f t="shared" ref="J163:Q163" ca="1" si="122">+SUM(J64,J62)/J68</f>
        <v>0.70584658629334096</v>
      </c>
      <c r="K163" s="155">
        <f t="shared" ca="1" si="122"/>
        <v>0.58754827499283213</v>
      </c>
      <c r="L163" s="155">
        <f t="shared" ca="1" si="122"/>
        <v>0.54048599464134839</v>
      </c>
      <c r="M163" s="155">
        <f t="shared" ca="1" si="122"/>
        <v>0.4974482421885319</v>
      </c>
      <c r="N163" s="155">
        <f t="shared" ca="1" si="122"/>
        <v>0.45462882842167973</v>
      </c>
      <c r="O163" s="155">
        <f t="shared" ca="1" si="122"/>
        <v>0.41308954658092895</v>
      </c>
      <c r="P163" s="155">
        <f t="shared" ca="1" si="122"/>
        <v>0.37342167775601581</v>
      </c>
      <c r="Q163" s="155">
        <f t="shared" ca="1" si="122"/>
        <v>0.33605609263220598</v>
      </c>
    </row>
    <row r="164" spans="2:17" ht="12.75" customHeight="1">
      <c r="B164" s="1" t="s">
        <v>55</v>
      </c>
      <c r="C164" s="72"/>
      <c r="D164" s="72"/>
      <c r="E164" s="72"/>
      <c r="J164" s="106">
        <f ca="1">+(J64+J62)/J32</f>
        <v>4.6313781488788832</v>
      </c>
      <c r="K164" s="106">
        <f t="shared" ref="K164:Q164" ca="1" si="123">+(K64+K62)/K32</f>
        <v>4.6488504872107184</v>
      </c>
      <c r="L164" s="106">
        <f t="shared" ca="1" si="123"/>
        <v>3.0473556959761403</v>
      </c>
      <c r="M164" s="106">
        <f t="shared" ca="1" si="123"/>
        <v>2.8884197288263613</v>
      </c>
      <c r="N164" s="106">
        <f t="shared" ca="1" si="123"/>
        <v>2.5816882360319768</v>
      </c>
      <c r="O164" s="106">
        <f t="shared" ca="1" si="123"/>
        <v>2.3074706215394665</v>
      </c>
      <c r="P164" s="106">
        <f t="shared" ca="1" si="123"/>
        <v>2.0623214802663901</v>
      </c>
      <c r="Q164" s="106">
        <f t="shared" ca="1" si="123"/>
        <v>1.8431608991946222</v>
      </c>
    </row>
    <row r="165" spans="2:17" ht="12.75" customHeight="1">
      <c r="B165" s="1" t="s">
        <v>112</v>
      </c>
      <c r="C165" s="72"/>
      <c r="D165" s="72"/>
      <c r="E165" s="72"/>
      <c r="J165" s="106">
        <f ca="1">+MAX(0,(J64+J62-J52)/J32)</f>
        <v>3.4365428007717531</v>
      </c>
      <c r="K165" s="106">
        <f t="shared" ref="K165:Q165" ca="1" si="124">+MAX(0,(K64+K62-K52)/K32)</f>
        <v>3.7293011571254562</v>
      </c>
      <c r="L165" s="106">
        <f t="shared" ca="1" si="124"/>
        <v>2.7653773395563941</v>
      </c>
      <c r="M165" s="106">
        <f t="shared" ca="1" si="124"/>
        <v>1.2158202394617559</v>
      </c>
      <c r="N165" s="106">
        <f t="shared" ca="1" si="124"/>
        <v>1.3450973127042309</v>
      </c>
      <c r="O165" s="106">
        <f t="shared" ca="1" si="124"/>
        <v>1.460528271010787</v>
      </c>
      <c r="P165" s="106">
        <f t="shared" ca="1" si="124"/>
        <v>1.563699036491172</v>
      </c>
      <c r="Q165" s="106">
        <f t="shared" ca="1" si="124"/>
        <v>1.6559689890316591</v>
      </c>
    </row>
    <row r="166" spans="2:17" ht="12.75" customHeight="1">
      <c r="B166" s="1"/>
      <c r="C166" s="72"/>
      <c r="D166" s="72"/>
      <c r="E166" s="72"/>
      <c r="J166" s="155"/>
      <c r="K166" s="155"/>
      <c r="L166" s="155"/>
      <c r="M166" s="155"/>
      <c r="N166" s="155"/>
      <c r="O166" s="155"/>
      <c r="P166" s="155"/>
      <c r="Q166" s="155"/>
    </row>
    <row r="167" spans="2:17" ht="12.75" customHeight="1">
      <c r="B167" s="1" t="s">
        <v>290</v>
      </c>
      <c r="C167" s="72"/>
      <c r="D167" s="72"/>
      <c r="E167" s="72"/>
      <c r="J167" s="247">
        <f ca="1">+J68-J56-J57</f>
        <v>442.55500000000006</v>
      </c>
      <c r="K167" s="247">
        <f t="shared" ref="K167:Q167" ca="1" si="125">+K68-K56-K57</f>
        <v>683.94499999999994</v>
      </c>
      <c r="L167" s="247">
        <f t="shared" ca="1" si="125"/>
        <v>764.29014864788178</v>
      </c>
      <c r="M167" s="247">
        <f t="shared" ca="1" si="125"/>
        <v>850.12898234098247</v>
      </c>
      <c r="N167" s="247">
        <f t="shared" ca="1" si="125"/>
        <v>951.59960644399621</v>
      </c>
      <c r="O167" s="247">
        <f t="shared" ca="1" si="125"/>
        <v>1069.7416302071908</v>
      </c>
      <c r="P167" s="247">
        <f t="shared" ca="1" si="125"/>
        <v>1206.4335256349307</v>
      </c>
      <c r="Q167" s="247">
        <f t="shared" ca="1" si="125"/>
        <v>1363.7589854705955</v>
      </c>
    </row>
    <row r="168" spans="2:17" ht="12.75" customHeight="1">
      <c r="B168" s="1" t="s">
        <v>12</v>
      </c>
      <c r="C168" s="72"/>
      <c r="D168" s="72"/>
      <c r="E168" s="72"/>
      <c r="J168" s="247">
        <f ca="1">+J19</f>
        <v>43.820000000000043</v>
      </c>
      <c r="K168" s="247">
        <f t="shared" ref="K168:Q168" ca="1" si="126">+K19</f>
        <v>73.057000000000016</v>
      </c>
      <c r="L168" s="247">
        <f t="shared" ca="1" si="126"/>
        <v>110.92057970617137</v>
      </c>
      <c r="M168" s="247">
        <f t="shared" ca="1" si="126"/>
        <v>116.23386974535367</v>
      </c>
      <c r="N168" s="247">
        <f t="shared" ca="1" si="126"/>
        <v>131.45756376049223</v>
      </c>
      <c r="O168" s="247">
        <f t="shared" ca="1" si="126"/>
        <v>147.68005738642091</v>
      </c>
      <c r="P168" s="247">
        <f t="shared" ca="1" si="126"/>
        <v>165.73613241328869</v>
      </c>
      <c r="Q168" s="247">
        <f t="shared" ca="1" si="126"/>
        <v>185.82652051976856</v>
      </c>
    </row>
    <row r="169" spans="2:17" ht="12.75" customHeight="1">
      <c r="B169" s="1" t="s">
        <v>283</v>
      </c>
      <c r="C169" s="72"/>
      <c r="D169" s="72"/>
      <c r="E169" s="72"/>
      <c r="J169" s="155">
        <f ca="1">+J168/J167</f>
        <v>9.9015941521392897E-2</v>
      </c>
      <c r="K169" s="155">
        <f t="shared" ref="K169:Q169" ca="1" si="127">+K168/K167</f>
        <v>0.1068170686239391</v>
      </c>
      <c r="L169" s="155">
        <f t="shared" ca="1" si="127"/>
        <v>0.14512888842333344</v>
      </c>
      <c r="M169" s="155">
        <f t="shared" ca="1" si="127"/>
        <v>0.13672498192601656</v>
      </c>
      <c r="N169" s="155">
        <f t="shared" ca="1" si="127"/>
        <v>0.13814377693127894</v>
      </c>
      <c r="O169" s="155">
        <f t="shared" ca="1" si="127"/>
        <v>0.13805208025588178</v>
      </c>
      <c r="P169" s="155">
        <f t="shared" ca="1" si="127"/>
        <v>0.1373769286841261</v>
      </c>
      <c r="Q169" s="155">
        <f t="shared" ca="1" si="127"/>
        <v>0.13626052880278181</v>
      </c>
    </row>
    <row r="170" spans="2:17" ht="12.75" customHeight="1">
      <c r="B170" s="1" t="s">
        <v>291</v>
      </c>
      <c r="C170" s="72"/>
      <c r="D170" s="72"/>
      <c r="E170" s="72"/>
      <c r="J170" s="155">
        <f ca="1">+J167/J59</f>
        <v>8.1712427940441729E-2</v>
      </c>
      <c r="K170" s="155">
        <f t="shared" ref="K170:Q170" ca="1" si="128">+K167/K59</f>
        <v>9.0996671968136877E-2</v>
      </c>
      <c r="L170" s="155">
        <f t="shared" ca="1" si="128"/>
        <v>9.4870096236279039E-2</v>
      </c>
      <c r="M170" s="155">
        <f t="shared" ca="1" si="128"/>
        <v>9.9858815300977719E-2</v>
      </c>
      <c r="N170" s="155">
        <f t="shared" ca="1" si="128"/>
        <v>0.10563139142500096</v>
      </c>
      <c r="O170" s="155">
        <f t="shared" ca="1" si="128"/>
        <v>0.11207715468330913</v>
      </c>
      <c r="P170" s="155">
        <f t="shared" ca="1" si="128"/>
        <v>0.11915807078007112</v>
      </c>
      <c r="Q170" s="155">
        <f t="shared" ca="1" si="128"/>
        <v>0.12683575022865715</v>
      </c>
    </row>
    <row r="171" spans="2:17" ht="12.75" customHeight="1">
      <c r="B171" s="1"/>
      <c r="C171" s="72"/>
      <c r="D171" s="72"/>
      <c r="E171" s="72"/>
      <c r="J171" s="155"/>
      <c r="K171" s="155"/>
      <c r="L171" s="155"/>
      <c r="M171" s="155"/>
      <c r="N171" s="155"/>
      <c r="O171" s="155"/>
      <c r="P171" s="155"/>
      <c r="Q171" s="155"/>
    </row>
    <row r="172" spans="2:17" ht="12.75" customHeight="1">
      <c r="B172" s="1" t="s">
        <v>284</v>
      </c>
      <c r="C172" s="72"/>
      <c r="D172" s="72"/>
      <c r="E172" s="72"/>
      <c r="J172" s="155">
        <f t="shared" ref="J172:Q172" ca="1" si="129">+J168/J68</f>
        <v>7.2797832345695077E-2</v>
      </c>
      <c r="K172" s="155">
        <f t="shared" ca="1" si="129"/>
        <v>7.0290506254822707E-2</v>
      </c>
      <c r="L172" s="155">
        <f t="shared" ca="1" si="129"/>
        <v>9.9062487981850869E-2</v>
      </c>
      <c r="M172" s="155">
        <f t="shared" ca="1" si="129"/>
        <v>9.6416277033873884E-2</v>
      </c>
      <c r="N172" s="155">
        <f t="shared" ca="1" si="129"/>
        <v>0.10057865020762906</v>
      </c>
      <c r="O172" s="155">
        <f t="shared" ca="1" si="129"/>
        <v>0.1036238835114692</v>
      </c>
      <c r="P172" s="155">
        <f t="shared" ca="1" si="129"/>
        <v>0.10611550475224363</v>
      </c>
      <c r="Q172" s="155">
        <f t="shared" ca="1" si="129"/>
        <v>0.10809070999891937</v>
      </c>
    </row>
    <row r="173" spans="2:17" ht="12.75" customHeight="1">
      <c r="B173" s="1" t="s">
        <v>285</v>
      </c>
      <c r="C173" s="72"/>
      <c r="D173" s="72"/>
      <c r="E173" s="72"/>
      <c r="J173" s="155">
        <f t="shared" ref="J173:Q173" ca="1" si="130">+J168/J59</f>
        <v>8.0908329865218096E-3</v>
      </c>
      <c r="K173" s="155">
        <f t="shared" ca="1" si="130"/>
        <v>9.7199977541705517E-3</v>
      </c>
      <c r="L173" s="155">
        <f t="shared" ca="1" si="130"/>
        <v>1.3768391611385848E-2</v>
      </c>
      <c r="M173" s="155">
        <f t="shared" ca="1" si="130"/>
        <v>1.3653194717179603E-2</v>
      </c>
      <c r="N173" s="155">
        <f t="shared" ca="1" si="130"/>
        <v>1.4592319373955942E-2</v>
      </c>
      <c r="O173" s="155">
        <f t="shared" ca="1" si="130"/>
        <v>1.5472484353191068E-2</v>
      </c>
      <c r="P173" s="155">
        <f t="shared" ca="1" si="130"/>
        <v>1.6369569791691883E-2</v>
      </c>
      <c r="Q173" s="155">
        <f t="shared" ca="1" si="130"/>
        <v>1.7282706397254374E-2</v>
      </c>
    </row>
    <row r="174" spans="2:17" ht="12.75" customHeight="1">
      <c r="J174" s="155"/>
      <c r="K174" s="155"/>
      <c r="L174" s="155"/>
      <c r="M174" s="155"/>
      <c r="N174" s="155"/>
      <c r="O174" s="155"/>
      <c r="P174" s="155"/>
      <c r="Q174" s="155"/>
    </row>
    <row r="175" spans="2:17" ht="16" customHeight="1" thickBot="1">
      <c r="B175" s="277" t="s">
        <v>119</v>
      </c>
      <c r="C175" s="277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8"/>
      <c r="P175" s="279"/>
      <c r="Q175" s="279"/>
    </row>
    <row r="176" spans="2:17" ht="15" customHeight="1">
      <c r="B176" s="286" t="str">
        <f ca="1">$B$7</f>
        <v>Fiscal Year Ended December 31,</v>
      </c>
      <c r="C176" s="330"/>
      <c r="D176" s="330"/>
      <c r="E176" s="330"/>
      <c r="F176" s="330"/>
      <c r="G176" s="330"/>
      <c r="H176" s="330"/>
      <c r="I176" s="297"/>
      <c r="J176" s="297"/>
      <c r="K176" s="331"/>
      <c r="L176" s="332">
        <f t="shared" ref="L176:Q176" ca="1" si="131">L7</f>
        <v>2019</v>
      </c>
      <c r="M176" s="298">
        <f t="shared" ca="1" si="131"/>
        <v>2020</v>
      </c>
      <c r="N176" s="298">
        <f t="shared" ca="1" si="131"/>
        <v>2021</v>
      </c>
      <c r="O176" s="298">
        <f t="shared" ca="1" si="131"/>
        <v>2022</v>
      </c>
      <c r="P176" s="298">
        <f t="shared" ca="1" si="131"/>
        <v>2023</v>
      </c>
      <c r="Q176" s="298">
        <f t="shared" ca="1" si="131"/>
        <v>2024</v>
      </c>
    </row>
    <row r="177" spans="2:18" s="14" customFormat="1" ht="15" customHeight="1">
      <c r="B177" s="9" t="s">
        <v>118</v>
      </c>
      <c r="C177" s="9"/>
      <c r="D177" s="9"/>
      <c r="E177" s="9"/>
      <c r="F177" s="9"/>
      <c r="G177" s="19"/>
      <c r="H177" s="19"/>
      <c r="I177" s="264">
        <f ca="1">afy+1</f>
        <v>2019</v>
      </c>
      <c r="J177" s="264">
        <f ca="1">afy+2</f>
        <v>2020</v>
      </c>
      <c r="L177" s="24"/>
      <c r="M177" s="24">
        <f ca="1">M21</f>
        <v>2.2899204573335368</v>
      </c>
      <c r="N177" s="24">
        <f ca="1">N21</f>
        <v>2.5898420588239275</v>
      </c>
      <c r="O177" s="24">
        <f ca="1">O21</f>
        <v>2.9094409855770471</v>
      </c>
      <c r="P177" s="24">
        <f ca="1">P21</f>
        <v>3.2651632520193252</v>
      </c>
      <c r="Q177" s="24">
        <f ca="1">Q21</f>
        <v>3.660963467753239</v>
      </c>
      <c r="R177" s="352">
        <f ca="1">Q177*(1+altg)</f>
        <v>4.0270598145285632</v>
      </c>
    </row>
    <row r="178" spans="2:18" s="14" customFormat="1" ht="12.75" customHeight="1">
      <c r="B178" s="9" t="s">
        <v>203</v>
      </c>
      <c r="C178" s="9"/>
      <c r="D178" s="9"/>
      <c r="E178" s="9"/>
      <c r="F178" s="9"/>
      <c r="G178" s="9"/>
      <c r="H178" s="9"/>
      <c r="I178" s="299">
        <f ca="1">'Spread Cover'!J28</f>
        <v>11.036529680365298</v>
      </c>
      <c r="J178" s="299">
        <f ca="1">'Spread Cover'!J29</f>
        <v>10.554585152838429</v>
      </c>
      <c r="L178" s="353"/>
      <c r="M178" s="300">
        <f ca="1">$I178*M177</f>
        <v>25.272775093037257</v>
      </c>
      <c r="N178" s="300">
        <f ca="1">$I178*N177</f>
        <v>28.582868749668645</v>
      </c>
      <c r="O178" s="300">
        <f ca="1">$I178*O177</f>
        <v>32.110131790592348</v>
      </c>
      <c r="P178" s="300">
        <f ca="1">$I178*P177</f>
        <v>36.03607114214936</v>
      </c>
      <c r="Q178" s="300">
        <f ca="1">$I178*Q177</f>
        <v>40.404331970591691</v>
      </c>
      <c r="R178" s="28"/>
    </row>
    <row r="179" spans="2:18" s="14" customFormat="1" ht="12.75" customHeight="1">
      <c r="B179" s="9" t="s">
        <v>164</v>
      </c>
      <c r="C179" s="9"/>
      <c r="D179" s="9"/>
      <c r="E179" s="9"/>
      <c r="F179" s="9"/>
      <c r="G179" s="9"/>
      <c r="H179" s="9"/>
      <c r="I179" s="301"/>
      <c r="L179" s="354">
        <v>0.05</v>
      </c>
      <c r="M179" s="284">
        <f ca="1">L179</f>
        <v>0.05</v>
      </c>
      <c r="N179" s="284">
        <f ca="1">M179</f>
        <v>0.05</v>
      </c>
      <c r="O179" s="284">
        <f ca="1">N179</f>
        <v>0.05</v>
      </c>
      <c r="P179" s="284">
        <f ca="1">O179</f>
        <v>0.05</v>
      </c>
      <c r="Q179" s="284">
        <f ca="1">P179</f>
        <v>0.05</v>
      </c>
      <c r="R179" s="28"/>
    </row>
    <row r="180" spans="2:18" s="262" customFormat="1" ht="12.75" customHeight="1">
      <c r="B180" s="9" t="s">
        <v>120</v>
      </c>
      <c r="C180" s="197"/>
      <c r="D180" s="197"/>
      <c r="E180" s="197"/>
      <c r="F180" s="197"/>
      <c r="G180" s="197"/>
      <c r="H180" s="197"/>
      <c r="I180" s="302"/>
      <c r="L180" s="355">
        <f ca="1">aprice*(1+L179)</f>
        <v>25.378500000000003</v>
      </c>
      <c r="M180" s="303">
        <f ca="1">M178*(1+M179)</f>
        <v>26.536413847689122</v>
      </c>
      <c r="N180" s="303">
        <f ca="1">N178*(1+N179)</f>
        <v>30.012012187152077</v>
      </c>
      <c r="O180" s="303">
        <f ca="1">O178*(1+O179)</f>
        <v>33.715638380121966</v>
      </c>
      <c r="P180" s="303">
        <f ca="1">P178*(1+P179)</f>
        <v>37.83787469925683</v>
      </c>
      <c r="Q180" s="303">
        <f ca="1">Q178*(1+Q179)</f>
        <v>42.424548569121278</v>
      </c>
      <c r="R180" s="304"/>
    </row>
    <row r="181" spans="2:18" s="14" customFormat="1" ht="12.75" customHeight="1">
      <c r="B181" s="9"/>
      <c r="C181" s="9"/>
      <c r="D181" s="9"/>
      <c r="E181" s="9"/>
      <c r="F181" s="9"/>
      <c r="G181" s="19"/>
      <c r="H181" s="19"/>
      <c r="I181" s="19"/>
      <c r="L181" s="305"/>
      <c r="M181" s="305"/>
      <c r="N181" s="305"/>
      <c r="O181" s="305"/>
      <c r="P181" s="305"/>
      <c r="Q181" s="305"/>
      <c r="R181" s="9"/>
    </row>
    <row r="182" spans="2:18" s="14" customFormat="1" ht="12.75" customHeight="1">
      <c r="B182" s="9" t="s">
        <v>191</v>
      </c>
      <c r="C182" s="9"/>
      <c r="D182" s="9"/>
      <c r="E182" s="9"/>
      <c r="F182" s="9"/>
      <c r="G182" s="19"/>
      <c r="H182" s="19"/>
      <c r="I182" s="19"/>
      <c r="L182" s="47">
        <v>0</v>
      </c>
      <c r="M182" s="47">
        <v>0</v>
      </c>
      <c r="N182" s="47">
        <v>0</v>
      </c>
      <c r="O182" s="47">
        <v>0</v>
      </c>
      <c r="P182" s="47">
        <v>0</v>
      </c>
      <c r="Q182" s="47">
        <v>0</v>
      </c>
      <c r="R182" s="9"/>
    </row>
    <row r="183" spans="2:18" s="14" customFormat="1" ht="12.75" customHeight="1">
      <c r="B183" s="9"/>
      <c r="C183" s="9"/>
      <c r="D183" s="9"/>
      <c r="E183" s="9"/>
      <c r="F183" s="9"/>
      <c r="G183" s="19"/>
      <c r="H183" s="19"/>
      <c r="I183" s="19"/>
      <c r="L183" s="305"/>
      <c r="M183" s="305"/>
      <c r="N183" s="305"/>
      <c r="O183" s="305"/>
      <c r="P183" s="305"/>
      <c r="Q183" s="305"/>
      <c r="R183" s="9"/>
    </row>
    <row r="184" spans="2:18" s="14" customFormat="1" ht="12.75" customHeight="1">
      <c r="B184" s="9" t="s">
        <v>194</v>
      </c>
      <c r="C184" s="9"/>
      <c r="D184" s="9"/>
      <c r="E184" s="9"/>
      <c r="F184" s="9"/>
      <c r="G184" s="19"/>
      <c r="H184" s="19"/>
      <c r="I184" s="19"/>
      <c r="L184" s="291">
        <f ca="1">L190+(adshares-ashares)</f>
        <v>50.758911460488214</v>
      </c>
      <c r="M184" s="23">
        <f ca="1">+L187</f>
        <v>50.758911460488214</v>
      </c>
      <c r="N184" s="23">
        <f ca="1">+M187</f>
        <v>50.758911460488214</v>
      </c>
      <c r="O184" s="23">
        <f ca="1">+N187</f>
        <v>50.758911460488214</v>
      </c>
      <c r="P184" s="23">
        <f ca="1">+O187</f>
        <v>50.758911460488214</v>
      </c>
      <c r="Q184" s="23">
        <f ca="1">+P187</f>
        <v>50.758911460488214</v>
      </c>
      <c r="R184" s="9"/>
    </row>
    <row r="185" spans="2:18" s="14" customFormat="1" ht="12.75" customHeight="1">
      <c r="B185" s="9" t="s">
        <v>192</v>
      </c>
      <c r="C185" s="9"/>
      <c r="D185" s="9"/>
      <c r="E185" s="9"/>
      <c r="F185" s="9"/>
      <c r="G185" s="19"/>
      <c r="H185" s="19"/>
      <c r="I185" s="19"/>
      <c r="L185" s="26">
        <v>0</v>
      </c>
      <c r="M185" s="26">
        <v>0</v>
      </c>
      <c r="N185" s="26">
        <v>0</v>
      </c>
      <c r="O185" s="26">
        <v>0</v>
      </c>
      <c r="P185" s="26">
        <v>0</v>
      </c>
      <c r="Q185" s="26">
        <v>0</v>
      </c>
      <c r="R185" s="9"/>
    </row>
    <row r="186" spans="2:18" s="14" customFormat="1" ht="12.75" customHeight="1">
      <c r="B186" s="9" t="s">
        <v>160</v>
      </c>
      <c r="C186" s="9"/>
      <c r="D186" s="9"/>
      <c r="E186" s="9"/>
      <c r="F186" s="9"/>
      <c r="G186" s="19"/>
      <c r="H186" s="19"/>
      <c r="I186" s="19"/>
      <c r="L186" s="23">
        <f t="shared" ref="L186:Q186" ca="1" si="132">IF(L182=0,0,-L182/L180)</f>
        <v>0</v>
      </c>
      <c r="M186" s="23">
        <f t="shared" ca="1" si="132"/>
        <v>0</v>
      </c>
      <c r="N186" s="23">
        <f t="shared" ca="1" si="132"/>
        <v>0</v>
      </c>
      <c r="O186" s="23">
        <f t="shared" ca="1" si="132"/>
        <v>0</v>
      </c>
      <c r="P186" s="23">
        <f t="shared" ca="1" si="132"/>
        <v>0</v>
      </c>
      <c r="Q186" s="23">
        <f t="shared" ca="1" si="132"/>
        <v>0</v>
      </c>
      <c r="R186" s="9"/>
    </row>
    <row r="187" spans="2:18" s="14" customFormat="1" ht="12.75" customHeight="1">
      <c r="B187" s="9" t="s">
        <v>161</v>
      </c>
      <c r="C187" s="9"/>
      <c r="D187" s="9"/>
      <c r="E187" s="9"/>
      <c r="F187" s="9"/>
      <c r="G187" s="19"/>
      <c r="H187" s="19"/>
      <c r="I187" s="19"/>
      <c r="L187" s="295">
        <f t="shared" ref="L187:Q187" ca="1" si="133">SUM(L184:L186)</f>
        <v>50.758911460488214</v>
      </c>
      <c r="M187" s="295">
        <f t="shared" ca="1" si="133"/>
        <v>50.758911460488214</v>
      </c>
      <c r="N187" s="295">
        <f t="shared" ca="1" si="133"/>
        <v>50.758911460488214</v>
      </c>
      <c r="O187" s="295">
        <f t="shared" ca="1" si="133"/>
        <v>50.758911460488214</v>
      </c>
      <c r="P187" s="295">
        <f t="shared" ca="1" si="133"/>
        <v>50.758911460488214</v>
      </c>
      <c r="Q187" s="295">
        <f t="shared" ca="1" si="133"/>
        <v>50.758911460488214</v>
      </c>
      <c r="R187" s="9"/>
    </row>
    <row r="188" spans="2:18" s="14" customFormat="1" ht="12.75" customHeight="1">
      <c r="B188" s="14" t="s">
        <v>71</v>
      </c>
      <c r="F188" s="14" t="s">
        <v>162</v>
      </c>
      <c r="G188" s="356">
        <v>0.5</v>
      </c>
      <c r="H188" s="356"/>
      <c r="I188" s="19"/>
      <c r="L188" s="23">
        <f t="shared" ref="L188:Q188" ca="1" si="134">((L184+L185)*$G188)+(L187*(1-$G188))</f>
        <v>50.758911460488214</v>
      </c>
      <c r="M188" s="23">
        <f t="shared" ca="1" si="134"/>
        <v>50.758911460488214</v>
      </c>
      <c r="N188" s="23">
        <f t="shared" ca="1" si="134"/>
        <v>50.758911460488214</v>
      </c>
      <c r="O188" s="23">
        <f t="shared" ca="1" si="134"/>
        <v>50.758911460488214</v>
      </c>
      <c r="P188" s="23">
        <f t="shared" ca="1" si="134"/>
        <v>50.758911460488214</v>
      </c>
      <c r="Q188" s="23">
        <f t="shared" ca="1" si="134"/>
        <v>50.758911460488214</v>
      </c>
    </row>
    <row r="189" spans="2:18" s="14" customFormat="1" ht="12.75" customHeight="1">
      <c r="B189" s="9"/>
      <c r="C189" s="9"/>
      <c r="D189" s="9"/>
      <c r="E189" s="9"/>
      <c r="F189" s="9"/>
      <c r="G189" s="9"/>
      <c r="H189" s="9"/>
      <c r="I189" s="306"/>
      <c r="J189" s="306"/>
      <c r="K189" s="306"/>
      <c r="L189" s="307"/>
      <c r="M189" s="307"/>
      <c r="N189" s="307"/>
      <c r="O189" s="307"/>
      <c r="P189" s="307"/>
      <c r="Q189" s="307"/>
    </row>
    <row r="190" spans="2:18" s="14" customFormat="1" ht="12.75" customHeight="1">
      <c r="B190" s="9" t="s">
        <v>193</v>
      </c>
      <c r="C190" s="9"/>
      <c r="D190" s="9"/>
      <c r="E190" s="9"/>
      <c r="F190" s="9"/>
      <c r="G190" s="19"/>
      <c r="H190" s="19"/>
      <c r="I190" s="19"/>
      <c r="L190" s="291">
        <f ca="1">afyshares</f>
        <v>50.7</v>
      </c>
      <c r="M190" s="23">
        <f ca="1">+L193</f>
        <v>50.7</v>
      </c>
      <c r="N190" s="23">
        <f ca="1">+M193</f>
        <v>50.7</v>
      </c>
      <c r="O190" s="23">
        <f ca="1">+N193</f>
        <v>50.7</v>
      </c>
      <c r="P190" s="23">
        <f ca="1">+O193</f>
        <v>50.7</v>
      </c>
      <c r="Q190" s="23">
        <f ca="1">+P193</f>
        <v>50.7</v>
      </c>
      <c r="R190" s="9"/>
    </row>
    <row r="191" spans="2:18" s="14" customFormat="1" ht="12.75" customHeight="1">
      <c r="B191" s="9" t="s">
        <v>192</v>
      </c>
      <c r="C191" s="9"/>
      <c r="D191" s="9"/>
      <c r="E191" s="9"/>
      <c r="F191" s="9"/>
      <c r="G191" s="19"/>
      <c r="H191" s="19"/>
      <c r="I191" s="19"/>
      <c r="L191" s="23">
        <f ca="1">+L185</f>
        <v>0</v>
      </c>
      <c r="M191" s="23">
        <f t="shared" ref="M191:Q192" ca="1" si="135">+M185</f>
        <v>0</v>
      </c>
      <c r="N191" s="23">
        <f t="shared" ca="1" si="135"/>
        <v>0</v>
      </c>
      <c r="O191" s="23">
        <f t="shared" ca="1" si="135"/>
        <v>0</v>
      </c>
      <c r="P191" s="23">
        <f t="shared" ca="1" si="135"/>
        <v>0</v>
      </c>
      <c r="Q191" s="23">
        <f t="shared" ca="1" si="135"/>
        <v>0</v>
      </c>
      <c r="R191" s="9"/>
    </row>
    <row r="192" spans="2:18" s="14" customFormat="1" ht="12.75" customHeight="1">
      <c r="B192" s="9" t="s">
        <v>160</v>
      </c>
      <c r="C192" s="9"/>
      <c r="D192" s="9"/>
      <c r="E192" s="9"/>
      <c r="F192" s="9"/>
      <c r="G192" s="19"/>
      <c r="H192" s="19"/>
      <c r="I192" s="19"/>
      <c r="L192" s="23">
        <f ca="1">+L186</f>
        <v>0</v>
      </c>
      <c r="M192" s="23">
        <f t="shared" ca="1" si="135"/>
        <v>0</v>
      </c>
      <c r="N192" s="23">
        <f t="shared" ca="1" si="135"/>
        <v>0</v>
      </c>
      <c r="O192" s="23">
        <f t="shared" ca="1" si="135"/>
        <v>0</v>
      </c>
      <c r="P192" s="23">
        <f t="shared" ca="1" si="135"/>
        <v>0</v>
      </c>
      <c r="Q192" s="23">
        <f t="shared" ca="1" si="135"/>
        <v>0</v>
      </c>
      <c r="R192" s="9"/>
    </row>
    <row r="193" spans="2:18" s="14" customFormat="1" ht="12.75" customHeight="1">
      <c r="B193" s="9" t="s">
        <v>161</v>
      </c>
      <c r="C193" s="9"/>
      <c r="D193" s="9"/>
      <c r="E193" s="9"/>
      <c r="F193" s="9"/>
      <c r="G193" s="19"/>
      <c r="H193" s="19"/>
      <c r="I193" s="19"/>
      <c r="L193" s="295">
        <f t="shared" ref="L193:Q193" ca="1" si="136">SUM(L190:L192)</f>
        <v>50.7</v>
      </c>
      <c r="M193" s="295">
        <f t="shared" ca="1" si="136"/>
        <v>50.7</v>
      </c>
      <c r="N193" s="295">
        <f t="shared" ca="1" si="136"/>
        <v>50.7</v>
      </c>
      <c r="O193" s="295">
        <f t="shared" ca="1" si="136"/>
        <v>50.7</v>
      </c>
      <c r="P193" s="295">
        <f t="shared" ca="1" si="136"/>
        <v>50.7</v>
      </c>
      <c r="Q193" s="295">
        <f t="shared" ca="1" si="136"/>
        <v>50.7</v>
      </c>
      <c r="R193" s="9"/>
    </row>
    <row r="194" spans="2:18" s="14" customFormat="1" ht="12.75" customHeight="1">
      <c r="B194" s="14" t="s">
        <v>195</v>
      </c>
      <c r="F194" s="14" t="s">
        <v>162</v>
      </c>
      <c r="G194" s="308">
        <f ca="1">+G188</f>
        <v>0.5</v>
      </c>
      <c r="H194" s="308"/>
      <c r="I194" s="19"/>
      <c r="L194" s="23">
        <f t="shared" ref="L194:Q194" ca="1" si="137">((L190+L191)*$G194)+(L193*(1-$G194))</f>
        <v>50.7</v>
      </c>
      <c r="M194" s="23">
        <f t="shared" ca="1" si="137"/>
        <v>50.7</v>
      </c>
      <c r="N194" s="23">
        <f t="shared" ca="1" si="137"/>
        <v>50.7</v>
      </c>
      <c r="O194" s="23">
        <f t="shared" ca="1" si="137"/>
        <v>50.7</v>
      </c>
      <c r="P194" s="23">
        <f t="shared" ca="1" si="137"/>
        <v>50.7</v>
      </c>
      <c r="Q194" s="23">
        <f t="shared" ca="1" si="137"/>
        <v>50.7</v>
      </c>
    </row>
    <row r="195" spans="2:18" s="14" customFormat="1" ht="12.75" customHeight="1">
      <c r="B195" s="245"/>
      <c r="C195" s="9"/>
      <c r="D195" s="9"/>
      <c r="E195" s="9"/>
      <c r="F195" s="9"/>
      <c r="G195" s="9"/>
      <c r="H195" s="9"/>
      <c r="I195" s="306"/>
      <c r="J195" s="306"/>
      <c r="K195" s="306"/>
      <c r="L195" s="307"/>
      <c r="M195" s="307"/>
      <c r="N195" s="307"/>
      <c r="O195" s="307"/>
      <c r="P195" s="307"/>
      <c r="Q195" s="307"/>
    </row>
    <row r="196" spans="2:18" ht="16" customHeight="1" thickBot="1">
      <c r="B196" s="277" t="s">
        <v>43</v>
      </c>
      <c r="C196" s="277"/>
      <c r="D196" s="278"/>
      <c r="E196" s="278"/>
      <c r="F196" s="278"/>
      <c r="G196" s="278"/>
      <c r="H196" s="278"/>
      <c r="I196" s="278"/>
      <c r="J196" s="278"/>
      <c r="K196" s="278"/>
      <c r="L196" s="278"/>
      <c r="M196" s="278"/>
      <c r="N196" s="278"/>
      <c r="O196" s="278"/>
      <c r="P196" s="279"/>
      <c r="Q196" s="279"/>
    </row>
    <row r="197" spans="2:18" ht="15" customHeight="1">
      <c r="B197" s="268" t="str">
        <f ca="1">$B$7</f>
        <v>Fiscal Year Ended December 31,</v>
      </c>
      <c r="C197" s="268"/>
      <c r="D197" s="268"/>
      <c r="E197" s="268"/>
      <c r="F197" s="268"/>
      <c r="G197" s="268"/>
      <c r="H197" s="268"/>
      <c r="I197" s="297">
        <f t="shared" ref="I197:Q197" ca="1" si="138">I7</f>
        <v>2016</v>
      </c>
      <c r="J197" s="297">
        <f t="shared" ca="1" si="138"/>
        <v>2017</v>
      </c>
      <c r="K197" s="331">
        <f t="shared" ca="1" si="138"/>
        <v>2018</v>
      </c>
      <c r="L197" s="332">
        <f t="shared" ca="1" si="138"/>
        <v>2019</v>
      </c>
      <c r="M197" s="298">
        <f t="shared" ca="1" si="138"/>
        <v>2020</v>
      </c>
      <c r="N197" s="298">
        <f t="shared" ca="1" si="138"/>
        <v>2021</v>
      </c>
      <c r="O197" s="298">
        <f t="shared" ca="1" si="138"/>
        <v>2022</v>
      </c>
      <c r="P197" s="298">
        <f t="shared" ca="1" si="138"/>
        <v>2023</v>
      </c>
      <c r="Q197" s="298">
        <f t="shared" ca="1" si="138"/>
        <v>2024</v>
      </c>
    </row>
    <row r="198" spans="2:18" s="14" customFormat="1" ht="15" customHeight="1">
      <c r="B198" s="9" t="s">
        <v>39</v>
      </c>
      <c r="C198" s="9"/>
      <c r="D198" s="9"/>
      <c r="E198" s="9"/>
      <c r="F198" s="9"/>
      <c r="G198" s="9"/>
      <c r="H198" s="9"/>
      <c r="I198" s="416">
        <f ca="1">-'Cash Flow'!G18</f>
        <v>6.67</v>
      </c>
      <c r="J198" s="416">
        <f ca="1">-'Cash Flow'!H18</f>
        <v>48.698</v>
      </c>
      <c r="K198" s="416">
        <f ca="1">-'Cash Flow'!I18</f>
        <v>11.487</v>
      </c>
      <c r="L198" s="283">
        <f t="shared" ref="L198:Q198" ca="1" si="139">L8*L199</f>
        <v>12.838348261727646</v>
      </c>
      <c r="M198" s="283">
        <f t="shared" ca="1" si="139"/>
        <v>13.43210110824351</v>
      </c>
      <c r="N198" s="283">
        <f t="shared" ca="1" si="139"/>
        <v>14.775311219067863</v>
      </c>
      <c r="O198" s="283">
        <f t="shared" ca="1" si="139"/>
        <v>16.252842340974649</v>
      </c>
      <c r="P198" s="283">
        <f t="shared" ca="1" si="139"/>
        <v>17.878126575072116</v>
      </c>
      <c r="Q198" s="283">
        <f t="shared" ca="1" si="139"/>
        <v>19.665939232579326</v>
      </c>
    </row>
    <row r="199" spans="2:18" s="14" customFormat="1" ht="12.75" customHeight="1">
      <c r="B199" s="245" t="s">
        <v>116</v>
      </c>
      <c r="C199" s="9"/>
      <c r="D199" s="9"/>
      <c r="E199" s="9"/>
      <c r="F199" s="9"/>
      <c r="G199" s="9"/>
      <c r="H199" s="9"/>
      <c r="I199" s="285">
        <f ca="1">I198/I8</f>
        <v>4.9990631440884385E-2</v>
      </c>
      <c r="J199" s="285">
        <f ca="1">J198/J8</f>
        <v>0.25789470896949085</v>
      </c>
      <c r="K199" s="285">
        <f ca="1">K198/K8</f>
        <v>4.1521178078032489E-2</v>
      </c>
      <c r="L199" s="323">
        <f ca="1">+K199</f>
        <v>4.1521178078032489E-2</v>
      </c>
      <c r="M199" s="323">
        <f t="shared" ref="M199:Q199" ca="1" si="140">+L199</f>
        <v>4.1521178078032489E-2</v>
      </c>
      <c r="N199" s="285">
        <f t="shared" ca="1" si="140"/>
        <v>4.1521178078032489E-2</v>
      </c>
      <c r="O199" s="285">
        <f t="shared" ca="1" si="140"/>
        <v>4.1521178078032489E-2</v>
      </c>
      <c r="P199" s="285">
        <f t="shared" ca="1" si="140"/>
        <v>4.1521178078032489E-2</v>
      </c>
      <c r="Q199" s="285">
        <f t="shared" ca="1" si="140"/>
        <v>4.1521178078032489E-2</v>
      </c>
    </row>
    <row r="200" spans="2:18" s="14" customFormat="1" ht="12.75" customHeight="1">
      <c r="B200" s="245"/>
      <c r="C200" s="9"/>
      <c r="D200" s="9"/>
      <c r="E200" s="9"/>
      <c r="F200" s="9"/>
      <c r="G200" s="9"/>
      <c r="H200" s="9"/>
      <c r="I200" s="306"/>
      <c r="J200" s="306"/>
      <c r="K200" s="306"/>
      <c r="L200" s="307"/>
      <c r="M200" s="307"/>
      <c r="N200" s="307"/>
      <c r="O200" s="307"/>
      <c r="P200" s="307"/>
      <c r="Q200" s="307"/>
    </row>
    <row r="201" spans="2:18" s="14" customFormat="1" ht="12.75" customHeight="1">
      <c r="B201" s="9" t="s">
        <v>142</v>
      </c>
      <c r="C201" s="9"/>
      <c r="D201" s="9"/>
      <c r="E201" s="9"/>
      <c r="F201" s="9"/>
      <c r="G201" s="9"/>
      <c r="H201" s="9"/>
      <c r="I201" s="283">
        <f ca="1">I31</f>
        <v>4.7859999999999996</v>
      </c>
      <c r="J201" s="283">
        <f ca="1">J31</f>
        <v>6.3029999999999999</v>
      </c>
      <c r="K201" s="283">
        <f ca="1">K31</f>
        <v>8.7059999999999995</v>
      </c>
      <c r="L201" s="283">
        <f t="shared" ref="L201:Q201" ca="1" si="141">L8*L202</f>
        <v>9.730187165195515</v>
      </c>
      <c r="M201" s="283">
        <f t="shared" ca="1" si="141"/>
        <v>10.180192587130495</v>
      </c>
      <c r="N201" s="283">
        <f t="shared" ca="1" si="141"/>
        <v>11.198211845843545</v>
      </c>
      <c r="O201" s="283">
        <f t="shared" ca="1" si="141"/>
        <v>12.3180330304279</v>
      </c>
      <c r="P201" s="283">
        <f t="shared" ca="1" si="141"/>
        <v>13.54983633347069</v>
      </c>
      <c r="Q201" s="283">
        <f t="shared" ca="1" si="141"/>
        <v>14.90481996681776</v>
      </c>
    </row>
    <row r="202" spans="2:18" s="14" customFormat="1" ht="12.75" customHeight="1">
      <c r="B202" s="245" t="s">
        <v>116</v>
      </c>
      <c r="C202" s="9"/>
      <c r="D202" s="9"/>
      <c r="E202" s="9"/>
      <c r="F202" s="9"/>
      <c r="G202" s="9"/>
      <c r="H202" s="9"/>
      <c r="I202" s="285">
        <f ca="1">I201/I8</f>
        <v>3.5870339141839978E-2</v>
      </c>
      <c r="J202" s="285">
        <f ca="1">J201/J8</f>
        <v>3.3379406764850732E-2</v>
      </c>
      <c r="K202" s="285">
        <f ca="1">K201/K8</f>
        <v>3.1468910624823786E-2</v>
      </c>
      <c r="L202" s="323">
        <f ca="1">+K202</f>
        <v>3.1468910624823786E-2</v>
      </c>
      <c r="M202" s="323">
        <f t="shared" ref="M202:Q202" ca="1" si="142">+L202</f>
        <v>3.1468910624823786E-2</v>
      </c>
      <c r="N202" s="285">
        <f t="shared" ca="1" si="142"/>
        <v>3.1468910624823786E-2</v>
      </c>
      <c r="O202" s="285">
        <f t="shared" ca="1" si="142"/>
        <v>3.1468910624823786E-2</v>
      </c>
      <c r="P202" s="285">
        <f t="shared" ca="1" si="142"/>
        <v>3.1468910624823786E-2</v>
      </c>
      <c r="Q202" s="285">
        <f t="shared" ca="1" si="142"/>
        <v>3.1468910624823786E-2</v>
      </c>
    </row>
    <row r="203" spans="2:18" ht="12.75" customHeight="1">
      <c r="I203" s="266"/>
      <c r="J203" s="266"/>
      <c r="K203" s="266"/>
      <c r="L203" s="140"/>
      <c r="M203" s="140"/>
      <c r="N203" s="140"/>
      <c r="O203" s="140"/>
      <c r="P203" s="140"/>
      <c r="Q203" s="140"/>
    </row>
    <row r="204" spans="2:18" ht="12.75" customHeight="1">
      <c r="B204" s="3" t="str">
        <f ca="1">+B53</f>
        <v>Loans Receivable, Net</v>
      </c>
      <c r="I204" s="266"/>
      <c r="J204" s="113">
        <f ca="1">+J53</f>
        <v>4811.4160000000002</v>
      </c>
      <c r="K204" s="113">
        <f ca="1">+K53</f>
        <v>6526.7489999999989</v>
      </c>
      <c r="L204" s="113">
        <f ca="1">+L205/L206</f>
        <v>7126.4406140828441</v>
      </c>
      <c r="M204" s="113">
        <f t="shared" ref="M204:Q204" ca="1" si="143">+M205/M206</f>
        <v>7288.0519699217439</v>
      </c>
      <c r="N204" s="113">
        <f t="shared" ca="1" si="143"/>
        <v>7840.2266286585018</v>
      </c>
      <c r="O204" s="113">
        <f t="shared" ca="1" si="143"/>
        <v>8438.3326404930976</v>
      </c>
      <c r="P204" s="113">
        <f t="shared" ca="1" si="143"/>
        <v>9086.2888676578514</v>
      </c>
      <c r="Q204" s="113">
        <f t="shared" ca="1" si="143"/>
        <v>9788.3587753453467</v>
      </c>
    </row>
    <row r="205" spans="2:18" ht="12.75" customHeight="1">
      <c r="B205" s="3" t="s">
        <v>138</v>
      </c>
      <c r="I205" s="266"/>
      <c r="J205" s="113">
        <f t="shared" ref="J205:Q205" ca="1" si="144">+J8</f>
        <v>188.82900000000004</v>
      </c>
      <c r="K205" s="113">
        <f t="shared" ca="1" si="144"/>
        <v>276.654</v>
      </c>
      <c r="L205" s="113">
        <f t="shared" ca="1" si="144"/>
        <v>309.2</v>
      </c>
      <c r="M205" s="113">
        <f t="shared" ca="1" si="144"/>
        <v>323.5</v>
      </c>
      <c r="N205" s="113">
        <f t="shared" ca="1" si="144"/>
        <v>355.85</v>
      </c>
      <c r="O205" s="113">
        <f t="shared" ca="1" si="144"/>
        <v>391.43500000000006</v>
      </c>
      <c r="P205" s="113">
        <f t="shared" ca="1" si="144"/>
        <v>430.57850000000008</v>
      </c>
      <c r="Q205" s="113">
        <f t="shared" ca="1" si="144"/>
        <v>473.63635000000011</v>
      </c>
    </row>
    <row r="206" spans="2:18" ht="12.75" customHeight="1">
      <c r="B206" s="3" t="s">
        <v>270</v>
      </c>
      <c r="I206" s="266"/>
      <c r="J206" s="103">
        <f ca="1">+J205/J204</f>
        <v>3.9246034847121934E-2</v>
      </c>
      <c r="K206" s="103">
        <f ca="1">+K205/K204</f>
        <v>4.238771860232407E-2</v>
      </c>
      <c r="L206" s="440">
        <f ca="1">+K206+0.1%</f>
        <v>4.3387718602324071E-2</v>
      </c>
      <c r="M206" s="440">
        <f t="shared" ref="M206:Q206" ca="1" si="145">+L206+0.1%</f>
        <v>4.4387718602324072E-2</v>
      </c>
      <c r="N206" s="440">
        <f t="shared" ca="1" si="145"/>
        <v>4.5387718602324073E-2</v>
      </c>
      <c r="O206" s="440">
        <f t="shared" ca="1" si="145"/>
        <v>4.6387718602324074E-2</v>
      </c>
      <c r="P206" s="440">
        <f t="shared" ca="1" si="145"/>
        <v>4.7387718602324075E-2</v>
      </c>
      <c r="Q206" s="440">
        <f t="shared" ca="1" si="145"/>
        <v>4.8387718602324076E-2</v>
      </c>
    </row>
    <row r="207" spans="2:18" ht="12.75" customHeight="1">
      <c r="I207" s="266"/>
      <c r="J207" s="266"/>
      <c r="K207" s="266"/>
      <c r="L207" s="140"/>
      <c r="M207" s="140"/>
      <c r="N207" s="140"/>
      <c r="O207" s="140"/>
      <c r="P207" s="140"/>
      <c r="Q207" s="140"/>
    </row>
    <row r="208" spans="2:18" ht="12.75" customHeight="1">
      <c r="B208" s="3" t="s">
        <v>243</v>
      </c>
      <c r="I208" s="266"/>
      <c r="J208" s="113">
        <f ca="1">+J63</f>
        <v>4342.7979999999998</v>
      </c>
      <c r="K208" s="113">
        <f ca="1">+K63</f>
        <v>5814.5690000000004</v>
      </c>
      <c r="L208" s="113">
        <f ca="1">+K208*(1+L209)</f>
        <v>6279.7345200000009</v>
      </c>
      <c r="M208" s="113">
        <f t="shared" ref="M208:Q208" ca="1" si="146">+L208*(1+M209)</f>
        <v>6656.5185912000015</v>
      </c>
      <c r="N208" s="113">
        <f t="shared" ca="1" si="146"/>
        <v>7055.9097066720024</v>
      </c>
      <c r="O208" s="113">
        <f t="shared" ca="1" si="146"/>
        <v>7479.2642890723228</v>
      </c>
      <c r="P208" s="113">
        <f t="shared" ca="1" si="146"/>
        <v>7928.0201464166621</v>
      </c>
      <c r="Q208" s="113">
        <f t="shared" ca="1" si="146"/>
        <v>8403.7013552016615</v>
      </c>
    </row>
    <row r="209" spans="2:17" ht="12.75" customHeight="1">
      <c r="B209" s="3" t="s">
        <v>236</v>
      </c>
      <c r="I209" s="266"/>
      <c r="J209" s="266"/>
      <c r="K209" s="103">
        <f ca="1">+K208/J208-1</f>
        <v>0.33889925343062255</v>
      </c>
      <c r="L209" s="440">
        <v>0.08</v>
      </c>
      <c r="M209" s="440">
        <v>0.06</v>
      </c>
      <c r="N209" s="440">
        <v>0.06</v>
      </c>
      <c r="O209" s="440">
        <v>0.06</v>
      </c>
      <c r="P209" s="440">
        <v>0.06</v>
      </c>
      <c r="Q209" s="440">
        <v>0.06</v>
      </c>
    </row>
    <row r="210" spans="2:17" s="14" customFormat="1" ht="12.75" customHeight="1">
      <c r="B210" s="9" t="s">
        <v>271</v>
      </c>
      <c r="C210" s="9"/>
      <c r="D210" s="9"/>
      <c r="E210" s="9"/>
      <c r="F210" s="9"/>
      <c r="G210" s="9"/>
      <c r="H210" s="9"/>
      <c r="I210" s="306"/>
      <c r="J210" s="441">
        <f ca="1">+J204/J208</f>
        <v>1.1079069300483237</v>
      </c>
      <c r="K210" s="441">
        <f t="shared" ref="K210:Q210" ca="1" si="147">+K204/K208</f>
        <v>1.1224819930763568</v>
      </c>
      <c r="L210" s="441">
        <f t="shared" ca="1" si="147"/>
        <v>1.1348315110115266</v>
      </c>
      <c r="M210" s="441">
        <f t="shared" ca="1" si="147"/>
        <v>1.0948744257330907</v>
      </c>
      <c r="N210" s="441">
        <f t="shared" ca="1" si="147"/>
        <v>1.1111574488042069</v>
      </c>
      <c r="O210" s="441">
        <f t="shared" ca="1" si="147"/>
        <v>1.1282303063981887</v>
      </c>
      <c r="P210" s="441">
        <f t="shared" ca="1" si="147"/>
        <v>1.1460981051826298</v>
      </c>
      <c r="Q210" s="441">
        <f t="shared" ca="1" si="147"/>
        <v>1.1647675662922767</v>
      </c>
    </row>
    <row r="211" spans="2:17" s="14" customFormat="1" ht="12.75" customHeight="1">
      <c r="B211" s="9"/>
      <c r="C211" s="9"/>
      <c r="D211" s="9"/>
      <c r="E211" s="9"/>
      <c r="F211" s="9"/>
      <c r="G211" s="9"/>
      <c r="H211" s="9"/>
      <c r="I211" s="306"/>
      <c r="J211" s="306"/>
      <c r="K211" s="285"/>
      <c r="L211" s="50"/>
      <c r="M211" s="50"/>
      <c r="N211" s="50"/>
      <c r="O211" s="50"/>
      <c r="P211" s="50"/>
      <c r="Q211" s="50"/>
    </row>
    <row r="212" spans="2:17" s="14" customFormat="1" ht="12.75" customHeight="1">
      <c r="B212" s="9" t="s">
        <v>256</v>
      </c>
      <c r="C212" s="9"/>
      <c r="D212" s="9"/>
      <c r="E212" s="9"/>
      <c r="F212" s="9"/>
      <c r="G212" s="9"/>
      <c r="H212" s="9"/>
      <c r="I212" s="306"/>
      <c r="J212" s="283">
        <f ca="1">+J54</f>
        <v>14.254</v>
      </c>
      <c r="K212" s="283">
        <f ca="1">+K54</f>
        <v>19.689</v>
      </c>
      <c r="L212" s="47">
        <f t="shared" ref="L212:Q212" ca="1" si="148">+L213/365*L8</f>
        <v>21.703802395574275</v>
      </c>
      <c r="M212" s="47">
        <f t="shared" ca="1" si="148"/>
        <v>22.707568159664547</v>
      </c>
      <c r="N212" s="47">
        <f t="shared" ca="1" si="148"/>
        <v>24.978324975631004</v>
      </c>
      <c r="O212" s="47">
        <f t="shared" ca="1" si="148"/>
        <v>27.476157473194107</v>
      </c>
      <c r="P212" s="47">
        <f t="shared" ca="1" si="148"/>
        <v>30.223773220513518</v>
      </c>
      <c r="Q212" s="47">
        <f t="shared" ca="1" si="148"/>
        <v>33.24615054256487</v>
      </c>
    </row>
    <row r="213" spans="2:17" s="14" customFormat="1" ht="12.75" customHeight="1">
      <c r="B213" s="9" t="s">
        <v>272</v>
      </c>
      <c r="C213" s="9"/>
      <c r="D213" s="9"/>
      <c r="E213" s="9"/>
      <c r="F213" s="9"/>
      <c r="G213" s="9"/>
      <c r="H213" s="9"/>
      <c r="I213" s="306"/>
      <c r="J213" s="31">
        <f ca="1">+J212/J8*360</f>
        <v>27.175063152375955</v>
      </c>
      <c r="K213" s="31">
        <f ca="1">+K212/K8*360</f>
        <v>25.62059467782862</v>
      </c>
      <c r="L213" s="442">
        <f ca="1">+K213</f>
        <v>25.62059467782862</v>
      </c>
      <c r="M213" s="442">
        <f t="shared" ref="M213:Q213" ca="1" si="149">+L213</f>
        <v>25.62059467782862</v>
      </c>
      <c r="N213" s="442">
        <f t="shared" ca="1" si="149"/>
        <v>25.62059467782862</v>
      </c>
      <c r="O213" s="442">
        <f t="shared" ca="1" si="149"/>
        <v>25.62059467782862</v>
      </c>
      <c r="P213" s="442">
        <f t="shared" ca="1" si="149"/>
        <v>25.62059467782862</v>
      </c>
      <c r="Q213" s="442">
        <f t="shared" ca="1" si="149"/>
        <v>25.62059467782862</v>
      </c>
    </row>
    <row r="214" spans="2:17" ht="12.75" customHeight="1">
      <c r="J214" s="316"/>
      <c r="K214" s="316"/>
      <c r="L214" s="316"/>
      <c r="M214" s="357"/>
      <c r="N214" s="357"/>
      <c r="O214" s="357"/>
      <c r="P214" s="357"/>
      <c r="Q214" s="357"/>
    </row>
    <row r="215" spans="2:17" s="14" customFormat="1" ht="16" customHeight="1" thickBot="1">
      <c r="B215" s="277" t="s">
        <v>63</v>
      </c>
      <c r="C215" s="277"/>
      <c r="D215" s="278"/>
      <c r="E215" s="278"/>
      <c r="F215" s="278"/>
      <c r="G215" s="278"/>
      <c r="H215" s="278"/>
      <c r="I215" s="278"/>
      <c r="J215" s="278"/>
      <c r="K215" s="278"/>
      <c r="L215" s="278"/>
      <c r="M215" s="278"/>
      <c r="N215" s="278"/>
      <c r="O215" s="278"/>
      <c r="P215" s="279"/>
      <c r="Q215" s="279"/>
    </row>
    <row r="216" spans="2:17">
      <c r="B216" s="358"/>
      <c r="C216" s="358"/>
      <c r="D216" s="7"/>
      <c r="E216" s="7"/>
      <c r="F216" s="7"/>
      <c r="G216" s="7"/>
      <c r="H216" s="7"/>
      <c r="I216" s="4"/>
      <c r="J216" s="7"/>
      <c r="K216" s="7"/>
      <c r="L216" s="7"/>
      <c r="M216" s="7"/>
      <c r="N216" s="7"/>
      <c r="O216" s="7"/>
    </row>
    <row r="217" spans="2:17" s="14" customFormat="1" ht="12.75" customHeight="1">
      <c r="B217" s="161" t="s">
        <v>64</v>
      </c>
      <c r="C217" s="359">
        <v>1</v>
      </c>
      <c r="D217" s="197" t="str">
        <f ca="1">INDEX(C220:C224,acase)</f>
        <v>Wall street consensus</v>
      </c>
      <c r="E217" s="262"/>
      <c r="F217" s="262"/>
      <c r="G217" s="262"/>
      <c r="H217" s="377" t="str">
        <f ca="1">$B$7</f>
        <v>Fiscal Year Ended December 31,</v>
      </c>
      <c r="I217" s="377"/>
      <c r="J217" s="378"/>
      <c r="K217" s="378"/>
      <c r="L217" s="360">
        <f t="shared" ref="L217:Q217" ca="1" si="150">L$7</f>
        <v>2019</v>
      </c>
      <c r="M217" s="361">
        <f t="shared" ca="1" si="150"/>
        <v>2020</v>
      </c>
      <c r="N217" s="361">
        <f t="shared" ca="1" si="150"/>
        <v>2021</v>
      </c>
      <c r="O217" s="361">
        <f t="shared" ca="1" si="150"/>
        <v>2022</v>
      </c>
      <c r="P217" s="361">
        <f t="shared" ca="1" si="150"/>
        <v>2023</v>
      </c>
      <c r="Q217" s="361">
        <f t="shared" ca="1" si="150"/>
        <v>2024</v>
      </c>
    </row>
    <row r="218" spans="2:17" s="14" customFormat="1" ht="12.75" customHeight="1">
      <c r="B218" s="197"/>
      <c r="C218" s="197"/>
      <c r="D218" s="197"/>
      <c r="E218" s="197"/>
      <c r="F218" s="197"/>
      <c r="G218" s="262"/>
      <c r="H218" s="379"/>
      <c r="I218" s="379"/>
      <c r="J218" s="379"/>
      <c r="K218" s="380"/>
      <c r="L218" s="381"/>
      <c r="M218" s="381"/>
      <c r="N218" s="381"/>
      <c r="O218" s="382"/>
      <c r="P218" s="382"/>
      <c r="Q218" s="382"/>
    </row>
    <row r="219" spans="2:17" ht="12.75" customHeight="1">
      <c r="B219" s="362" t="s">
        <v>64</v>
      </c>
      <c r="C219" s="161" t="s">
        <v>124</v>
      </c>
      <c r="D219" s="4"/>
      <c r="E219" s="161" t="s">
        <v>123</v>
      </c>
      <c r="F219" s="4"/>
      <c r="G219" s="4"/>
      <c r="H219" s="383" t="s">
        <v>278</v>
      </c>
      <c r="I219" s="4"/>
      <c r="K219" s="384">
        <f ca="1">$C$217</f>
        <v>1</v>
      </c>
      <c r="L219" s="365">
        <f t="shared" ref="L219:Q219" ca="1" si="151">INDEX(L220:L224,$K219)</f>
        <v>0.11764153057609872</v>
      </c>
      <c r="M219" s="249">
        <f t="shared" ca="1" si="151"/>
        <v>4.6248382923673947E-2</v>
      </c>
      <c r="N219" s="249">
        <f t="shared" ca="1" si="151"/>
        <v>0.10000000000000009</v>
      </c>
      <c r="O219" s="249">
        <f t="shared" ca="1" si="151"/>
        <v>0.10000000000000009</v>
      </c>
      <c r="P219" s="249">
        <f t="shared" ca="1" si="151"/>
        <v>0.10000000000000009</v>
      </c>
      <c r="Q219" s="385">
        <f t="shared" ca="1" si="151"/>
        <v>0.10000000000000009</v>
      </c>
    </row>
    <row r="220" spans="2:17" ht="12.75" customHeight="1">
      <c r="B220" s="366">
        <v>1</v>
      </c>
      <c r="C220" s="367" t="s">
        <v>234</v>
      </c>
      <c r="D220" s="115"/>
      <c r="E220" s="367" t="s">
        <v>235</v>
      </c>
      <c r="F220" s="115"/>
      <c r="G220" s="4"/>
      <c r="H220" s="4"/>
      <c r="I220" s="4"/>
      <c r="J220" s="4"/>
      <c r="K220" s="368">
        <v>1</v>
      </c>
      <c r="L220" s="250">
        <f ca="1">+Inputs!D35/'Income Statement'!I7-1</f>
        <v>0.11764153057609872</v>
      </c>
      <c r="M220" s="250">
        <f ca="1">+Inputs!E35/Inputs!D35-1</f>
        <v>4.6248382923673947E-2</v>
      </c>
      <c r="N220" s="103">
        <f ca="1">+Inputs!F35/Inputs!E35-1</f>
        <v>0.10000000000000009</v>
      </c>
      <c r="O220" s="103">
        <f ca="1">+Inputs!G35/Inputs!F35-1</f>
        <v>0.10000000000000009</v>
      </c>
      <c r="P220" s="103">
        <f t="shared" ref="N220:Q224" ca="1" si="152">+O220</f>
        <v>0.10000000000000009</v>
      </c>
      <c r="Q220" s="103">
        <f t="shared" ca="1" si="152"/>
        <v>0.10000000000000009</v>
      </c>
    </row>
    <row r="221" spans="2:17" ht="12.75" customHeight="1">
      <c r="B221" s="274">
        <v>2</v>
      </c>
      <c r="C221" s="292" t="s">
        <v>165</v>
      </c>
      <c r="D221" s="4"/>
      <c r="E221" s="1" t="s">
        <v>151</v>
      </c>
      <c r="F221" s="4"/>
      <c r="G221" s="4"/>
      <c r="I221" s="4"/>
      <c r="K221" s="369">
        <f ca="1">K220+1</f>
        <v>2</v>
      </c>
      <c r="L221" s="250">
        <v>0</v>
      </c>
      <c r="M221" s="250">
        <v>0</v>
      </c>
      <c r="N221" s="103">
        <f t="shared" ca="1" si="152"/>
        <v>0</v>
      </c>
      <c r="O221" s="103">
        <f t="shared" ca="1" si="152"/>
        <v>0</v>
      </c>
      <c r="P221" s="103">
        <f t="shared" ca="1" si="152"/>
        <v>0</v>
      </c>
      <c r="Q221" s="103">
        <f t="shared" ca="1" si="152"/>
        <v>0</v>
      </c>
    </row>
    <row r="222" spans="2:17" ht="12.75" customHeight="1">
      <c r="B222" s="274">
        <v>3</v>
      </c>
      <c r="C222" s="292" t="s">
        <v>166</v>
      </c>
      <c r="D222" s="4"/>
      <c r="E222" s="1" t="s">
        <v>151</v>
      </c>
      <c r="F222" s="4"/>
      <c r="G222" s="4"/>
      <c r="I222" s="4"/>
      <c r="K222" s="369">
        <f ca="1">K221+1</f>
        <v>3</v>
      </c>
      <c r="L222" s="250">
        <v>0</v>
      </c>
      <c r="M222" s="250">
        <v>0</v>
      </c>
      <c r="N222" s="103">
        <f t="shared" ca="1" si="152"/>
        <v>0</v>
      </c>
      <c r="O222" s="103">
        <f t="shared" ca="1" si="152"/>
        <v>0</v>
      </c>
      <c r="P222" s="103">
        <f t="shared" ca="1" si="152"/>
        <v>0</v>
      </c>
      <c r="Q222" s="103">
        <f t="shared" ca="1" si="152"/>
        <v>0</v>
      </c>
    </row>
    <row r="223" spans="2:17" ht="12.75" customHeight="1">
      <c r="B223" s="274">
        <v>4</v>
      </c>
      <c r="C223" s="292" t="s">
        <v>167</v>
      </c>
      <c r="D223" s="4"/>
      <c r="E223" s="1" t="s">
        <v>151</v>
      </c>
      <c r="F223" s="4"/>
      <c r="G223" s="4"/>
      <c r="I223" s="4"/>
      <c r="K223" s="369">
        <f ca="1">K222+1</f>
        <v>4</v>
      </c>
      <c r="L223" s="250">
        <v>0</v>
      </c>
      <c r="M223" s="250">
        <v>0</v>
      </c>
      <c r="N223" s="103">
        <f t="shared" ca="1" si="152"/>
        <v>0</v>
      </c>
      <c r="O223" s="103">
        <f t="shared" ca="1" si="152"/>
        <v>0</v>
      </c>
      <c r="P223" s="103">
        <f t="shared" ca="1" si="152"/>
        <v>0</v>
      </c>
      <c r="Q223" s="103">
        <f t="shared" ca="1" si="152"/>
        <v>0</v>
      </c>
    </row>
    <row r="224" spans="2:17" ht="12.75" customHeight="1">
      <c r="B224" s="274">
        <v>5</v>
      </c>
      <c r="C224" s="292" t="s">
        <v>168</v>
      </c>
      <c r="D224" s="4"/>
      <c r="E224" s="1" t="s">
        <v>151</v>
      </c>
      <c r="F224" s="4"/>
      <c r="G224" s="4"/>
      <c r="I224" s="4"/>
      <c r="K224" s="369">
        <f ca="1">K223+1</f>
        <v>5</v>
      </c>
      <c r="L224" s="250">
        <v>0</v>
      </c>
      <c r="M224" s="250">
        <v>0</v>
      </c>
      <c r="N224" s="103">
        <f t="shared" ca="1" si="152"/>
        <v>0</v>
      </c>
      <c r="O224" s="103">
        <f t="shared" ca="1" si="152"/>
        <v>0</v>
      </c>
      <c r="P224" s="103">
        <f t="shared" ca="1" si="152"/>
        <v>0</v>
      </c>
      <c r="Q224" s="103">
        <f t="shared" ca="1" si="152"/>
        <v>0</v>
      </c>
    </row>
    <row r="225" spans="2:19" ht="12.75" customHeight="1">
      <c r="H225" s="4"/>
      <c r="I225" s="4"/>
      <c r="J225" s="4"/>
      <c r="K225" s="4"/>
    </row>
    <row r="226" spans="2:19" s="14" customFormat="1" ht="12.75" customHeight="1">
      <c r="B226" s="197"/>
      <c r="E226" s="9"/>
      <c r="F226" s="9"/>
      <c r="H226" s="363" t="s">
        <v>279</v>
      </c>
      <c r="J226" s="3"/>
      <c r="K226" s="364">
        <f ca="1">$C$217</f>
        <v>1</v>
      </c>
      <c r="L226" s="365">
        <f t="shared" ref="L226:Q226" ca="1" si="153">INDEX(L227:L231,$K226)</f>
        <v>1.2615035387162304E-2</v>
      </c>
      <c r="M226" s="249">
        <f t="shared" ca="1" si="153"/>
        <v>1.2615035387162304E-2</v>
      </c>
      <c r="N226" s="249">
        <f t="shared" ca="1" si="153"/>
        <v>1.2615035387162304E-2</v>
      </c>
      <c r="O226" s="249">
        <f t="shared" ca="1" si="153"/>
        <v>1.2615035387162304E-2</v>
      </c>
      <c r="P226" s="249">
        <f t="shared" ca="1" si="153"/>
        <v>1.2615035387162304E-2</v>
      </c>
      <c r="Q226" s="385">
        <f t="shared" ca="1" si="153"/>
        <v>1.2615035387162304E-2</v>
      </c>
    </row>
    <row r="227" spans="2:19" s="14" customFormat="1" ht="12.75" customHeight="1">
      <c r="E227" s="9"/>
      <c r="F227" s="9"/>
      <c r="G227" s="9"/>
      <c r="H227" s="9"/>
      <c r="J227" s="9"/>
      <c r="K227" s="370">
        <f ca="1">K220</f>
        <v>1</v>
      </c>
      <c r="L227" s="250">
        <v>1.2615035387162304E-2</v>
      </c>
      <c r="M227" s="250">
        <v>1.2615035387162304E-2</v>
      </c>
      <c r="N227" s="250">
        <v>1.2615035387162304E-2</v>
      </c>
      <c r="O227" s="250">
        <v>1.2615035387162304E-2</v>
      </c>
      <c r="P227" s="250">
        <v>1.2615035387162304E-2</v>
      </c>
      <c r="Q227" s="250">
        <v>1.2615035387162304E-2</v>
      </c>
    </row>
    <row r="228" spans="2:19" s="14" customFormat="1" ht="12.75" customHeight="1">
      <c r="B228" s="9"/>
      <c r="C228" s="9"/>
      <c r="E228" s="9"/>
      <c r="F228" s="9"/>
      <c r="G228" s="9"/>
      <c r="H228" s="9"/>
      <c r="J228" s="9"/>
      <c r="K228" s="369">
        <f ca="1">K227+1</f>
        <v>2</v>
      </c>
      <c r="L228" s="250">
        <v>0</v>
      </c>
      <c r="M228" s="250">
        <v>0</v>
      </c>
      <c r="N228" s="103">
        <f t="shared" ref="N228:Q231" ca="1" si="154">+M228</f>
        <v>0</v>
      </c>
      <c r="O228" s="103">
        <f t="shared" ca="1" si="154"/>
        <v>0</v>
      </c>
      <c r="P228" s="103">
        <f t="shared" ca="1" si="154"/>
        <v>0</v>
      </c>
      <c r="Q228" s="103">
        <f t="shared" ca="1" si="154"/>
        <v>0</v>
      </c>
    </row>
    <row r="229" spans="2:19" s="14" customFormat="1" ht="12.75" customHeight="1">
      <c r="B229" s="9"/>
      <c r="C229" s="9"/>
      <c r="E229" s="9"/>
      <c r="F229" s="9"/>
      <c r="G229" s="9"/>
      <c r="H229" s="9"/>
      <c r="J229" s="9"/>
      <c r="K229" s="369">
        <f ca="1">K228+1</f>
        <v>3</v>
      </c>
      <c r="L229" s="250">
        <v>0</v>
      </c>
      <c r="M229" s="250">
        <v>0</v>
      </c>
      <c r="N229" s="103">
        <f t="shared" ca="1" si="154"/>
        <v>0</v>
      </c>
      <c r="O229" s="103">
        <f t="shared" ca="1" si="154"/>
        <v>0</v>
      </c>
      <c r="P229" s="103">
        <f t="shared" ca="1" si="154"/>
        <v>0</v>
      </c>
      <c r="Q229" s="103">
        <f t="shared" ca="1" si="154"/>
        <v>0</v>
      </c>
    </row>
    <row r="230" spans="2:19" s="14" customFormat="1" ht="12.75" customHeight="1">
      <c r="B230" s="9"/>
      <c r="C230" s="9"/>
      <c r="E230" s="9"/>
      <c r="F230" s="9"/>
      <c r="G230" s="9"/>
      <c r="H230" s="9"/>
      <c r="J230" s="9"/>
      <c r="K230" s="369">
        <f ca="1">K229+1</f>
        <v>4</v>
      </c>
      <c r="L230" s="250">
        <v>0</v>
      </c>
      <c r="M230" s="250">
        <v>0</v>
      </c>
      <c r="N230" s="103">
        <f t="shared" ca="1" si="154"/>
        <v>0</v>
      </c>
      <c r="O230" s="103">
        <f t="shared" ca="1" si="154"/>
        <v>0</v>
      </c>
      <c r="P230" s="103">
        <f t="shared" ca="1" si="154"/>
        <v>0</v>
      </c>
      <c r="Q230" s="103">
        <f t="shared" ca="1" si="154"/>
        <v>0</v>
      </c>
    </row>
    <row r="231" spans="2:19" s="14" customFormat="1" ht="12.75" customHeight="1">
      <c r="B231" s="9"/>
      <c r="C231" s="9"/>
      <c r="E231" s="9"/>
      <c r="F231" s="9"/>
      <c r="G231" s="9"/>
      <c r="H231" s="9"/>
      <c r="J231" s="9"/>
      <c r="K231" s="369">
        <f ca="1">K230+1</f>
        <v>5</v>
      </c>
      <c r="L231" s="250">
        <v>0</v>
      </c>
      <c r="M231" s="250">
        <v>0</v>
      </c>
      <c r="N231" s="103">
        <f t="shared" ca="1" si="154"/>
        <v>0</v>
      </c>
      <c r="O231" s="103">
        <f t="shared" ca="1" si="154"/>
        <v>0</v>
      </c>
      <c r="P231" s="103">
        <f t="shared" ca="1" si="154"/>
        <v>0</v>
      </c>
      <c r="Q231" s="103">
        <f t="shared" ca="1" si="154"/>
        <v>0</v>
      </c>
      <c r="S231" s="315"/>
    </row>
    <row r="232" spans="2:19" ht="12.75" customHeight="1">
      <c r="H232" s="4"/>
      <c r="I232" s="4"/>
      <c r="J232" s="4"/>
      <c r="K232" s="4"/>
      <c r="L232" s="9"/>
      <c r="M232" s="386"/>
      <c r="N232" s="386"/>
      <c r="O232" s="386"/>
      <c r="P232" s="386"/>
      <c r="Q232" s="386"/>
      <c r="S232" s="239"/>
    </row>
    <row r="233" spans="2:19" ht="12.75" customHeight="1">
      <c r="B233" s="4"/>
      <c r="C233" s="197"/>
      <c r="G233" s="4"/>
      <c r="H233" s="196" t="s">
        <v>269</v>
      </c>
      <c r="I233" s="4"/>
      <c r="J233" s="9"/>
      <c r="K233" s="364">
        <f ca="1">$C$217</f>
        <v>1</v>
      </c>
      <c r="L233" s="387">
        <f t="shared" ref="L233:Q233" ca="1" si="155">INDEX(L234:L238,$K233)</f>
        <v>0.52300000000000002</v>
      </c>
      <c r="M233" s="249">
        <f t="shared" ca="1" si="155"/>
        <v>0.55900000000000005</v>
      </c>
      <c r="N233" s="249">
        <f t="shared" ca="1" si="155"/>
        <v>0.55400000000000005</v>
      </c>
      <c r="O233" s="249">
        <f t="shared" ca="1" si="155"/>
        <v>0.54900000000000004</v>
      </c>
      <c r="P233" s="249">
        <f t="shared" ca="1" si="155"/>
        <v>0.54400000000000004</v>
      </c>
      <c r="Q233" s="385">
        <f t="shared" ca="1" si="155"/>
        <v>0.53900000000000003</v>
      </c>
      <c r="S233" s="239"/>
    </row>
    <row r="234" spans="2:19" ht="12.75" customHeight="1">
      <c r="B234" s="4"/>
      <c r="C234" s="388"/>
      <c r="K234" s="370">
        <f ca="1">K220</f>
        <v>1</v>
      </c>
      <c r="L234" s="250">
        <v>0.52300000000000002</v>
      </c>
      <c r="M234" s="250">
        <v>0.55900000000000005</v>
      </c>
      <c r="N234" s="250">
        <f t="shared" ref="N234:Q234" ca="1" si="156">+M234-0.5%</f>
        <v>0.55400000000000005</v>
      </c>
      <c r="O234" s="250">
        <f t="shared" ca="1" si="156"/>
        <v>0.54900000000000004</v>
      </c>
      <c r="P234" s="250">
        <f t="shared" ca="1" si="156"/>
        <v>0.54400000000000004</v>
      </c>
      <c r="Q234" s="250">
        <f t="shared" ca="1" si="156"/>
        <v>0.53900000000000003</v>
      </c>
      <c r="S234" s="239"/>
    </row>
    <row r="235" spans="2:19" ht="12.75" customHeight="1">
      <c r="K235" s="369">
        <f ca="1">K234+1</f>
        <v>2</v>
      </c>
      <c r="L235" s="250">
        <v>0</v>
      </c>
      <c r="M235" s="250">
        <v>0</v>
      </c>
      <c r="N235" s="103">
        <f t="shared" ref="N235:Q238" ca="1" si="157">+M235</f>
        <v>0</v>
      </c>
      <c r="O235" s="103">
        <f t="shared" ca="1" si="157"/>
        <v>0</v>
      </c>
      <c r="P235" s="103">
        <f t="shared" ca="1" si="157"/>
        <v>0</v>
      </c>
      <c r="Q235" s="103">
        <f t="shared" ca="1" si="157"/>
        <v>0</v>
      </c>
      <c r="S235" s="239"/>
    </row>
    <row r="236" spans="2:19" ht="12.75" customHeight="1">
      <c r="B236" s="4"/>
      <c r="C236" s="4"/>
      <c r="D236" s="4"/>
      <c r="E236" s="4"/>
      <c r="F236" s="4"/>
      <c r="G236" s="4"/>
      <c r="H236" s="4"/>
      <c r="K236" s="369">
        <f ca="1">K235+1</f>
        <v>3</v>
      </c>
      <c r="L236" s="250">
        <v>0</v>
      </c>
      <c r="M236" s="250">
        <v>0</v>
      </c>
      <c r="N236" s="103">
        <f t="shared" ca="1" si="157"/>
        <v>0</v>
      </c>
      <c r="O236" s="103">
        <f t="shared" ca="1" si="157"/>
        <v>0</v>
      </c>
      <c r="P236" s="103">
        <f t="shared" ca="1" si="157"/>
        <v>0</v>
      </c>
      <c r="Q236" s="103">
        <f t="shared" ca="1" si="157"/>
        <v>0</v>
      </c>
      <c r="S236" s="239"/>
    </row>
    <row r="237" spans="2:19" ht="12.75" customHeight="1">
      <c r="B237" s="4"/>
      <c r="C237" s="4"/>
      <c r="D237" s="4"/>
      <c r="E237" s="4"/>
      <c r="F237" s="4"/>
      <c r="G237" s="4"/>
      <c r="H237" s="4"/>
      <c r="I237" s="4"/>
      <c r="J237" s="4"/>
      <c r="K237" s="369">
        <f ca="1">K236+1</f>
        <v>4</v>
      </c>
      <c r="L237" s="250">
        <v>0</v>
      </c>
      <c r="M237" s="250">
        <v>0</v>
      </c>
      <c r="N237" s="103">
        <f t="shared" ca="1" si="157"/>
        <v>0</v>
      </c>
      <c r="O237" s="103">
        <f t="shared" ca="1" si="157"/>
        <v>0</v>
      </c>
      <c r="P237" s="103">
        <f t="shared" ca="1" si="157"/>
        <v>0</v>
      </c>
      <c r="Q237" s="103">
        <f t="shared" ca="1" si="157"/>
        <v>0</v>
      </c>
    </row>
    <row r="238" spans="2:19" ht="12.75" customHeight="1">
      <c r="B238" s="4"/>
      <c r="C238" s="4"/>
      <c r="D238" s="4"/>
      <c r="E238" s="4"/>
      <c r="F238" s="4"/>
      <c r="G238" s="4"/>
      <c r="H238" s="4"/>
      <c r="I238" s="4"/>
      <c r="J238" s="4"/>
      <c r="K238" s="369">
        <f ca="1">K237+1</f>
        <v>5</v>
      </c>
      <c r="L238" s="250">
        <v>0</v>
      </c>
      <c r="M238" s="250">
        <v>0</v>
      </c>
      <c r="N238" s="103">
        <f t="shared" ca="1" si="157"/>
        <v>0</v>
      </c>
      <c r="O238" s="103">
        <f t="shared" ca="1" si="157"/>
        <v>0</v>
      </c>
      <c r="P238" s="103">
        <f t="shared" ca="1" si="157"/>
        <v>0</v>
      </c>
      <c r="Q238" s="103">
        <f t="shared" ca="1" si="157"/>
        <v>0</v>
      </c>
    </row>
    <row r="249" spans="2:17" s="14" customFormat="1">
      <c r="B249" s="45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</row>
  </sheetData>
  <customSheetViews>
    <customSheetView guid="{9AE38660-BF5A-49A3-9FC0-AD5890AFC019}" showPageBreaks="1" showGridLines="0" printArea="1" hiddenRows="1" view="pageBreakPreview" showRuler="0">
      <selection activeCell="P14" sqref="P14"/>
      <rowBreaks count="6" manualBreakCount="6">
        <brk id="46" min="1" max="14" man="1"/>
        <brk id="79" min="1" max="14" man="1"/>
        <brk id="110" min="1" max="14" man="1"/>
        <brk id="135" min="1" max="14" man="1"/>
        <brk id="159" min="1" max="14" man="1"/>
        <brk id="169" min="1" max="15" man="1"/>
      </rowBreaks>
      <pageMargins left="0.35" right="0.35" top="0.35" bottom="0.35" header="0.15" footer="0.15"/>
      <printOptions horizontalCentered="1"/>
      <pageSetup scale="86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disablePrompts="1" count="1">
    <dataValidation type="custom" allowBlank="1" showInputMessage="1" showErrorMessage="1" error="Enter &quot;F&quot; for fixed rate or &quot;L&quot; for LIBOR-based rate" sqref="E151:E156" xr:uid="{00000000-0002-0000-0600-000000000000}">
      <formula1>OR(E151="F",E151="L")</formula1>
    </dataValidation>
  </dataValidations>
  <printOptions horizontalCentered="1"/>
  <pageMargins left="0.35" right="0.35" top="0.35" bottom="0.35" header="0.15" footer="0.15"/>
  <pageSetup scale="73" orientation="landscape" r:id="rId2"/>
  <headerFooter alignWithMargins="0"/>
  <rowBreaks count="8" manualBreakCount="8">
    <brk id="48" min="1" max="15" man="1"/>
    <brk id="73" min="1" max="15" man="1"/>
    <brk id="102" min="1" max="15" man="1"/>
    <brk id="140" max="16383" man="1"/>
    <brk id="157" max="16383" man="1"/>
    <brk id="174" max="16383" man="1"/>
    <brk id="195" min="1" max="15" man="1"/>
    <brk id="214" min="1" max="15" man="1"/>
  </rowBreak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O120"/>
  <sheetViews>
    <sheetView showGridLines="0" zoomScaleNormal="100" zoomScaleSheetLayoutView="115" workbookViewId="0">
      <selection activeCell="E9" sqref="E9"/>
    </sheetView>
  </sheetViews>
  <sheetFormatPr defaultColWidth="10.296875" defaultRowHeight="13"/>
  <cols>
    <col min="1" max="1" width="2.796875" style="4" customWidth="1"/>
    <col min="2" max="4" width="10.796875" style="3" customWidth="1"/>
    <col min="5" max="7" width="11.796875" style="3" customWidth="1"/>
    <col min="8" max="9" width="11.796875" style="4" customWidth="1"/>
    <col min="10" max="16384" width="10.296875" style="4"/>
  </cols>
  <sheetData>
    <row r="1" spans="1:9">
      <c r="A1" s="2"/>
    </row>
    <row r="2" spans="1:9" ht="22.5">
      <c r="B2" s="62" t="str">
        <f ca="1">proj</f>
        <v>Project FIG Model</v>
      </c>
      <c r="C2" s="372"/>
      <c r="D2" s="372"/>
      <c r="E2" s="372"/>
      <c r="F2" s="372"/>
      <c r="G2" s="372"/>
    </row>
    <row r="3" spans="1:9" ht="20.149999999999999" customHeight="1">
      <c r="B3" s="252" t="str">
        <f ca="1">acq&amp;" - Dividend Discount Model"</f>
        <v>COLEMAN BANK - Dividend Discount Model</v>
      </c>
      <c r="C3" s="210"/>
      <c r="D3" s="210"/>
      <c r="E3" s="210"/>
      <c r="F3" s="210"/>
      <c r="G3" s="210"/>
      <c r="H3" s="210"/>
      <c r="I3" s="210"/>
    </row>
    <row r="4" spans="1:9" ht="12.75" customHeight="1">
      <c r="B4" s="131" t="str">
        <f ca="1">'Spread Cover'!B4</f>
        <v>(Amounts in Millions, Except Per Share Data)</v>
      </c>
      <c r="C4" s="7"/>
      <c r="D4" s="7"/>
      <c r="E4" s="132"/>
      <c r="F4" s="132"/>
      <c r="G4" s="132"/>
    </row>
    <row r="5" spans="1:9" ht="12.75" customHeight="1">
      <c r="E5" s="209" t="str">
        <f ca="1">"Fiscal Year Ended "&amp;TEXT(afye,"mmmm d,")</f>
        <v>Fiscal Year Ended December 31,</v>
      </c>
      <c r="F5" s="209"/>
      <c r="G5" s="209"/>
      <c r="H5" s="209"/>
      <c r="I5" s="209"/>
    </row>
    <row r="6" spans="1:9" ht="15" customHeight="1">
      <c r="B6" s="101"/>
      <c r="E6" s="6">
        <f ca="1">+Proj!M7</f>
        <v>2020</v>
      </c>
      <c r="F6" s="6">
        <f ca="1">+Proj!N7</f>
        <v>2021</v>
      </c>
      <c r="G6" s="6">
        <f ca="1">+Proj!O7</f>
        <v>2022</v>
      </c>
      <c r="H6" s="6">
        <f ca="1">+Proj!P7</f>
        <v>2023</v>
      </c>
      <c r="I6" s="6">
        <f ca="1">+Proj!Q7</f>
        <v>2024</v>
      </c>
    </row>
    <row r="7" spans="1:9" ht="6" customHeight="1">
      <c r="B7" s="61"/>
      <c r="C7" s="61"/>
      <c r="D7" s="61"/>
      <c r="E7" s="461"/>
      <c r="F7" s="462"/>
      <c r="G7" s="462"/>
      <c r="H7" s="460"/>
      <c r="I7" s="224"/>
    </row>
    <row r="8" spans="1:9" ht="12.75" customHeight="1">
      <c r="B8" s="61" t="s">
        <v>12</v>
      </c>
      <c r="C8" s="61"/>
      <c r="D8" s="61"/>
      <c r="E8" s="463">
        <f ca="1">+Proj!M19</f>
        <v>116.23386974535367</v>
      </c>
      <c r="F8" s="463">
        <f ca="1">+Proj!N19</f>
        <v>131.45756376049223</v>
      </c>
      <c r="G8" s="463">
        <f ca="1">+Proj!O19</f>
        <v>147.68005738642091</v>
      </c>
      <c r="H8" s="463">
        <f ca="1">+Proj!P19</f>
        <v>165.73613241328869</v>
      </c>
      <c r="I8" s="463">
        <f ca="1">+Proj!Q19</f>
        <v>185.82652051976856</v>
      </c>
    </row>
    <row r="9" spans="1:9" ht="12.75" customHeight="1">
      <c r="B9" s="61" t="s">
        <v>313</v>
      </c>
      <c r="C9" s="61"/>
      <c r="D9" s="61"/>
      <c r="E9" s="464">
        <f ca="1">+'Spread Cover'!$J$21/100</f>
        <v>0.47821861046517072</v>
      </c>
      <c r="F9" s="465">
        <f ca="1">+E9</f>
        <v>0.47821861046517072</v>
      </c>
      <c r="G9" s="465">
        <f t="shared" ref="G9:I9" ca="1" si="0">+F9</f>
        <v>0.47821861046517072</v>
      </c>
      <c r="H9" s="465">
        <f t="shared" ca="1" si="0"/>
        <v>0.47821861046517072</v>
      </c>
      <c r="I9" s="465">
        <f t="shared" ca="1" si="0"/>
        <v>0.47821861046517072</v>
      </c>
    </row>
    <row r="10" spans="1:9" ht="12.75" customHeight="1">
      <c r="B10" s="61" t="s">
        <v>302</v>
      </c>
      <c r="C10" s="61"/>
      <c r="D10" s="61"/>
      <c r="E10" s="466">
        <f ca="1">+E8*E9</f>
        <v>55.585199678612682</v>
      </c>
      <c r="F10" s="466">
        <f t="shared" ref="F10:I10" ca="1" si="1">+F8*F9</f>
        <v>62.865453476679178</v>
      </c>
      <c r="G10" s="466">
        <f t="shared" ca="1" si="1"/>
        <v>70.623351836750885</v>
      </c>
      <c r="H10" s="466">
        <f t="shared" ca="1" si="1"/>
        <v>79.258102946554459</v>
      </c>
      <c r="I10" s="466">
        <f t="shared" ca="1" si="1"/>
        <v>88.865700430541253</v>
      </c>
    </row>
    <row r="11" spans="1:9" ht="12.75" customHeight="1">
      <c r="B11" s="61" t="s">
        <v>305</v>
      </c>
      <c r="C11" s="61"/>
      <c r="D11" s="61"/>
      <c r="E11" s="466">
        <v>0</v>
      </c>
      <c r="F11" s="466">
        <v>0</v>
      </c>
      <c r="G11" s="466">
        <v>0</v>
      </c>
      <c r="H11" s="466">
        <v>0</v>
      </c>
      <c r="I11" s="466">
        <f ca="1">+D24</f>
        <v>2234.9235811117742</v>
      </c>
    </row>
    <row r="12" spans="1:9" ht="12.75" customHeight="1">
      <c r="B12" s="61" t="s">
        <v>308</v>
      </c>
      <c r="C12" s="61"/>
      <c r="D12" s="61"/>
      <c r="E12" s="467">
        <f ca="1">+SUM(E10:E11)</f>
        <v>55.585199678612682</v>
      </c>
      <c r="F12" s="468">
        <f t="shared" ref="F12:I12" ca="1" si="2">+SUM(F10:F11)</f>
        <v>62.865453476679178</v>
      </c>
      <c r="G12" s="468">
        <f t="shared" ca="1" si="2"/>
        <v>70.623351836750885</v>
      </c>
      <c r="H12" s="468">
        <f t="shared" ca="1" si="2"/>
        <v>79.258102946554459</v>
      </c>
      <c r="I12" s="469">
        <f t="shared" ca="1" si="2"/>
        <v>2323.7892815423156</v>
      </c>
    </row>
    <row r="13" spans="1:9" ht="12.75" customHeight="1">
      <c r="B13" s="61" t="s">
        <v>303</v>
      </c>
      <c r="C13" s="61"/>
      <c r="D13" s="61"/>
      <c r="E13" s="470">
        <v>0.12</v>
      </c>
      <c r="F13" s="470">
        <v>0.12</v>
      </c>
      <c r="G13" s="470">
        <v>0.12</v>
      </c>
      <c r="H13" s="470">
        <v>0.12</v>
      </c>
      <c r="I13" s="470">
        <v>0.12</v>
      </c>
    </row>
    <row r="14" spans="1:9" ht="12.75" customHeight="1">
      <c r="B14" s="61" t="s">
        <v>304</v>
      </c>
      <c r="C14" s="61"/>
      <c r="D14" s="61"/>
      <c r="E14" s="471">
        <f ca="1">1/(1+E13)^(E6-2019)</f>
        <v>0.89285714285714279</v>
      </c>
      <c r="F14" s="471">
        <f ca="1">1/(1+F13)^(F6-2019)</f>
        <v>0.79719387755102034</v>
      </c>
      <c r="G14" s="471">
        <f ca="1">1/(1+G13)^(G6-2019)</f>
        <v>0.71178024781341087</v>
      </c>
      <c r="H14" s="471">
        <f ca="1">1/(1+H13)^(H6-2019)</f>
        <v>0.63551807840483121</v>
      </c>
      <c r="I14" s="471">
        <f ca="1">1/(1+I13)^(I6-2019)</f>
        <v>0.56742685571859919</v>
      </c>
    </row>
    <row r="15" spans="1:9" ht="12.75" customHeight="1">
      <c r="B15" s="61" t="s">
        <v>309</v>
      </c>
      <c r="C15" s="61"/>
      <c r="D15" s="61"/>
      <c r="E15" s="466">
        <f ca="1">+E12*E14</f>
        <v>49.629642570189894</v>
      </c>
      <c r="F15" s="466">
        <f t="shared" ref="F15:I15" ca="1" si="3">+F12*F14</f>
        <v>50.115954621077144</v>
      </c>
      <c r="G15" s="466">
        <f t="shared" ca="1" si="3"/>
        <v>50.268306871776254</v>
      </c>
      <c r="H15" s="466">
        <f t="shared" ca="1" si="3"/>
        <v>50.369957282606578</v>
      </c>
      <c r="I15" s="466">
        <f t="shared" ca="1" si="3"/>
        <v>1318.5804453781388</v>
      </c>
    </row>
    <row r="16" spans="1:9" ht="12.75" customHeight="1">
      <c r="B16" s="61" t="s">
        <v>13</v>
      </c>
      <c r="C16" s="61"/>
      <c r="D16" s="61"/>
      <c r="E16" s="466">
        <f ca="1">+SUM(E15:I15)</f>
        <v>1518.9643067237887</v>
      </c>
      <c r="F16" s="466"/>
      <c r="G16" s="466"/>
      <c r="H16" s="466"/>
      <c r="I16" s="466"/>
    </row>
    <row r="17" spans="2:9" ht="12.75" customHeight="1">
      <c r="B17" s="61" t="s">
        <v>310</v>
      </c>
      <c r="C17" s="61"/>
      <c r="D17" s="61"/>
      <c r="E17" s="466">
        <f ca="1">+adshares</f>
        <v>50.758911460488214</v>
      </c>
      <c r="F17" s="466"/>
      <c r="G17" s="466"/>
      <c r="H17" s="466"/>
      <c r="I17" s="466"/>
    </row>
    <row r="18" spans="2:9" ht="12.75" customHeight="1">
      <c r="B18" s="472" t="s">
        <v>311</v>
      </c>
      <c r="C18" s="473"/>
      <c r="D18" s="473"/>
      <c r="E18" s="474">
        <f ca="1">+E16/E17</f>
        <v>29.925076464773717</v>
      </c>
      <c r="F18" s="466"/>
      <c r="G18" s="466"/>
      <c r="H18" s="466"/>
      <c r="I18" s="466"/>
    </row>
    <row r="19" spans="2:9" ht="12.75" customHeight="1">
      <c r="B19" s="475" t="s">
        <v>314</v>
      </c>
      <c r="C19" s="476"/>
      <c r="D19" s="476"/>
      <c r="E19" s="477">
        <f ca="1">+E18/aprice-1</f>
        <v>0.23810825257648793</v>
      </c>
      <c r="F19" s="61"/>
      <c r="G19" s="61"/>
    </row>
    <row r="20" spans="2:9" ht="12.75" customHeight="1">
      <c r="B20" s="61"/>
      <c r="C20" s="61"/>
      <c r="D20" s="61"/>
      <c r="E20" s="61"/>
      <c r="F20" s="61"/>
      <c r="G20" s="61"/>
    </row>
    <row r="21" spans="2:9" ht="12.75" customHeight="1">
      <c r="B21" s="478" t="s">
        <v>305</v>
      </c>
      <c r="C21" s="61"/>
      <c r="D21" s="61"/>
      <c r="E21" s="61"/>
      <c r="F21" s="61"/>
      <c r="G21" s="61"/>
    </row>
    <row r="22" spans="2:9" ht="12.75" customHeight="1">
      <c r="B22" s="61" t="s">
        <v>306</v>
      </c>
      <c r="C22" s="61"/>
      <c r="D22" s="479">
        <v>1.3</v>
      </c>
      <c r="E22" s="61"/>
      <c r="F22" s="61"/>
      <c r="G22" s="61"/>
    </row>
    <row r="23" spans="2:9" ht="12.75" customHeight="1">
      <c r="B23" s="61" t="s">
        <v>307</v>
      </c>
      <c r="C23" s="61"/>
      <c r="D23" s="463">
        <f ca="1">+Proj!Q68</f>
        <v>1719.1719854705955</v>
      </c>
      <c r="E23" s="61"/>
      <c r="F23" s="61"/>
      <c r="G23" s="61"/>
    </row>
    <row r="24" spans="2:9" ht="12.75" customHeight="1">
      <c r="B24" s="61" t="s">
        <v>305</v>
      </c>
      <c r="C24" s="61"/>
      <c r="D24" s="466">
        <f ca="1">+D22*D23</f>
        <v>2234.9235811117742</v>
      </c>
      <c r="E24" s="61"/>
      <c r="F24" s="61"/>
      <c r="G24" s="61"/>
      <c r="H24" s="158"/>
    </row>
    <row r="25" spans="2:9" s="167" customFormat="1" ht="12.75" customHeight="1">
      <c r="B25" s="61"/>
      <c r="C25" s="61"/>
      <c r="D25" s="61"/>
      <c r="E25" s="61"/>
      <c r="F25" s="61"/>
      <c r="G25" s="61"/>
    </row>
    <row r="26" spans="2:9" s="161" customFormat="1" ht="12.75" customHeight="1">
      <c r="B26" s="480" t="s">
        <v>312</v>
      </c>
      <c r="C26" s="61"/>
      <c r="D26" s="61"/>
      <c r="E26" s="61"/>
      <c r="F26" s="61"/>
      <c r="G26" s="61"/>
    </row>
    <row r="27" spans="2:9" ht="12.75" customHeight="1">
      <c r="B27" s="61"/>
      <c r="C27" s="61"/>
      <c r="D27" s="61"/>
      <c r="E27" s="61"/>
      <c r="F27" s="61"/>
      <c r="G27" s="61"/>
    </row>
    <row r="28" spans="2:9" ht="12.75" customHeight="1">
      <c r="B28" s="61"/>
      <c r="C28" s="61"/>
      <c r="D28" s="61"/>
      <c r="E28" s="61"/>
      <c r="F28" s="61"/>
      <c r="G28" s="61"/>
    </row>
    <row r="29" spans="2:9" ht="12.75" customHeight="1">
      <c r="B29" s="61"/>
      <c r="C29" s="61"/>
      <c r="D29" s="61"/>
      <c r="E29" s="61"/>
      <c r="F29" s="61"/>
      <c r="G29" s="61"/>
    </row>
    <row r="30" spans="2:9" ht="12.75" customHeight="1">
      <c r="B30" s="61"/>
      <c r="C30" s="61"/>
      <c r="D30" s="61"/>
      <c r="E30" s="61"/>
      <c r="F30" s="61"/>
      <c r="G30" s="61"/>
    </row>
    <row r="31" spans="2:9" ht="12.75" customHeight="1">
      <c r="B31" s="61"/>
      <c r="C31" s="61"/>
      <c r="D31" s="61"/>
      <c r="E31" s="61"/>
      <c r="F31" s="61"/>
      <c r="G31" s="61"/>
    </row>
    <row r="32" spans="2:9" ht="12.75" customHeight="1">
      <c r="B32" s="61"/>
      <c r="C32" s="61"/>
      <c r="D32" s="61"/>
      <c r="E32" s="61"/>
      <c r="F32" s="61"/>
      <c r="G32" s="61"/>
    </row>
    <row r="33" spans="2:7" ht="12.75" customHeight="1">
      <c r="B33" s="61"/>
      <c r="C33" s="61"/>
      <c r="D33" s="61"/>
      <c r="E33" s="61"/>
      <c r="F33" s="61"/>
      <c r="G33" s="61"/>
    </row>
    <row r="34" spans="2:7" ht="12.75" customHeight="1">
      <c r="B34" s="61"/>
      <c r="C34" s="61"/>
      <c r="D34" s="61"/>
      <c r="E34" s="61"/>
      <c r="F34" s="61"/>
      <c r="G34" s="61"/>
    </row>
    <row r="35" spans="2:7" ht="12.75" customHeight="1">
      <c r="B35" s="61"/>
      <c r="C35" s="61"/>
      <c r="D35" s="61"/>
      <c r="E35" s="61"/>
      <c r="F35" s="61"/>
      <c r="G35" s="61"/>
    </row>
    <row r="36" spans="2:7" ht="12.75" customHeight="1">
      <c r="B36" s="61"/>
      <c r="C36" s="61"/>
      <c r="D36" s="61"/>
      <c r="E36" s="61"/>
      <c r="F36" s="61"/>
      <c r="G36" s="61"/>
    </row>
    <row r="37" spans="2:7" ht="12.75" customHeight="1">
      <c r="B37" s="61"/>
      <c r="C37" s="61"/>
      <c r="D37" s="61"/>
      <c r="E37" s="61"/>
      <c r="F37" s="61"/>
      <c r="G37" s="61"/>
    </row>
    <row r="38" spans="2:7" ht="12.75" customHeight="1">
      <c r="B38" s="61"/>
      <c r="C38" s="61"/>
      <c r="D38" s="61"/>
      <c r="E38" s="61"/>
      <c r="F38" s="61"/>
      <c r="G38" s="61"/>
    </row>
    <row r="39" spans="2:7" ht="12.75" customHeight="1">
      <c r="B39" s="61"/>
      <c r="C39" s="61"/>
      <c r="D39" s="61"/>
      <c r="E39" s="61"/>
      <c r="F39" s="61"/>
      <c r="G39" s="61"/>
    </row>
    <row r="40" spans="2:7" ht="12.75" customHeight="1">
      <c r="B40" s="61"/>
      <c r="C40" s="61"/>
      <c r="D40" s="61"/>
      <c r="E40" s="61"/>
      <c r="F40" s="61"/>
      <c r="G40" s="61"/>
    </row>
    <row r="41" spans="2:7" ht="12.75" customHeight="1">
      <c r="B41" s="61"/>
      <c r="C41" s="61"/>
      <c r="D41" s="61"/>
      <c r="E41" s="61"/>
      <c r="F41" s="61"/>
      <c r="G41" s="61"/>
    </row>
    <row r="42" spans="2:7" ht="12.75" customHeight="1">
      <c r="B42" s="61"/>
      <c r="C42" s="61"/>
      <c r="D42" s="61"/>
      <c r="E42" s="61"/>
      <c r="F42" s="61"/>
      <c r="G42" s="61"/>
    </row>
    <row r="43" spans="2:7" ht="12.75" customHeight="1">
      <c r="B43" s="61"/>
      <c r="C43" s="61"/>
      <c r="D43" s="61"/>
      <c r="E43" s="61"/>
      <c r="F43" s="61"/>
      <c r="G43" s="61"/>
    </row>
    <row r="44" spans="2:7" ht="12.75" customHeight="1">
      <c r="B44" s="61"/>
      <c r="C44" s="61"/>
      <c r="D44" s="61"/>
      <c r="E44" s="61"/>
      <c r="F44" s="61"/>
      <c r="G44" s="61"/>
    </row>
    <row r="45" spans="2:7" ht="12.75" customHeight="1">
      <c r="B45" s="61"/>
      <c r="C45" s="61"/>
      <c r="D45" s="61"/>
      <c r="E45" s="61"/>
      <c r="F45" s="61"/>
      <c r="G45" s="61"/>
    </row>
    <row r="46" spans="2:7" ht="12.75" customHeight="1">
      <c r="B46" s="61"/>
      <c r="C46" s="61"/>
      <c r="D46" s="61"/>
      <c r="E46" s="61"/>
      <c r="F46" s="61"/>
      <c r="G46" s="61"/>
    </row>
    <row r="47" spans="2:7" ht="12.75" customHeight="1">
      <c r="B47" s="61"/>
      <c r="C47" s="61"/>
      <c r="D47" s="61"/>
      <c r="E47" s="61"/>
      <c r="F47" s="61"/>
      <c r="G47" s="61"/>
    </row>
    <row r="48" spans="2:7" ht="12.75" customHeight="1">
      <c r="B48" s="61"/>
      <c r="C48" s="61"/>
      <c r="D48" s="61"/>
      <c r="E48" s="61"/>
      <c r="F48" s="61"/>
      <c r="G48" s="61"/>
    </row>
    <row r="49" spans="2:7" ht="12.75" customHeight="1">
      <c r="B49" s="61"/>
      <c r="C49" s="61"/>
      <c r="D49" s="61"/>
      <c r="E49" s="61"/>
      <c r="F49" s="61"/>
      <c r="G49" s="61"/>
    </row>
    <row r="50" spans="2:7" ht="12.75" customHeight="1">
      <c r="B50" s="61"/>
      <c r="C50" s="61"/>
      <c r="D50" s="61"/>
      <c r="E50" s="61"/>
      <c r="F50" s="61"/>
      <c r="G50" s="61"/>
    </row>
    <row r="51" spans="2:7" ht="12.75" customHeight="1">
      <c r="B51" s="61"/>
      <c r="C51" s="61"/>
      <c r="D51" s="61"/>
      <c r="E51" s="61"/>
      <c r="F51" s="61"/>
      <c r="G51" s="61"/>
    </row>
    <row r="52" spans="2:7" ht="12.75" customHeight="1">
      <c r="B52" s="61"/>
      <c r="C52" s="61"/>
      <c r="D52" s="61"/>
      <c r="E52" s="61"/>
      <c r="F52" s="61"/>
      <c r="G52" s="61"/>
    </row>
    <row r="53" spans="2:7" ht="12.75" customHeight="1">
      <c r="B53" s="61"/>
      <c r="C53" s="61"/>
      <c r="D53" s="61"/>
      <c r="E53" s="61"/>
      <c r="F53" s="61"/>
      <c r="G53" s="61"/>
    </row>
    <row r="54" spans="2:7" ht="12.75" customHeight="1">
      <c r="B54" s="61"/>
      <c r="C54" s="61"/>
      <c r="D54" s="61"/>
      <c r="E54" s="61"/>
      <c r="F54" s="61"/>
      <c r="G54" s="61"/>
    </row>
    <row r="55" spans="2:7" ht="12.75" customHeight="1">
      <c r="B55" s="61"/>
      <c r="C55" s="61"/>
      <c r="D55" s="61"/>
      <c r="E55" s="61"/>
      <c r="F55" s="61"/>
      <c r="G55" s="61"/>
    </row>
    <row r="56" spans="2:7" ht="12.75" customHeight="1">
      <c r="B56" s="61"/>
      <c r="C56" s="61"/>
      <c r="D56" s="61"/>
      <c r="E56" s="61"/>
      <c r="F56" s="61"/>
      <c r="G56" s="61"/>
    </row>
    <row r="57" spans="2:7" ht="12.75" customHeight="1">
      <c r="B57" s="61"/>
      <c r="C57" s="61"/>
      <c r="D57" s="61"/>
      <c r="E57" s="61"/>
      <c r="F57" s="61"/>
      <c r="G57" s="61"/>
    </row>
    <row r="58" spans="2:7" ht="12.75" customHeight="1">
      <c r="B58" s="61"/>
      <c r="C58" s="61"/>
      <c r="D58" s="61"/>
      <c r="E58" s="61"/>
      <c r="F58" s="61"/>
      <c r="G58" s="61"/>
    </row>
    <row r="59" spans="2:7" ht="12.75" customHeight="1">
      <c r="B59" s="61"/>
      <c r="C59" s="61"/>
      <c r="D59" s="61"/>
      <c r="E59" s="61"/>
      <c r="F59" s="61"/>
      <c r="G59" s="61"/>
    </row>
    <row r="60" spans="2:7">
      <c r="B60" s="61"/>
      <c r="C60" s="61"/>
      <c r="D60" s="61"/>
      <c r="E60" s="61"/>
      <c r="F60" s="61"/>
      <c r="G60" s="61"/>
    </row>
    <row r="61" spans="2:7">
      <c r="B61" s="61"/>
      <c r="C61" s="61"/>
      <c r="D61" s="61"/>
      <c r="E61" s="61"/>
      <c r="F61" s="61"/>
      <c r="G61" s="61"/>
    </row>
    <row r="62" spans="2:7" ht="15.75" customHeight="1">
      <c r="B62" s="61"/>
      <c r="C62" s="61"/>
      <c r="D62" s="61"/>
      <c r="E62" s="61"/>
      <c r="F62" s="61"/>
      <c r="G62" s="61"/>
    </row>
    <row r="63" spans="2:7" ht="12.75" customHeight="1">
      <c r="B63" s="61"/>
      <c r="C63" s="61"/>
      <c r="D63" s="61"/>
      <c r="E63" s="61"/>
      <c r="F63" s="61"/>
      <c r="G63" s="61"/>
    </row>
    <row r="64" spans="2:7" s="14" customFormat="1" ht="12.75" customHeight="1">
      <c r="B64" s="61"/>
      <c r="C64" s="61"/>
      <c r="D64" s="61"/>
      <c r="E64" s="61"/>
      <c r="F64" s="61"/>
      <c r="G64" s="61"/>
    </row>
    <row r="65" spans="1:15" s="14" customFormat="1" ht="15" customHeight="1">
      <c r="B65" s="61"/>
      <c r="C65" s="61"/>
      <c r="D65" s="61"/>
      <c r="E65" s="61"/>
      <c r="F65" s="61"/>
      <c r="G65" s="61"/>
    </row>
    <row r="66" spans="1:15" s="14" customFormat="1">
      <c r="B66" s="61"/>
      <c r="C66" s="61"/>
      <c r="D66" s="61"/>
      <c r="E66" s="61"/>
      <c r="F66" s="61"/>
      <c r="G66" s="61"/>
    </row>
    <row r="67" spans="1:15">
      <c r="B67" s="61"/>
      <c r="C67" s="61"/>
      <c r="D67" s="61"/>
      <c r="E67" s="61"/>
      <c r="F67" s="61"/>
      <c r="G67" s="61"/>
    </row>
    <row r="68" spans="1:15">
      <c r="B68" s="61"/>
      <c r="C68" s="61"/>
      <c r="D68" s="61"/>
      <c r="E68" s="61"/>
      <c r="F68" s="61"/>
      <c r="G68" s="61"/>
    </row>
    <row r="69" spans="1:15">
      <c r="B69" s="61"/>
      <c r="C69" s="61"/>
      <c r="D69" s="61"/>
      <c r="E69" s="61"/>
      <c r="F69" s="61"/>
      <c r="G69" s="61"/>
    </row>
    <row r="70" spans="1:15">
      <c r="B70" s="61"/>
      <c r="C70" s="61"/>
      <c r="D70" s="61"/>
      <c r="E70" s="61"/>
      <c r="F70" s="61"/>
      <c r="G70" s="61"/>
    </row>
    <row r="71" spans="1:15" s="3" customFormat="1">
      <c r="A71" s="4"/>
      <c r="B71" s="61"/>
      <c r="C71" s="61"/>
      <c r="D71" s="61"/>
      <c r="E71" s="61"/>
      <c r="F71" s="61"/>
      <c r="G71" s="61"/>
      <c r="H71" s="4"/>
      <c r="I71" s="4"/>
      <c r="J71" s="4"/>
      <c r="K71" s="4"/>
      <c r="L71" s="4"/>
      <c r="M71" s="4"/>
      <c r="N71" s="4"/>
      <c r="O71" s="4"/>
    </row>
    <row r="72" spans="1:15" s="3" customFormat="1">
      <c r="A72" s="4"/>
      <c r="B72" s="61"/>
      <c r="C72" s="61"/>
      <c r="D72" s="61"/>
      <c r="E72" s="61"/>
      <c r="F72" s="61"/>
      <c r="G72" s="61"/>
      <c r="H72" s="4"/>
      <c r="I72" s="4"/>
      <c r="J72" s="4"/>
      <c r="K72" s="4"/>
      <c r="L72" s="4"/>
      <c r="M72" s="4"/>
      <c r="N72" s="4"/>
      <c r="O72" s="4"/>
    </row>
    <row r="73" spans="1:15" s="3" customFormat="1">
      <c r="A73" s="4"/>
      <c r="B73" s="61"/>
      <c r="C73" s="61"/>
      <c r="D73" s="61"/>
      <c r="E73" s="61"/>
      <c r="F73" s="61"/>
      <c r="G73" s="61"/>
      <c r="H73" s="4"/>
      <c r="I73" s="4"/>
      <c r="J73" s="4"/>
      <c r="K73" s="4"/>
      <c r="L73" s="4"/>
      <c r="M73" s="4"/>
      <c r="N73" s="4"/>
      <c r="O73" s="4"/>
    </row>
    <row r="74" spans="1:15" s="3" customFormat="1">
      <c r="A74" s="4"/>
      <c r="B74" s="61"/>
      <c r="C74" s="61"/>
      <c r="D74" s="61"/>
      <c r="E74" s="61"/>
      <c r="F74" s="61"/>
      <c r="G74" s="61"/>
      <c r="H74" s="4"/>
      <c r="I74" s="4"/>
      <c r="J74" s="4"/>
      <c r="K74" s="4"/>
      <c r="L74" s="4"/>
      <c r="M74" s="4"/>
      <c r="N74" s="4"/>
      <c r="O74" s="4"/>
    </row>
    <row r="75" spans="1:15" s="3" customFormat="1">
      <c r="A75" s="4"/>
      <c r="B75" s="61"/>
      <c r="C75" s="61"/>
      <c r="D75" s="61"/>
      <c r="E75" s="61"/>
      <c r="F75" s="61"/>
      <c r="G75" s="61"/>
      <c r="H75" s="4"/>
      <c r="I75" s="4"/>
      <c r="J75" s="4"/>
      <c r="K75" s="4"/>
      <c r="L75" s="4"/>
      <c r="M75" s="4"/>
      <c r="N75" s="4"/>
      <c r="O75" s="4"/>
    </row>
    <row r="76" spans="1:15" s="3" customFormat="1">
      <c r="A76" s="4"/>
      <c r="B76" s="61"/>
      <c r="C76" s="61"/>
      <c r="D76" s="61"/>
      <c r="E76" s="61"/>
      <c r="F76" s="61"/>
      <c r="G76" s="61"/>
      <c r="H76" s="4"/>
      <c r="I76" s="4"/>
      <c r="J76" s="4"/>
      <c r="K76" s="4"/>
      <c r="L76" s="4"/>
      <c r="M76" s="4"/>
      <c r="N76" s="4"/>
      <c r="O76" s="4"/>
    </row>
    <row r="77" spans="1:15" s="3" customFormat="1">
      <c r="A77" s="4"/>
      <c r="B77" s="61"/>
      <c r="C77" s="61"/>
      <c r="D77" s="61"/>
      <c r="E77" s="61"/>
      <c r="F77" s="61"/>
      <c r="G77" s="61"/>
      <c r="H77" s="4"/>
      <c r="I77" s="4"/>
      <c r="J77" s="4"/>
      <c r="K77" s="4"/>
      <c r="L77" s="4"/>
      <c r="M77" s="4"/>
      <c r="N77" s="4"/>
      <c r="O77" s="4"/>
    </row>
    <row r="78" spans="1:15" s="3" customFormat="1">
      <c r="A78" s="4"/>
      <c r="B78" s="61"/>
      <c r="C78" s="61"/>
      <c r="D78" s="61"/>
      <c r="E78" s="61"/>
      <c r="F78" s="61"/>
      <c r="G78" s="61"/>
      <c r="H78" s="4"/>
      <c r="I78" s="4"/>
      <c r="J78" s="4"/>
      <c r="K78" s="4"/>
      <c r="L78" s="4"/>
      <c r="M78" s="4"/>
      <c r="N78" s="4"/>
      <c r="O78" s="4"/>
    </row>
    <row r="79" spans="1:15" s="3" customFormat="1">
      <c r="A79" s="4"/>
      <c r="B79" s="61"/>
      <c r="C79" s="61"/>
      <c r="D79" s="61"/>
      <c r="E79" s="61"/>
      <c r="F79" s="61"/>
      <c r="G79" s="61"/>
      <c r="H79" s="4"/>
      <c r="I79" s="4"/>
      <c r="J79" s="4"/>
      <c r="K79" s="4"/>
      <c r="L79" s="4"/>
      <c r="M79" s="4"/>
      <c r="N79" s="4"/>
      <c r="O79" s="4"/>
    </row>
    <row r="80" spans="1:15" s="3" customFormat="1">
      <c r="A80" s="4"/>
      <c r="B80" s="61"/>
      <c r="C80" s="61"/>
      <c r="D80" s="61"/>
      <c r="E80" s="61"/>
      <c r="F80" s="61"/>
      <c r="G80" s="61"/>
      <c r="H80" s="4"/>
      <c r="I80" s="4"/>
      <c r="J80" s="4"/>
      <c r="K80" s="4"/>
      <c r="L80" s="4"/>
      <c r="M80" s="4"/>
      <c r="N80" s="4"/>
      <c r="O80" s="4"/>
    </row>
    <row r="81" spans="1:15" s="3" customFormat="1">
      <c r="A81" s="4"/>
      <c r="B81" s="61"/>
      <c r="C81" s="61"/>
      <c r="D81" s="61"/>
      <c r="E81" s="61"/>
      <c r="F81" s="61"/>
      <c r="G81" s="61"/>
      <c r="H81" s="4"/>
      <c r="I81" s="4"/>
      <c r="J81" s="4"/>
      <c r="K81" s="4"/>
      <c r="L81" s="4"/>
      <c r="M81" s="4"/>
      <c r="N81" s="4"/>
      <c r="O81" s="4"/>
    </row>
    <row r="82" spans="1:15" s="3" customFormat="1">
      <c r="A82" s="4"/>
      <c r="B82" s="61"/>
      <c r="C82" s="61"/>
      <c r="D82" s="61"/>
      <c r="E82" s="61"/>
      <c r="F82" s="61"/>
      <c r="G82" s="61"/>
      <c r="H82" s="4"/>
      <c r="I82" s="4"/>
      <c r="J82" s="4"/>
      <c r="K82" s="4"/>
      <c r="L82" s="4"/>
      <c r="M82" s="4"/>
      <c r="N82" s="4"/>
      <c r="O82" s="4"/>
    </row>
    <row r="83" spans="1:15" s="3" customFormat="1">
      <c r="A83" s="4"/>
      <c r="B83" s="61"/>
      <c r="C83" s="61"/>
      <c r="D83" s="61"/>
      <c r="E83" s="61"/>
      <c r="F83" s="61"/>
      <c r="G83" s="61"/>
      <c r="H83" s="4"/>
      <c r="I83" s="4"/>
      <c r="J83" s="4"/>
      <c r="K83" s="4"/>
      <c r="L83" s="4"/>
      <c r="M83" s="4"/>
      <c r="N83" s="4"/>
      <c r="O83" s="4"/>
    </row>
    <row r="84" spans="1:15" s="3" customFormat="1">
      <c r="A84" s="4"/>
      <c r="B84" s="61"/>
      <c r="C84" s="61"/>
      <c r="D84" s="61"/>
      <c r="E84" s="61"/>
      <c r="F84" s="61"/>
      <c r="G84" s="61"/>
      <c r="H84" s="4"/>
      <c r="I84" s="4"/>
      <c r="J84" s="4"/>
      <c r="K84" s="4"/>
      <c r="L84" s="4"/>
      <c r="M84" s="4"/>
      <c r="N84" s="4"/>
      <c r="O84" s="4"/>
    </row>
    <row r="85" spans="1:15" s="3" customFormat="1">
      <c r="A85" s="4"/>
      <c r="B85" s="61"/>
      <c r="C85" s="61"/>
      <c r="D85" s="61"/>
      <c r="E85" s="61"/>
      <c r="F85" s="61"/>
      <c r="G85" s="61"/>
      <c r="H85" s="4"/>
      <c r="I85" s="4"/>
      <c r="J85" s="4"/>
      <c r="K85" s="4"/>
      <c r="L85" s="4"/>
      <c r="M85" s="4"/>
      <c r="N85" s="4"/>
      <c r="O85" s="4"/>
    </row>
    <row r="86" spans="1:15" s="3" customFormat="1">
      <c r="A86" s="4"/>
      <c r="B86" s="61"/>
      <c r="C86" s="61"/>
      <c r="D86" s="61"/>
      <c r="E86" s="61"/>
      <c r="F86" s="61"/>
      <c r="G86" s="61"/>
      <c r="H86" s="4"/>
      <c r="I86" s="4"/>
      <c r="J86" s="4"/>
      <c r="K86" s="4"/>
      <c r="L86" s="4"/>
      <c r="M86" s="4"/>
      <c r="N86" s="4"/>
      <c r="O86" s="4"/>
    </row>
    <row r="87" spans="1:15">
      <c r="B87" s="61"/>
      <c r="C87" s="61"/>
      <c r="D87" s="61"/>
      <c r="E87" s="61"/>
      <c r="F87" s="61"/>
      <c r="G87" s="61"/>
    </row>
    <row r="88" spans="1:15">
      <c r="B88" s="61"/>
      <c r="C88" s="61"/>
      <c r="D88" s="61"/>
      <c r="E88" s="61"/>
      <c r="F88" s="61"/>
      <c r="G88" s="61"/>
    </row>
    <row r="89" spans="1:15">
      <c r="B89" s="61"/>
      <c r="C89" s="61"/>
      <c r="D89" s="61"/>
      <c r="E89" s="61"/>
      <c r="F89" s="61"/>
      <c r="G89" s="61"/>
    </row>
    <row r="90" spans="1:15">
      <c r="B90" s="61"/>
      <c r="C90" s="61"/>
      <c r="D90" s="61"/>
      <c r="E90" s="61"/>
      <c r="F90" s="61"/>
      <c r="G90" s="61"/>
    </row>
    <row r="91" spans="1:15">
      <c r="B91" s="61"/>
      <c r="C91" s="61"/>
      <c r="D91" s="61"/>
      <c r="E91" s="61"/>
      <c r="F91" s="61"/>
      <c r="G91" s="61"/>
    </row>
    <row r="92" spans="1:15">
      <c r="B92" s="61"/>
      <c r="C92" s="61"/>
      <c r="D92" s="61"/>
      <c r="E92" s="61"/>
      <c r="F92" s="61"/>
      <c r="G92" s="61"/>
    </row>
    <row r="93" spans="1:15">
      <c r="B93" s="61"/>
      <c r="C93" s="61"/>
      <c r="D93" s="61"/>
      <c r="E93" s="61"/>
      <c r="F93" s="61"/>
      <c r="G93" s="61"/>
    </row>
    <row r="94" spans="1:15">
      <c r="B94" s="61"/>
      <c r="C94" s="61"/>
      <c r="D94" s="61"/>
      <c r="E94" s="61"/>
      <c r="F94" s="61"/>
      <c r="G94" s="61"/>
    </row>
    <row r="95" spans="1:15" s="207" customFormat="1">
      <c r="B95" s="61"/>
      <c r="C95" s="61"/>
      <c r="D95" s="61"/>
      <c r="E95" s="61"/>
      <c r="F95" s="61"/>
      <c r="G95" s="61"/>
    </row>
    <row r="96" spans="1:15">
      <c r="B96" s="61"/>
      <c r="C96" s="61"/>
      <c r="D96" s="61"/>
      <c r="E96" s="61"/>
      <c r="F96" s="61"/>
      <c r="G96" s="61"/>
    </row>
    <row r="97" spans="2:7">
      <c r="B97" s="61"/>
      <c r="C97" s="61"/>
      <c r="D97" s="61"/>
      <c r="E97" s="61"/>
      <c r="F97" s="61"/>
      <c r="G97" s="61"/>
    </row>
    <row r="98" spans="2:7">
      <c r="B98" s="61"/>
      <c r="C98" s="61"/>
      <c r="D98" s="61"/>
      <c r="E98" s="61"/>
      <c r="F98" s="61"/>
      <c r="G98" s="61"/>
    </row>
    <row r="99" spans="2:7">
      <c r="B99" s="61"/>
      <c r="C99" s="61"/>
      <c r="D99" s="61"/>
      <c r="E99" s="61"/>
      <c r="F99" s="61"/>
      <c r="G99" s="61"/>
    </row>
    <row r="100" spans="2:7">
      <c r="B100" s="61"/>
      <c r="C100" s="61"/>
      <c r="D100" s="61"/>
      <c r="E100" s="61"/>
      <c r="F100" s="61"/>
      <c r="G100" s="61"/>
    </row>
    <row r="101" spans="2:7">
      <c r="B101" s="61"/>
      <c r="C101" s="61"/>
      <c r="D101" s="61"/>
      <c r="E101" s="61"/>
      <c r="F101" s="61"/>
      <c r="G101" s="61"/>
    </row>
    <row r="102" spans="2:7">
      <c r="B102" s="61"/>
      <c r="C102" s="61"/>
      <c r="D102" s="61"/>
      <c r="E102" s="61"/>
      <c r="F102" s="61"/>
      <c r="G102" s="61"/>
    </row>
    <row r="103" spans="2:7">
      <c r="B103" s="61"/>
      <c r="C103" s="61"/>
      <c r="D103" s="61"/>
      <c r="E103" s="61"/>
      <c r="F103" s="61"/>
      <c r="G103" s="61"/>
    </row>
    <row r="104" spans="2:7">
      <c r="B104" s="61"/>
      <c r="C104" s="61"/>
      <c r="D104" s="61"/>
      <c r="E104" s="61"/>
      <c r="F104" s="61"/>
      <c r="G104" s="61"/>
    </row>
    <row r="105" spans="2:7">
      <c r="B105" s="61"/>
      <c r="C105" s="61"/>
      <c r="D105" s="61"/>
      <c r="E105" s="61"/>
      <c r="F105" s="61"/>
      <c r="G105" s="61"/>
    </row>
    <row r="106" spans="2:7">
      <c r="B106" s="61"/>
      <c r="C106" s="61"/>
      <c r="D106" s="61"/>
      <c r="E106" s="61"/>
      <c r="F106" s="61"/>
      <c r="G106" s="61"/>
    </row>
    <row r="107" spans="2:7">
      <c r="B107" s="61"/>
      <c r="C107" s="61"/>
      <c r="D107" s="61"/>
      <c r="E107" s="61"/>
      <c r="F107" s="61"/>
      <c r="G107" s="61"/>
    </row>
    <row r="108" spans="2:7">
      <c r="B108" s="61"/>
      <c r="C108" s="61"/>
      <c r="D108" s="61"/>
      <c r="E108" s="61"/>
      <c r="F108" s="61"/>
      <c r="G108" s="61"/>
    </row>
    <row r="109" spans="2:7">
      <c r="B109" s="61"/>
      <c r="C109" s="61"/>
      <c r="D109" s="61"/>
      <c r="E109" s="61"/>
      <c r="F109" s="61"/>
      <c r="G109" s="61"/>
    </row>
    <row r="110" spans="2:7">
      <c r="B110" s="61"/>
      <c r="C110" s="61"/>
      <c r="D110" s="61"/>
      <c r="E110" s="61"/>
      <c r="F110" s="61"/>
      <c r="G110" s="61"/>
    </row>
    <row r="111" spans="2:7">
      <c r="B111" s="61"/>
      <c r="C111" s="61"/>
      <c r="D111" s="61"/>
      <c r="E111" s="61"/>
      <c r="F111" s="61"/>
      <c r="G111" s="61"/>
    </row>
    <row r="112" spans="2:7">
      <c r="B112" s="61"/>
      <c r="C112" s="61"/>
      <c r="D112" s="61"/>
      <c r="E112" s="61"/>
      <c r="F112" s="61"/>
      <c r="G112" s="61"/>
    </row>
    <row r="113" spans="2:7">
      <c r="B113" s="61"/>
      <c r="C113" s="61"/>
      <c r="D113" s="61"/>
      <c r="E113" s="61"/>
      <c r="F113" s="61"/>
      <c r="G113" s="61"/>
    </row>
    <row r="114" spans="2:7">
      <c r="B114" s="61"/>
      <c r="C114" s="61"/>
      <c r="D114" s="61"/>
      <c r="E114" s="61"/>
      <c r="F114" s="61"/>
      <c r="G114" s="61"/>
    </row>
    <row r="115" spans="2:7">
      <c r="B115" s="61"/>
      <c r="C115" s="61"/>
      <c r="D115" s="61"/>
      <c r="E115" s="61"/>
      <c r="F115" s="61"/>
      <c r="G115" s="61"/>
    </row>
    <row r="116" spans="2:7">
      <c r="B116" s="61"/>
      <c r="C116" s="61"/>
      <c r="D116" s="61"/>
      <c r="E116" s="61"/>
      <c r="F116" s="61"/>
      <c r="G116" s="61"/>
    </row>
    <row r="117" spans="2:7">
      <c r="B117" s="61"/>
      <c r="C117" s="61"/>
      <c r="D117" s="61"/>
      <c r="E117" s="61"/>
      <c r="F117" s="61"/>
      <c r="G117" s="61"/>
    </row>
    <row r="118" spans="2:7">
      <c r="B118" s="61"/>
      <c r="C118" s="61"/>
      <c r="D118" s="61"/>
      <c r="E118" s="61"/>
      <c r="F118" s="61"/>
      <c r="G118" s="61"/>
    </row>
    <row r="119" spans="2:7">
      <c r="B119" s="61"/>
      <c r="C119" s="61"/>
      <c r="D119" s="61"/>
      <c r="E119" s="61"/>
      <c r="F119" s="61"/>
      <c r="G119" s="61"/>
    </row>
    <row r="120" spans="2:7">
      <c r="B120" s="61"/>
      <c r="C120" s="61"/>
      <c r="D120" s="61"/>
      <c r="E120" s="61"/>
      <c r="F120" s="61"/>
      <c r="G120" s="61"/>
    </row>
  </sheetData>
  <printOptions horizontalCentered="1"/>
  <pageMargins left="0.35" right="0.35" top="0.35" bottom="0.35" header="0.15" footer="0.15"/>
  <pageSetup scale="6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42</vt:i4>
      </vt:variant>
    </vt:vector>
  </HeadingPairs>
  <TitlesOfParts>
    <vt:vector size="50" baseType="lpstr">
      <vt:lpstr>Cover Page</vt:lpstr>
      <vt:lpstr>Inputs</vt:lpstr>
      <vt:lpstr>Spread Cover</vt:lpstr>
      <vt:lpstr>Income Statement</vt:lpstr>
      <vt:lpstr>Balance Sheet</vt:lpstr>
      <vt:lpstr>Cash Flow</vt:lpstr>
      <vt:lpstr>Proj</vt:lpstr>
      <vt:lpstr>Dividend Discount Model</vt:lpstr>
      <vt:lpstr>a</vt:lpstr>
      <vt:lpstr>abs</vt:lpstr>
      <vt:lpstr>acase</vt:lpstr>
      <vt:lpstr>acfs</vt:lpstr>
      <vt:lpstr>acname</vt:lpstr>
      <vt:lpstr>acq</vt:lpstr>
      <vt:lpstr>acqnetdebt</vt:lpstr>
      <vt:lpstr>acqnetdebtfn</vt:lpstr>
      <vt:lpstr>adshares</vt:lpstr>
      <vt:lpstr>aexercise</vt:lpstr>
      <vt:lpstr>afy</vt:lpstr>
      <vt:lpstr>afye</vt:lpstr>
      <vt:lpstr>afyshares</vt:lpstr>
      <vt:lpstr>'Dividend Discount Model'!ais</vt:lpstr>
      <vt:lpstr>ais</vt:lpstr>
      <vt:lpstr>altg</vt:lpstr>
      <vt:lpstr>altmdate</vt:lpstr>
      <vt:lpstr>aoptions</vt:lpstr>
      <vt:lpstr>aprice</vt:lpstr>
      <vt:lpstr>aquarter</vt:lpstr>
      <vt:lpstr>arsu</vt:lpstr>
      <vt:lpstr>ashares</vt:lpstr>
      <vt:lpstr>aspread</vt:lpstr>
      <vt:lpstr>atax</vt:lpstr>
      <vt:lpstr>aticker</vt:lpstr>
      <vt:lpstr>edate</vt:lpstr>
      <vt:lpstr>FY</vt:lpstr>
      <vt:lpstr>FYx</vt:lpstr>
      <vt:lpstr>FYz</vt:lpstr>
      <vt:lpstr>inputs</vt:lpstr>
      <vt:lpstr>'Balance Sheet'!Print_Area</vt:lpstr>
      <vt:lpstr>'Cash Flow'!Print_Area</vt:lpstr>
      <vt:lpstr>'Cover Page'!Print_Area</vt:lpstr>
      <vt:lpstr>'Dividend Discount Model'!Print_Area</vt:lpstr>
      <vt:lpstr>'Income Statement'!Print_Area</vt:lpstr>
      <vt:lpstr>Inputs!Print_Area</vt:lpstr>
      <vt:lpstr>Proj!Print_Area</vt:lpstr>
      <vt:lpstr>'Spread Cover'!Print_Area</vt:lpstr>
      <vt:lpstr>Proj!Print_Titles</vt:lpstr>
      <vt:lpstr>proj</vt:lpstr>
      <vt:lpstr>tdate</vt:lpstr>
      <vt:lpstr>tquarter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Finance Institute® (CFI)</dc:creator>
  <cp:lastModifiedBy>Victor Ho</cp:lastModifiedBy>
  <cp:lastPrinted>2019-07-30T00:20:24Z</cp:lastPrinted>
  <dcterms:created xsi:type="dcterms:W3CDTF">1998-04-16T15:37:21Z</dcterms:created>
  <dcterms:modified xsi:type="dcterms:W3CDTF">2019-07-30T22:27:37Z</dcterms:modified>
</cp:coreProperties>
</file>