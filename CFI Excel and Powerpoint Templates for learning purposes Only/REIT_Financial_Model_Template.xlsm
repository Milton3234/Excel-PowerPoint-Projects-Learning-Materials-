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G:\Shared drives\Team\Victor\Templates\Marketplace Publishers\"/>
    </mc:Choice>
  </mc:AlternateContent>
  <xr:revisionPtr revIDLastSave="0" documentId="13_ncr:1_{3D4EC710-B2C6-474A-B2B5-7FF8E83DB804}" xr6:coauthVersionLast="45" xr6:coauthVersionMax="45" xr10:uidLastSave="{00000000-0000-0000-0000-000000000000}"/>
  <bookViews>
    <workbookView xWindow="-96" yWindow="-96" windowWidth="23232" windowHeight="12552" tabRatio="887" xr2:uid="{00000000-000D-0000-FFFF-FFFF00000000}"/>
  </bookViews>
  <sheets>
    <sheet name="Cover Page" sheetId="74" r:id="rId1"/>
    <sheet name="Inputs" sheetId="1" r:id="rId2"/>
    <sheet name="Spread Cover" sheetId="3" r:id="rId3"/>
    <sheet name="Income Statement" sheetId="86" r:id="rId4"/>
    <sheet name="Balance Sheet" sheetId="6" r:id="rId5"/>
    <sheet name="Cash Flow" sheetId="8" r:id="rId6"/>
    <sheet name="Proj" sheetId="36" r:id="rId7"/>
    <sheet name="DCF" sheetId="87" r:id="rId8"/>
  </sheets>
  <externalReferences>
    <externalReference r:id="rId9"/>
    <externalReference r:id="rId10"/>
    <externalReference r:id="rId11"/>
    <externalReference r:id="rId12"/>
    <externalReference r:id="rId13"/>
  </externalReferences>
  <definedNames>
    <definedName name="_1__123Graph_ACHART_9" localSheetId="7" hidden="1">'[1]op inc as pct t'!$K$11:$K$15</definedName>
    <definedName name="_1__123Graph_ACHART_9" hidden="1">'[2]op inc as pct t'!$K$11:$K$15</definedName>
    <definedName name="_2__123Graph_BCHART_9" localSheetId="7" hidden="1">'[1]op inc as pct t'!$K$11:$K$17</definedName>
    <definedName name="_2__123Graph_BCHART_9" hidden="1">'[2]op inc as pct t'!$K$11:$K$17</definedName>
    <definedName name="_3__123Graph_LBL_ACHART_9" localSheetId="7" hidden="1">'[1]op inc as pct t'!$K$11:$K$15</definedName>
    <definedName name="_3__123Graph_LBL_ACHART_9" hidden="1">'[2]op inc as pct t'!$K$11:$K$15</definedName>
    <definedName name="_4__123Graph_LBL_BCHART_9" localSheetId="7" hidden="1">'[1]op inc as pct t'!$K$11:$K$17</definedName>
    <definedName name="_4__123Graph_LBL_BCHART_9" hidden="1">'[2]op inc as pct t'!$K$11:$K$17</definedName>
    <definedName name="_Order1" hidden="1">255</definedName>
    <definedName name="_Order2" hidden="1">0</definedName>
    <definedName name="a">Proj!$B$2</definedName>
    <definedName name="abs">'Balance Sheet'!$B$2</definedName>
    <definedName name="acap">#REF!</definedName>
    <definedName name="acase" localSheetId="7">[3]Proj!$C$237</definedName>
    <definedName name="acase" localSheetId="3">[4]Proj!$C$217</definedName>
    <definedName name="acase">Proj!$C$219</definedName>
    <definedName name="ACCOUNT_CHANGE" hidden="1">"ACCOUNT_CHANGE"</definedName>
    <definedName name="ACCOUNTS_PAY" hidden="1">"ACCOUNTS_PAY"</definedName>
    <definedName name="ACCRUED_EXP" hidden="1">"ACCRUED_EXP"</definedName>
    <definedName name="acfs">'Cash Flow'!$B$2</definedName>
    <definedName name="acname" localSheetId="7">[3]Proj!$D$237</definedName>
    <definedName name="acname" localSheetId="3">[4]Proj!$D$217</definedName>
    <definedName name="acname">Proj!$D$219</definedName>
    <definedName name="acq" localSheetId="7">[3]Inputs!$C$9</definedName>
    <definedName name="acq" localSheetId="3">[4]Inputs!$C$9</definedName>
    <definedName name="acq">Inputs!$C$9</definedName>
    <definedName name="acqnetdebt" localSheetId="7">'[3]Spread Cover'!$E$42</definedName>
    <definedName name="acqnetdebt" localSheetId="3">'[4]Spread Cover'!$E$42</definedName>
    <definedName name="acqnetdebt">'Spread Cover'!$E$43</definedName>
    <definedName name="acqnetdebtfn">'Spread Cover'!$B$45</definedName>
    <definedName name="adcf" localSheetId="7">DCF!$B$2</definedName>
    <definedName name="adcf">#REF!</definedName>
    <definedName name="ADD_PAID_IN" hidden="1">"ADD_PAID_IN"</definedName>
    <definedName name="adiscconvention" localSheetId="7">DCF!$E$53</definedName>
    <definedName name="adiscconvention">#REF!</definedName>
    <definedName name="adshares">Inputs!$G$17</definedName>
    <definedName name="aexercise" localSheetId="7">[3]Inputs!$G$15</definedName>
    <definedName name="aexercise" localSheetId="3">[4]Inputs!$G$15</definedName>
    <definedName name="aexercise">Inputs!$G$15</definedName>
    <definedName name="aexit">#REF!</definedName>
    <definedName name="afcf">#REF!</definedName>
    <definedName name="afy" localSheetId="7">[3]Inputs!$C$13</definedName>
    <definedName name="afy" localSheetId="3">[4]Inputs!$C$13</definedName>
    <definedName name="afy">Inputs!$C$13</definedName>
    <definedName name="afye" localSheetId="7">[3]Inputs!$C$14</definedName>
    <definedName name="afye" localSheetId="3">[4]Inputs!$C$14</definedName>
    <definedName name="afye">Inputs!$C$14</definedName>
    <definedName name="afyshares" localSheetId="7">[3]Inputs!$H$13</definedName>
    <definedName name="afyshares" localSheetId="3">[4]Inputs!$H$13</definedName>
    <definedName name="afyshares">Inputs!$H$13</definedName>
    <definedName name="ais" localSheetId="3">'Income Statement'!$B$2</definedName>
    <definedName name="ais">#REF!</definedName>
    <definedName name="alabel1">#REF!</definedName>
    <definedName name="alabel2">#REF!</definedName>
    <definedName name="alabel3">#REF!</definedName>
    <definedName name="alabelswitch">#REF!</definedName>
    <definedName name="albo">#REF!</definedName>
    <definedName name="alboprice">#REF!</definedName>
    <definedName name="altg" localSheetId="7">[3]Inputs!$C$21</definedName>
    <definedName name="altg" localSheetId="3">[4]Inputs!$C$21</definedName>
    <definedName name="altg">Inputs!$C$21</definedName>
    <definedName name="altmdate" localSheetId="7">[3]Inputs!$C$16</definedName>
    <definedName name="altmdate" localSheetId="3">[4]Inputs!$C$16</definedName>
    <definedName name="altmdate">Inputs!$C$16</definedName>
    <definedName name="AMORTIZATION" hidden="1">"AMORTIZATION"</definedName>
    <definedName name="aoptions" localSheetId="7">[3]Inputs!$G$14</definedName>
    <definedName name="aoptions" localSheetId="3">[4]Inputs!$G$14</definedName>
    <definedName name="aoptions">Inputs!$G$14</definedName>
    <definedName name="aprice" localSheetId="7">[3]Inputs!$G$9</definedName>
    <definedName name="aprice" localSheetId="3">[4]Inputs!$G$9</definedName>
    <definedName name="aprice">Inputs!$G$9</definedName>
    <definedName name="aquarter" localSheetId="7">[3]Inputs!$D$45</definedName>
    <definedName name="aquarter" localSheetId="3">[4]Inputs!$D$44</definedName>
    <definedName name="aquarter">Inputs!$D$45</definedName>
    <definedName name="arsu">Inputs!$G$19</definedName>
    <definedName name="ashares" localSheetId="7">[3]Inputs!$G$13</definedName>
    <definedName name="ashares" localSheetId="3">[4]Inputs!$G$13</definedName>
    <definedName name="ashares">Inputs!$G$13</definedName>
    <definedName name="aspread">'Spread Cover'!$B$2</definedName>
    <definedName name="ASSET_TURNS" hidden="1">"ASSET_TURNS"</definedName>
    <definedName name="asum">#REF!</definedName>
    <definedName name="atable1">#REF!</definedName>
    <definedName name="atable2">#REF!</definedName>
    <definedName name="atax" localSheetId="7">[3]Inputs!$C$20</definedName>
    <definedName name="atax" localSheetId="3">[4]Inputs!$C$20</definedName>
    <definedName name="atax">Inputs!$C$20</definedName>
    <definedName name="aticker">Inputs!$C$10</definedName>
    <definedName name="awc">#REF!</definedName>
    <definedName name="BASIC_EPS_EXCL" hidden="1">"BASIC_EPS_EXCL"</definedName>
    <definedName name="BASIC_EPS_INCL" hidden="1">"BASIC_EPS_INCL"</definedName>
    <definedName name="BASIC_NORMAL_EPS" hidden="1">"BASIC_NORMAL_EPS"</definedName>
    <definedName name="BASIC_WEIGHT" hidden="1">"BASIC_WEIGHT"</definedName>
    <definedName name="BLPH1" hidden="1">#REF!</definedName>
    <definedName name="BLPH10" hidden="1">#REF!</definedName>
    <definedName name="BLPH11" hidden="1">#REF!</definedName>
    <definedName name="BLPH12" hidden="1">#REF!</definedName>
    <definedName name="BLPH13" hidden="1">#REF!</definedName>
    <definedName name="BLPH14" hidden="1">#REF!</definedName>
    <definedName name="BLPH15" hidden="1">#REF!</definedName>
    <definedName name="BLPH16" hidden="1">#REF!</definedName>
    <definedName name="BLPH17" hidden="1">#REF!</definedName>
    <definedName name="BLPH18" hidden="1">#REF!</definedName>
    <definedName name="BLPH19" hidden="1">#REF!</definedName>
    <definedName name="BLPH2" hidden="1">#REF!</definedName>
    <definedName name="BLPH20" hidden="1">#REF!</definedName>
    <definedName name="BLPH21" hidden="1">#REF!</definedName>
    <definedName name="BLPH22" hidden="1">#REF!</definedName>
    <definedName name="BLPH23" hidden="1">#REF!</definedName>
    <definedName name="BLPH24" hidden="1">#REF!</definedName>
    <definedName name="BLPH25" hidden="1">#REF!</definedName>
    <definedName name="BLPH26" hidden="1">#REF!</definedName>
    <definedName name="BLPH27" hidden="1">#REF!</definedName>
    <definedName name="BLPH28" hidden="1">#REF!</definedName>
    <definedName name="BLPH29" hidden="1">#REF!</definedName>
    <definedName name="BLPH3" hidden="1">#REF!</definedName>
    <definedName name="BLPH30" hidden="1">#REF!</definedName>
    <definedName name="BLPH31" hidden="1">#REF!</definedName>
    <definedName name="BLPH32" hidden="1">#REF!</definedName>
    <definedName name="BLPH33" hidden="1">#REF!</definedName>
    <definedName name="BLPH34" hidden="1">#REF!</definedName>
    <definedName name="BLPH35" hidden="1">#REF!</definedName>
    <definedName name="BLPH36" hidden="1">#REF!</definedName>
    <definedName name="BLPH37" hidden="1">#REF!</definedName>
    <definedName name="BLPH38" hidden="1">#REF!</definedName>
    <definedName name="BLPH39" hidden="1">#REF!</definedName>
    <definedName name="BLPH4" hidden="1">#REF!</definedName>
    <definedName name="BLPH40" hidden="1">#REF!</definedName>
    <definedName name="BLPH41" hidden="1">#REF!</definedName>
    <definedName name="BLPH42" hidden="1">#REF!</definedName>
    <definedName name="BLPH43" hidden="1">#REF!</definedName>
    <definedName name="BLPH44" hidden="1">#REF!</definedName>
    <definedName name="BLPH45" hidden="1">#REF!</definedName>
    <definedName name="BLPH46" hidden="1">#REF!</definedName>
    <definedName name="BLPH47" hidden="1">#REF!</definedName>
    <definedName name="BLPH48" hidden="1">#REF!</definedName>
    <definedName name="BLPH49" hidden="1">#REF!</definedName>
    <definedName name="BLPH5" hidden="1">#REF!</definedName>
    <definedName name="BLPH50" hidden="1">#REF!</definedName>
    <definedName name="BLPH51" hidden="1">#REF!</definedName>
    <definedName name="BLPH52" hidden="1">#REF!</definedName>
    <definedName name="BLPH53" hidden="1">#REF!</definedName>
    <definedName name="BLPH54" hidden="1">#REF!</definedName>
    <definedName name="BLPH55" hidden="1">#REF!</definedName>
    <definedName name="BLPH56" hidden="1">#REF!</definedName>
    <definedName name="BLPH57" hidden="1">#REF!</definedName>
    <definedName name="BLPH58" hidden="1">#REF!</definedName>
    <definedName name="BLPH59" hidden="1">#REF!</definedName>
    <definedName name="BLPH6" hidden="1">#REF!</definedName>
    <definedName name="BLPH60" hidden="1">#REF!</definedName>
    <definedName name="BLPH61" hidden="1">#REF!</definedName>
    <definedName name="BLPH62" hidden="1">#REF!</definedName>
    <definedName name="BLPH63" hidden="1">#REF!</definedName>
    <definedName name="BLPH64" hidden="1">#REF!</definedName>
    <definedName name="BLPH65" hidden="1">#REF!</definedName>
    <definedName name="BLPH66" hidden="1">#REF!</definedName>
    <definedName name="BLPH67" hidden="1">#REF!</definedName>
    <definedName name="BLPH68" hidden="1">#REF!</definedName>
    <definedName name="BLPH69" hidden="1">#REF!</definedName>
    <definedName name="BLPH7" hidden="1">#REF!</definedName>
    <definedName name="BLPH8" hidden="1">#REF!</definedName>
    <definedName name="BLPH9" hidden="1">#REF!</definedName>
    <definedName name="BOOK_VALUE" hidden="1">"BOOK_VALUE"</definedName>
    <definedName name="BV_OVER_SHARES" hidden="1">"BV_OVER_SHARES"</definedName>
    <definedName name="CAPITAL_EXPEN" hidden="1">"CAPITAL_EXPEN"</definedName>
    <definedName name="CAPITAL_LEASE" hidden="1">"CAPITAL_LEASE"</definedName>
    <definedName name="CASH" hidden="1">"CASH"</definedName>
    <definedName name="CASH_DUE_BANKS" hidden="1">"CASH_DUE_BANKS"</definedName>
    <definedName name="CASH_EQUIV" hidden="1">"CASH_EQUIV"</definedName>
    <definedName name="CASH_INTEREST" hidden="1">"CASH_INTEREST"</definedName>
    <definedName name="CASH_ST" hidden="1">"CASH_ST"</definedName>
    <definedName name="CASH_TAXES" hidden="1">"CASH_TAXES"</definedName>
    <definedName name="CHANGES_WORK_CAP" hidden="1">"CHANGES_WORK_CAP"</definedName>
    <definedName name="CIQWBGuid" localSheetId="0" hidden="1">"2cd8126d-26c3-430c-b7fa-a069e3a1fc62"</definedName>
    <definedName name="CIQWBGuid" hidden="1">"60540d9e-d8df-420d-a46f-fe125bb8aa33"</definedName>
    <definedName name="CITY" hidden="1">"CITY"</definedName>
    <definedName name="COMMON_STOCK" hidden="1">"COMMON_STOCK"</definedName>
    <definedName name="comp">#REF!</definedName>
    <definedName name="COMPANY_ADDRESS" hidden="1">"COMPANY_ADDRESS"</definedName>
    <definedName name="COMPANY_NAME" hidden="1">"COMPANY_NAME"</definedName>
    <definedName name="COMPANY_PHONE" hidden="1">"COMPANY_PHONE"</definedName>
    <definedName name="COMPANY_STREET1" hidden="1">"COMPANY_STREET1"</definedName>
    <definedName name="COMPANY_STREET2" hidden="1">"COMPANY_STREET2"</definedName>
    <definedName name="COMPANY_TICKER" hidden="1">"COMPANY_TICKER"</definedName>
    <definedName name="COMPANY_WEBSITE" hidden="1">"COMPANY_WEBSITE"</definedName>
    <definedName name="COMPANY_ZIP" hidden="1">"COMPANY_ZIP"</definedName>
    <definedName name="COST_REVENUE" hidden="1">"COST_REVENUE"</definedName>
    <definedName name="COUNTRY_NAME" hidden="1">"COUNTRY_NAME"</definedName>
    <definedName name="CURRENT_PORT" hidden="1">"CURRENT_PORT"</definedName>
    <definedName name="CURRENT_RATIO" hidden="1">"CURRENT_RATIO"</definedName>
    <definedName name="DAYS_PAY_OUTST" hidden="1">"DAYS_PAY_OUTST"</definedName>
    <definedName name="DAYS_SALES_OUTST" hidden="1">"DAYS_SALES_OUTST"</definedName>
    <definedName name="DEFERRED_INC_TAX" hidden="1">"DEFERRED_INC_TAX"</definedName>
    <definedName name="DEFERRED_TAXES" hidden="1">"DEFERRED_TAXES"</definedName>
    <definedName name="DEPRE_AMORT" hidden="1">"DEPRE_AMORT"</definedName>
    <definedName name="DEPRE_AMORT_SUPPL" hidden="1">"DEPRE_AMORT_SUPPL"</definedName>
    <definedName name="DEPRE_DEPLE" hidden="1">"DEPRE_DEPLE"</definedName>
    <definedName name="DEPRE_SUPP" hidden="1">"DEPRE_SUPP"</definedName>
    <definedName name="DESCRIPTION_LONG" hidden="1">"DESCRIPTION_LONG"</definedName>
    <definedName name="DILUT_ADJUST" hidden="1">"DILUT_ADJUST"</definedName>
    <definedName name="DILUT_EPS_EXCL" hidden="1">"DILUT_EPS_EXCL"</definedName>
    <definedName name="DILUT_EPS_INCL" hidden="1">"DILUT_EPS_INCL"</definedName>
    <definedName name="DILUT_NORMAL_EPS" hidden="1">"DILUT_NORMAL_EPS"</definedName>
    <definedName name="DILUT_WEIGHT" hidden="1">"DILUT_WEIGHT"</definedName>
    <definedName name="DISCONT_OPER" hidden="1">"DISCONT_OPER"</definedName>
    <definedName name="DIVID_SHARE" hidden="1">"DIVID_SHARE"</definedName>
    <definedName name="EBIT" hidden="1">"EBIT"</definedName>
    <definedName name="EBIT_10K" hidden="1">"EBIT_10K"</definedName>
    <definedName name="EBIT_10Q" hidden="1">"EBIT_10Q"</definedName>
    <definedName name="EBIT_10Q1" hidden="1">"EBIT_10Q1"</definedName>
    <definedName name="EBIT_GROWTH_1" hidden="1">"EBIT_GROWTH_1"</definedName>
    <definedName name="EBIT_GROWTH_2" hidden="1">"EBIT_GROWTH_2"</definedName>
    <definedName name="EBIT_MARGIN" hidden="1">"EBIT_MARGIN"</definedName>
    <definedName name="EBIT_OVER_IE" hidden="1">"EBIT_OVER_IE"</definedName>
    <definedName name="EBITDA" hidden="1">"EBITDA"</definedName>
    <definedName name="EBITDA_10K" hidden="1">"EBITDA_10K"</definedName>
    <definedName name="EBITDA_10Q" hidden="1">"EBITDA_10Q"</definedName>
    <definedName name="EBITDA_10Q1" hidden="1">"EBITDA_10Q1"</definedName>
    <definedName name="EBITDA_CAPEX_OVER_TOTAL_IE" hidden="1">"EBITDA_CAPEX_OVER_TOTAL_IE"</definedName>
    <definedName name="EBITDA_GROWTH_1" hidden="1">"EBITDA_GROWTH_1"</definedName>
    <definedName name="EBITDA_GROWTH_2" hidden="1">"EBITDA_GROWTH_2"</definedName>
    <definedName name="EBITDA_MARGIN" hidden="1">"EBITDA_MARGIN"</definedName>
    <definedName name="EBITDA_OVER_TOTAL_IE" hidden="1">"EBITDA_OVER_TOTAL_IE"</definedName>
    <definedName name="edate">Inputs!$E$6</definedName>
    <definedName name="EFFECT_SPECIAL_CHARGE" hidden="1">"EFFECT_SPECIAL_CHARGE"</definedName>
    <definedName name="EMPLOYEES" hidden="1">"EMPLOYEES"</definedName>
    <definedName name="EPS" hidden="1">"EPS"</definedName>
    <definedName name="EPS_10K" hidden="1">"EPS_10K"</definedName>
    <definedName name="EPS_10Q" hidden="1">"EPS_10Q"</definedName>
    <definedName name="EPS_10Q1" hidden="1">"EPS_10Q1"</definedName>
    <definedName name="EPS_EST" hidden="1">"EPS_EST"</definedName>
    <definedName name="EPS_EST_1" hidden="1">"EPS_EST_1"</definedName>
    <definedName name="EQUITY_AFFIL" hidden="1">"EQUITY_AFFIL"</definedName>
    <definedName name="EQUITY_MARKET_VAL" hidden="1">"EQUITY_MARKET_VAL"</definedName>
    <definedName name="EQV_OVER_BV" hidden="1">"EQV_OVER_BV"</definedName>
    <definedName name="EQV_OVER_LTM_PRETAX_INC" hidden="1">"EQV_OVER_LTM_PRETAX_INC"</definedName>
    <definedName name="ESOP_DEBT" hidden="1">"ESOP_DEBT"</definedName>
    <definedName name="EV_OVER_EMPLOYEE" hidden="1">"EV_OVER_EMPLOYEE"</definedName>
    <definedName name="EV_OVER_LTM_EBIT" hidden="1">"EV_OVER_LTM_EBIT"</definedName>
    <definedName name="EV_OVER_LTM_EBITDA" hidden="1">"EV_OVER_LTM_EBITDA"</definedName>
    <definedName name="EV_OVER_LTM_REVENUE" hidden="1">"EV_OVER_LTM_REVENUE"</definedName>
    <definedName name="EV_OVER_REVENUE_EST" hidden="1">"EV_OVER_REVENUE_EST"</definedName>
    <definedName name="EV_OVER_REVENUE_EST_1" hidden="1">"EV_OVER_REVENUE_EST_1"</definedName>
    <definedName name="EXCHANGE" hidden="1">"EXCHANGE"</definedName>
    <definedName name="EXTRA_ITEMS" hidden="1">"EXTRA_ITEMS"</definedName>
    <definedName name="FINANCING_CASH" hidden="1">"FINANCING_CASH"</definedName>
    <definedName name="FOREIGN_EXCHANGE" hidden="1">"FOREIGN_EXCHANGE"</definedName>
    <definedName name="FY">Inputs!$D$48</definedName>
    <definedName name="FY_DATE" hidden="1">"FY_DATE"</definedName>
    <definedName name="FYx">Inputs!$D$47</definedName>
    <definedName name="FYz">Inputs!$D$49</definedName>
    <definedName name="GAIN_SALE_ASSETS" hidden="1">"GAIN_SALE_ASSETS"</definedName>
    <definedName name="GOODWILL_NET" hidden="1">"GOODWILL_NET"</definedName>
    <definedName name="GROSS_DIVID" hidden="1">"GROSS_DIVID"</definedName>
    <definedName name="GROSS_MARGIN" hidden="1">"GROSS_MARGIN"</definedName>
    <definedName name="GROSS_PROFIT" hidden="1">"GROSS_PROFIT"</definedName>
    <definedName name="HIGHPRICE" hidden="1">"HIGHPRICE"</definedName>
    <definedName name="INC_AFTER_TAX" hidden="1">"INC_AFTER_TAX"</definedName>
    <definedName name="INC_AVAIL_EXCL" hidden="1">"INC_AVAIL_EXCL"</definedName>
    <definedName name="INC_AVAIL_INCL" hidden="1">"INC_AVAIL_INCL"</definedName>
    <definedName name="INC_BEFORE_TAX" hidden="1">"INC_BEFORE_TAX"</definedName>
    <definedName name="INC_TAX" hidden="1">"INC_TAX"</definedName>
    <definedName name="INC_TAX_EXCL" hidden="1">"INC_TAX_EXCL"</definedName>
    <definedName name="inputs">Inputs!$B$3</definedName>
    <definedName name="INTANGIBLES_NET" hidden="1">"INTANGIBLES_NET"</definedName>
    <definedName name="INTEREST_EXP_NET" hidden="1">"INTEREST_EXP_NET"</definedName>
    <definedName name="INTEREST_EXP_NON" hidden="1">"INTEREST_EXP_NON"</definedName>
    <definedName name="INTEREST_EXP_SUPPL" hidden="1">"INTEREST_EXP_SUPPL"</definedName>
    <definedName name="INTEREST_INC" hidden="1">"INTEREST_INC"</definedName>
    <definedName name="INTEREST_INC_10K" hidden="1">"INTEREST_INC_10K"</definedName>
    <definedName name="INTEREST_INC_10Q" hidden="1">"INTEREST_INC_10Q"</definedName>
    <definedName name="INTEREST_INC_10Q1" hidden="1">"INTEREST_INC_10Q1"</definedName>
    <definedName name="INTEREST_INC_NON" hidden="1">"INTEREST_INC_NON"</definedName>
    <definedName name="INVENTORY_TURNS" hidden="1">"INVENTORY_TURNS"</definedName>
    <definedName name="IQ_ADDIN" hidden="1">"AUTO"</definedName>
    <definedName name="IQ_AVG_PRICE_TARGET" hidden="1">"c82"</definedName>
    <definedName name="IQ_BONDRATING_FITCH" hidden="1">"IQ_BONDRATING_FITCH"</definedName>
    <definedName name="IQ_BONDRATING_SP" hidden="1">"IQ_BONDRATING_SP"</definedName>
    <definedName name="IQ_BOOK_VALUE" hidden="1">"IQ_BOOK_VALUE"</definedName>
    <definedName name="IQ_CH">110000</definedName>
    <definedName name="IQ_CONV_RATE" hidden="1">"c2192"</definedName>
    <definedName name="IQ_CQ">5000</definedName>
    <definedName name="IQ_CY">10000</definedName>
    <definedName name="IQ_DAILY">500000</definedName>
    <definedName name="IQ_DNTM" hidden="1">700000</definedName>
    <definedName name="IQ_EBIT_10K" hidden="1">"IQ_EBIT_10K"</definedName>
    <definedName name="IQ_EBIT_10Q" hidden="1">"IQ_EBIT_10Q"</definedName>
    <definedName name="IQ_EBIT_10Q1" hidden="1">"IQ_EBIT_10Q1"</definedName>
    <definedName name="IQ_EBIT_GROWTH_1" hidden="1">"IQ_EBIT_GROWTH_1"</definedName>
    <definedName name="IQ_EBIT_GROWTH_2" hidden="1">"IQ_EBIT_GROWTH_2"</definedName>
    <definedName name="IQ_EBITDA_10K" hidden="1">"IQ_EBITDA_10K"</definedName>
    <definedName name="IQ_EBITDA_10Q" hidden="1">"IQ_EBITDA_10Q"</definedName>
    <definedName name="IQ_EBITDA_10Q1" hidden="1">"IQ_EBITDA_10Q1"</definedName>
    <definedName name="IQ_EBITDA_GROWTH_1" hidden="1">"IQ_EBITDA_GROWTH_1"</definedName>
    <definedName name="IQ_EBITDA_GROWTH_2" hidden="1">"IQ_EBITDA_GROWTH_2"</definedName>
    <definedName name="IQ_EPS" hidden="1">"IQ_EPS"</definedName>
    <definedName name="IQ_EPS_10K" hidden="1">"IQ_EPS_10K"</definedName>
    <definedName name="IQ_EPS_10Q" hidden="1">"IQ_EPS_10Q"</definedName>
    <definedName name="IQ_EPS_10Q1" hidden="1">"IQ_EPS_10Q1"</definedName>
    <definedName name="IQ_EPS_EST_1" hidden="1">"IQ_EPS_EST_1"</definedName>
    <definedName name="IQ_EST_ACT_FFO_REUT" hidden="1">"c3843"</definedName>
    <definedName name="IQ_EST_FFO_DIFF_REUT" hidden="1">"c3890"</definedName>
    <definedName name="IQ_EST_FFO_SURPRISE_PERCENT_REUT" hidden="1">"c3891"</definedName>
    <definedName name="IQ_EV_OVER_REVENUE_EST" hidden="1">"IQ_EV_OVER_REVENUE_EST"</definedName>
    <definedName name="IQ_EV_OVER_REVENUE_EST_1" hidden="1">"IQ_EV_OVER_REVENUE_EST_1"</definedName>
    <definedName name="IQ_EXPENSE_CODE_" hidden="1">1056</definedName>
    <definedName name="IQ_FFO_EST_REUT" hidden="1">"c3837"</definedName>
    <definedName name="IQ_FFO_HIGH_EST_REUT" hidden="1">"c3839"</definedName>
    <definedName name="IQ_FFO_LOW_EST_REUT" hidden="1">"c3840"</definedName>
    <definedName name="IQ_FFO_MEDIAN_EST_REUT" hidden="1">"c3838"</definedName>
    <definedName name="IQ_FFO_NUM_EST_REUT" hidden="1">"c3841"</definedName>
    <definedName name="IQ_FFO_STDDEV_EST_REUT" hidden="1">"c3842"</definedName>
    <definedName name="IQ_FH">100000</definedName>
    <definedName name="IQ_FQ">500</definedName>
    <definedName name="IQ_FWD" hidden="1">"LTM"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WD_Q3" hidden="1">"504"</definedName>
    <definedName name="IQ_FWD_Q4" hidden="1">"505"</definedName>
    <definedName name="IQ_FWD_Q5" hidden="1">"506"</definedName>
    <definedName name="IQ_FWD_Q6" hidden="1">"507"</definedName>
    <definedName name="IQ_FWD_Q7" hidden="1">"508"</definedName>
    <definedName name="IQ_FWD1" hidden="1">"LTM"</definedName>
    <definedName name="IQ_FY">1000</definedName>
    <definedName name="IQ_FY_DATE" hidden="1">"IQ_FY_DATE"</definedName>
    <definedName name="IQ_INTEREST_INC_10K" hidden="1">"IQ_INTEREST_INC_10K"</definedName>
    <definedName name="IQ_INTEREST_INC_10Q" hidden="1">"IQ_INTEREST_INC_10Q"</definedName>
    <definedName name="IQ_INTEREST_INC_10Q1" hidden="1">"IQ_INTEREST_INC_10Q1"</definedName>
    <definedName name="IQ_LAST_EBIT_MARGIN" hidden="1">"IQ_LAST_EBIT_MARGIN"</definedName>
    <definedName name="IQ_LAST_EBITDA_MARGIN" hidden="1">"IQ_LAST_EBITDA_MARGIN"</definedName>
    <definedName name="IQ_LAST_GROSS_MARGIN" hidden="1">"IQ_LAST_GROSS_MARGIN"</definedName>
    <definedName name="IQ_LAST_NET_INC_MARGIN" hidden="1">"IQ_LAST_NET_INC_MARGIN"</definedName>
    <definedName name="IQ_LATEST" hidden="1">"1"</definedName>
    <definedName name="IQ_LATESTK" hidden="1">1000</definedName>
    <definedName name="IQ_LATESTKFR" hidden="1">"100"</definedName>
    <definedName name="IQ_LATESTQ" hidden="1">500</definedName>
    <definedName name="IQ_LATESTQFR" hidden="1">"50"</definedName>
    <definedName name="IQ_LTM">2000</definedName>
    <definedName name="IQ_LTM_DATE" hidden="1">"IQ_LTM_DATE"</definedName>
    <definedName name="IQ_LTMMONTH" hidden="1">120000</definedName>
    <definedName name="IQ_MONTH">15000</definedName>
    <definedName name="IQ_MTD" hidden="1">800000</definedName>
    <definedName name="IQ_NAMES_REVISION_DATE_" localSheetId="0" hidden="1">43109.7057291667</definedName>
    <definedName name="IQ_NAMES_REVISION_DATE_" localSheetId="7" hidden="1">41449.6173842593</definedName>
    <definedName name="IQ_NAMES_REVISION_DATE_" hidden="1">43109.7057291667</definedName>
    <definedName name="IQ_NAV_ACT_OR_EST" hidden="1">"c2225"</definedName>
    <definedName name="IQ_NET_INC_10K" hidden="1">"IQ_NET_INC_10K"</definedName>
    <definedName name="IQ_NET_INC_10Q" hidden="1">"IQ_NET_INC_10Q"</definedName>
    <definedName name="IQ_NET_INC_10Q1" hidden="1">"IQ_NET_INC_10Q1"</definedName>
    <definedName name="IQ_NET_INC_GROWTH_1" hidden="1">"IQ_NET_INC_GROWTH_1"</definedName>
    <definedName name="IQ_NET_INC_GROWTH_2" hidden="1">"IQ_NET_INC_GROWTH_2"</definedName>
    <definedName name="IQ_NTM">6000</definedName>
    <definedName name="IQ_OG_TOTAL_OIL_PRODUCTON" hidden="1">"c2059"</definedName>
    <definedName name="IQ_PERCENT_CHANGE_EST_FFO_12MONTHS" hidden="1">"c1828"</definedName>
    <definedName name="IQ_PERCENT_CHANGE_EST_FFO_12MONTHS_REUT" hidden="1">"c3938"</definedName>
    <definedName name="IQ_PERCENT_CHANGE_EST_FFO_18MONTHS" hidden="1">"c1829"</definedName>
    <definedName name="IQ_PERCENT_CHANGE_EST_FFO_18MONTHS_REUT" hidden="1">"c3939"</definedName>
    <definedName name="IQ_PERCENT_CHANGE_EST_FFO_3MONTHS" hidden="1">"c1825"</definedName>
    <definedName name="IQ_PERCENT_CHANGE_EST_FFO_3MONTHS_REUT" hidden="1">"c3935"</definedName>
    <definedName name="IQ_PERCENT_CHANGE_EST_FFO_6MONTHS" hidden="1">"c1826"</definedName>
    <definedName name="IQ_PERCENT_CHANGE_EST_FFO_6MONTHS_REUT" hidden="1">"c3936"</definedName>
    <definedName name="IQ_PERCENT_CHANGE_EST_FFO_9MONTHS" hidden="1">"c1827"</definedName>
    <definedName name="IQ_PERCENT_CHANGE_EST_FFO_9MONTHS_REUT" hidden="1">"c3937"</definedName>
    <definedName name="IQ_PERCENT_CHANGE_EST_FFO_DAY" hidden="1">"c1822"</definedName>
    <definedName name="IQ_PERCENT_CHANGE_EST_FFO_DAY_REUT" hidden="1">"c3933"</definedName>
    <definedName name="IQ_PERCENT_CHANGE_EST_FFO_MONTH" hidden="1">"c1824"</definedName>
    <definedName name="IQ_PERCENT_CHANGE_EST_FFO_MONTH_REUT" hidden="1">"c3934"</definedName>
    <definedName name="IQ_PERCENT_CHANGE_EST_FFO_WEEK" hidden="1">"c1823"</definedName>
    <definedName name="IQ_PERCENT_CHANGE_EST_FFO_WEEK_REUT" hidden="1">"c3964"</definedName>
    <definedName name="IQ_PRETAX_INC" hidden="1">"IQ_PRETAX_INC"</definedName>
    <definedName name="IQ_PRETAX_INC_10K" hidden="1">"IQ_PRETAX_INC_10K"</definedName>
    <definedName name="IQ_PRETAX_INC_10Q" hidden="1">"IQ_PRETAX_INC_10Q"</definedName>
    <definedName name="IQ_PRETAX_INC_10Q1" hidden="1">"IQ_PRETAX_INC_10Q1"</definedName>
    <definedName name="IQ_PRICE_OVER_EPS_EST" hidden="1">"IQ_PRICE_OVER_EPS_EST"</definedName>
    <definedName name="IQ_PRICE_OVER_EPS_EST_1" hidden="1">"IQ_PRICE_OVER_EPS_EST_1"</definedName>
    <definedName name="IQ_PRICEDATETIME" hidden="1">"IQ_PRICEDATETIME"</definedName>
    <definedName name="IQ_QTD" hidden="1">750000</definedName>
    <definedName name="IQ_REVENUE_10K" hidden="1">"IQ_REVENUE_10K"</definedName>
    <definedName name="IQ_REVENUE_10Q" hidden="1">"IQ_REVENUE_10Q"</definedName>
    <definedName name="IQ_REVENUE_10Q1" hidden="1">"IQ_REVENUE_10Q1"</definedName>
    <definedName name="IQ_REVENUE_EST_1" hidden="1">"IQ_REVENUE_EST_1"</definedName>
    <definedName name="IQ_REVENUE_GROWTH_1" hidden="1">"IQ_REVENUE_GROWTH_1"</definedName>
    <definedName name="IQ_REVENUE_GROWTH_2" hidden="1">"IQ_REVENUE_GROWTH_2"</definedName>
    <definedName name="IQ_SHAREOUTSTANDING" hidden="1">"c1347"</definedName>
    <definedName name="IQ_TODAY" hidden="1">0</definedName>
    <definedName name="IQ_TOTAL_PENSION_OBLIGATION" hidden="1">"c1292"</definedName>
    <definedName name="IQ_WEEK">50000</definedName>
    <definedName name="IQ_YTD">3000</definedName>
    <definedName name="IQ_YTDMONTH" hidden="1">130000</definedName>
    <definedName name="ISS_DEBT_NET" hidden="1">"ISS_DEBT_NET"</definedName>
    <definedName name="ISS_STOCK_NET" hidden="1">"ISS_STOCK_NET"</definedName>
    <definedName name="LAST_EBIT_MARGIN" hidden="1">"LAST_EBIT_MARGIN"</definedName>
    <definedName name="LAST_EBITDA_MARGIN" hidden="1">"LAST_EBITDA_MARGIN"</definedName>
    <definedName name="LAST_GROSS_MARGIN" hidden="1">"LAST_GROSS_MARGIN"</definedName>
    <definedName name="LAST_NET_INC_MARGIN" hidden="1">"LAST_NET_INC_MARGIN"</definedName>
    <definedName name="LASTSALEPRICE" hidden="1">"LASTSALEPRICE"</definedName>
    <definedName name="LATESTK" hidden="1">1000</definedName>
    <definedName name="LATESTKNONPRESS" hidden="1">50</definedName>
    <definedName name="LATESTQ" hidden="1">500</definedName>
    <definedName name="LATESTQNONPRESS" hidden="1">100</definedName>
    <definedName name="LOAN_LOSS" hidden="1">"LOAN_LOSS"</definedName>
    <definedName name="LONG_TERM_DEBT" hidden="1">"LONG_TERM_DEBT"</definedName>
    <definedName name="LONG_TERM_GROWTH" hidden="1">"LONG_TERM_GROWTH"</definedName>
    <definedName name="LONG_TERM_INV" hidden="1">"LONG_TERM_INV"</definedName>
    <definedName name="LOWPRICE" hidden="1">"LOWPRICE"</definedName>
    <definedName name="LTM_DATE" hidden="1">"LTM_DATE"</definedName>
    <definedName name="LTM_REVENUE_OVER_EMPLOYEES" hidden="1">"LTM_REVENUE_OVER_EMPLOYEES"</definedName>
    <definedName name="m">#REF!</definedName>
    <definedName name="MARKETCAP" hidden="1">"MARKETCAP"</definedName>
    <definedName name="mcheck">#REF!</definedName>
    <definedName name="mergprice">#REF!</definedName>
    <definedName name="mfcf">#REF!</definedName>
    <definedName name="MINORITY_INTEREST" hidden="1">"MINORITY_INTEREST"</definedName>
    <definedName name="MISC_EARN_ADJ" hidden="1">"MISC_EARN_ADJ"</definedName>
    <definedName name="msum">#REF!</definedName>
    <definedName name="msweep">#REF!</definedName>
    <definedName name="mtable1">#REF!</definedName>
    <definedName name="mtable2">#REF!</definedName>
    <definedName name="NET_CHANGE" hidden="1">"NET_CHANGE"</definedName>
    <definedName name="NET_DEBT" hidden="1">"NET_DEBT"</definedName>
    <definedName name="NET_INC" hidden="1">"NET_INC"</definedName>
    <definedName name="NET_INC_10K" hidden="1">"NET_INC_10K"</definedName>
    <definedName name="NET_INC_10Q" hidden="1">"NET_INC_10Q"</definedName>
    <definedName name="NET_INC_10Q1" hidden="1">"NET_INC_10Q1"</definedName>
    <definedName name="NET_INC_BEFORE" hidden="1">"NET_INC_BEFORE"</definedName>
    <definedName name="NET_INC_GROWTH_1" hidden="1">"NET_INC_GROWTH_1"</definedName>
    <definedName name="NET_INC_GROWTH_2" hidden="1">"NET_INC_GROWTH_2"</definedName>
    <definedName name="NET_INC_MARGIN" hidden="1">"NET_INC_MARGIN"</definedName>
    <definedName name="NET_INTEREST_INC" hidden="1">"NET_INTEREST_INC"</definedName>
    <definedName name="NET_INTEREST_INC_AFTER_LL" hidden="1">"NET_INTEREST_INC_AFTER_LL"</definedName>
    <definedName name="NET_LOANS" hidden="1">"NET_LOANS"</definedName>
    <definedName name="NON_CASH" hidden="1">"NON_CASH"</definedName>
    <definedName name="NON_INTEREST_EXP" hidden="1">"NON_INTEREST_EXP"</definedName>
    <definedName name="NON_INTEREST_INC" hidden="1">"NON_INTEREST_INC"</definedName>
    <definedName name="NORMAL_INC_AFTER" hidden="1">"NORMAL_INC_AFTER"</definedName>
    <definedName name="NORMAL_INC_AVAIL" hidden="1">"NORMAL_INC_AVAIL"</definedName>
    <definedName name="NORMAL_INC_BEFORE" hidden="1">"NORMAL_INC_BEFORE"</definedName>
    <definedName name="NOTES_PAY" hidden="1">"NOTES_PAY"</definedName>
    <definedName name="OPENPRICE" hidden="1">"OPENPRICE"</definedName>
    <definedName name="OPER_INC" hidden="1">"OPER_INC"</definedName>
    <definedName name="OTHER_ASSETS" hidden="1">"OTHER_ASSETS"</definedName>
    <definedName name="OTHER_CURRENT_ASSETS" hidden="1">"OTHER_CURRENT_ASSETS"</definedName>
    <definedName name="OTHER_CURRENT_LIAB" hidden="1">"OTHER_CURRENT_LIAB"</definedName>
    <definedName name="OTHER_EARNING" hidden="1">"OTHER_EARNING"</definedName>
    <definedName name="OTHER_EQUITY" hidden="1">"OTHER_EQUITY"</definedName>
    <definedName name="OTHER_INVESTING" hidden="1">"OTHER_INVESTING"</definedName>
    <definedName name="OTHER_LIAB" hidden="1">"OTHER_LIAB"</definedName>
    <definedName name="OTHER_LONG_TERM" hidden="1">"OTHER_LONG_TERM"</definedName>
    <definedName name="OTHER_NET" hidden="1">"OTHER_NET"</definedName>
    <definedName name="OTHER_OPER" hidden="1">"OTHER_OPER"</definedName>
    <definedName name="OTHER_RECEIV" hidden="1">"OTHER_RECEIV"</definedName>
    <definedName name="OTHER_REVENUE" hidden="1">"OTHER_REVENUE"</definedName>
    <definedName name="PAY_ACCRUED" hidden="1">"PAY_ACCRUED"</definedName>
    <definedName name="PERIODDATE" hidden="1">"PERIODDATE"</definedName>
    <definedName name="PREF_DIVID" hidden="1">"PREF_DIVID"</definedName>
    <definedName name="PREF_STOCK" hidden="1">"PREF_STOCK"</definedName>
    <definedName name="PREPAID_EXPEN" hidden="1">"PREPAID_EXPEN"</definedName>
    <definedName name="PRETAX_INC" hidden="1">"PRETAX_INC"</definedName>
    <definedName name="PRETAX_INC_10K" hidden="1">"PRETAX_INC_10K"</definedName>
    <definedName name="PRETAX_INC_10Q" hidden="1">"PRETAX_INC_10Q"</definedName>
    <definedName name="PRETAX_INC_10Q1" hidden="1">"PRETAX_INC_10Q1"</definedName>
    <definedName name="PRICE_OVER_EPS_EST" hidden="1">"PRICE_OVER_EPS_EST"</definedName>
    <definedName name="PRICE_OVER_EPS_EST_1" hidden="1">"PRICE_OVER_EPS_EST_1"</definedName>
    <definedName name="PRICE_OVER_LTM_EPS" hidden="1">"PRICE_OVER_LTM_EPS"</definedName>
    <definedName name="_xlnm.Print_Area" localSheetId="4">'Balance Sheet'!$B$2:$L$32</definedName>
    <definedName name="_xlnm.Print_Area" localSheetId="5">'Cash Flow'!$B$2:$L$65</definedName>
    <definedName name="_xlnm.Print_Area" localSheetId="0">'Cover Page'!$A$1:$P$31</definedName>
    <definedName name="_xlnm.Print_Area" localSheetId="7">DCF!$B$2:$O$46</definedName>
    <definedName name="_xlnm.Print_Area" localSheetId="3">'Income Statement'!$B$2:$Q$64</definedName>
    <definedName name="_xlnm.Print_Area" localSheetId="1">Inputs!$B$2:$H$42</definedName>
    <definedName name="_xlnm.Print_Area" localSheetId="6">Proj!$B$2:$Q$241</definedName>
    <definedName name="_xlnm.Print_Area" localSheetId="2">'Spread Cover'!$B$2:$O$41</definedName>
    <definedName name="_xlnm.Print_Titles" localSheetId="6">Proj!$2:$5</definedName>
    <definedName name="PRO_FORMA_BASIC_EPS" hidden="1">"PRO_FORMA_BASIC_EPS"</definedName>
    <definedName name="PRO_FORMA_DILUT_EPS" hidden="1">"PRO_FORMA_DILUT_EPS"</definedName>
    <definedName name="PRO_FORMA_NET_INC" hidden="1">"PRO_FORMA_NET_INC"</definedName>
    <definedName name="proj" localSheetId="7">[3]Inputs!$B$2</definedName>
    <definedName name="proj" localSheetId="3">[4]Inputs!$B$2</definedName>
    <definedName name="proj">Inputs!$B$2</definedName>
    <definedName name="PROPERTY_GROSS" hidden="1">"PROPERTY_GROSS"</definedName>
    <definedName name="PROPERTY_NET" hidden="1">"PROPERTY_NET"</definedName>
    <definedName name="QUICK_RATIO" hidden="1">"QUICK_RATIO"</definedName>
    <definedName name="REDEEM_PREF_STOCK" hidden="1">"REDEEM_PREF_STOCK"</definedName>
    <definedName name="repay">#REF!</definedName>
    <definedName name="RESEARCH_DEV" hidden="1">"RESEARCH_DEV"</definedName>
    <definedName name="RETAINED_EARN" hidden="1">"RETAINED_EARN"</definedName>
    <definedName name="RETURN_ASSETS" hidden="1">"RETURN_ASSETS"</definedName>
    <definedName name="RETURN_EQUITY" hidden="1">"RETURN_EQUITY"</definedName>
    <definedName name="RETURN_INVESTMENT" hidden="1">"RETURN_INVESTMENT"</definedName>
    <definedName name="REVENUE" hidden="1">"REVENUE"</definedName>
    <definedName name="REVENUE_10K" hidden="1">"REVENUE_10K"</definedName>
    <definedName name="REVENUE_10Q" hidden="1">"REVENUE_10Q"</definedName>
    <definedName name="REVENUE_10Q1" hidden="1">"REVENUE_10Q1"</definedName>
    <definedName name="REVENUE_EST" hidden="1">"REVENUE_EST"</definedName>
    <definedName name="REVENUE_EST_1" hidden="1">"REVENUE_EST_1"</definedName>
    <definedName name="REVENUE_GROWTH_1" hidden="1">"REVENUE_GROWTH_1"</definedName>
    <definedName name="REVENUE_GROWTH_2" hidden="1">"REVENUE_GROWTH_2"</definedName>
    <definedName name="SGA" hidden="1">"SGA"</definedName>
    <definedName name="SHARESOUTSTANDING" hidden="1">"SHARESOUTSTANDING"</definedName>
    <definedName name="SHORT_TERM_INVEST" hidden="1">"SHORT_TERM_INVEST"</definedName>
    <definedName name="STATE" hidden="1">"STATE"</definedName>
    <definedName name="STOCK_BASED" hidden="1">"STOCK_BASED"</definedName>
    <definedName name="syn">#REF!</definedName>
    <definedName name="t">#REF!</definedName>
    <definedName name="tar" localSheetId="3">[4]Inputs!#REF!</definedName>
    <definedName name="tar">Inputs!#REF!</definedName>
    <definedName name="tarnetdebt">#REF!</definedName>
    <definedName name="tarnetdebtfn">#REF!</definedName>
    <definedName name="tbs">#REF!</definedName>
    <definedName name="tcap">#REF!</definedName>
    <definedName name="tcase">#REF!</definedName>
    <definedName name="tcfs">#REF!</definedName>
    <definedName name="tcname">#REF!</definedName>
    <definedName name="tdate" localSheetId="7">[3]Inputs!$E$5</definedName>
    <definedName name="tdate" localSheetId="3">[4]Inputs!$E$5</definedName>
    <definedName name="tdate">Inputs!$E$5</definedName>
    <definedName name="tdcf">#REF!</definedName>
    <definedName name="tdiscconvention">#REF!</definedName>
    <definedName name="tdshares" localSheetId="3">[4]Inputs!#REF!</definedName>
    <definedName name="tdshares">Inputs!#REF!</definedName>
    <definedName name="TemplateDate">32967</definedName>
    <definedName name="texercise" localSheetId="3">[4]Inputs!#REF!</definedName>
    <definedName name="texercise">Inputs!#REF!</definedName>
    <definedName name="texit">#REF!</definedName>
    <definedName name="tfcf">#REF!</definedName>
    <definedName name="tfy" localSheetId="3">[4]Inputs!#REF!</definedName>
    <definedName name="tfy">Inputs!#REF!</definedName>
    <definedName name="tfye" localSheetId="3">[4]Inputs!#REF!</definedName>
    <definedName name="tfye">Inputs!#REF!</definedName>
    <definedName name="tfyshares" localSheetId="3">[4]Inputs!#REF!</definedName>
    <definedName name="tfyshares">Inputs!#REF!</definedName>
    <definedName name="tis">#REF!</definedName>
    <definedName name="tlabel1">#REF!</definedName>
    <definedName name="tlabel2">#REF!</definedName>
    <definedName name="tlabel3">#REF!</definedName>
    <definedName name="tlabelswitch">#REF!</definedName>
    <definedName name="tlbo">#REF!</definedName>
    <definedName name="tlboprice">#REF!</definedName>
    <definedName name="tltg" localSheetId="3">[4]Inputs!#REF!</definedName>
    <definedName name="tltg">Inputs!#REF!</definedName>
    <definedName name="tltmdate" localSheetId="3">[4]Inputs!#REF!</definedName>
    <definedName name="tltmdate">Inputs!#REF!</definedName>
    <definedName name="toptions" localSheetId="3">[4]Inputs!#REF!</definedName>
    <definedName name="toptions">Inputs!#REF!</definedName>
    <definedName name="TOTAL_ASSETS" hidden="1">"TOTAL_ASSETS"</definedName>
    <definedName name="TOTAL_CASH_DIVID" hidden="1">"TOTAL_CASH_DIVID"</definedName>
    <definedName name="TOTAL_CASH_FINAN" hidden="1">"TOTAL_CASH_FINAN"</definedName>
    <definedName name="TOTAL_CASH_INVEST" hidden="1">"TOTAL_CASH_INVEST"</definedName>
    <definedName name="TOTAL_CASH_OPER" hidden="1">"TOTAL_CASH_OPER"</definedName>
    <definedName name="TOTAL_COMMON" hidden="1">"TOTAL_COMMON"</definedName>
    <definedName name="TOTAL_CURRENT_ASSETS" hidden="1">"TOTAL_CURRENT_ASSETS"</definedName>
    <definedName name="TOTAL_CURRENT_LIAB" hidden="1">"TOTAL_CURRENT_LIAB"</definedName>
    <definedName name="TOTAL_DEBT" hidden="1">"TOTAL_DEBT"</definedName>
    <definedName name="TOTAL_DEBT_OVER_EBITDA" hidden="1">"TOTAL_DEBT_OVER_EBITDA"</definedName>
    <definedName name="TOTAL_DEBT_OVER_TOTAL_BV" hidden="1">"TOTAL_DEBT_OVER_TOTAL_BV"</definedName>
    <definedName name="TOTAL_DEBT_OVER_TOTAL_CAP" hidden="1">"TOTAL_DEBT_OVER_TOTAL_CAP"</definedName>
    <definedName name="TOTAL_EQUITY" hidden="1">"TOTAL_EQUITY"</definedName>
    <definedName name="TOTAL_INTEREST_EXP" hidden="1">"TOTAL_INTEREST_EXP"</definedName>
    <definedName name="TOTAL_INVENTORY" hidden="1">"TOTAL_INVENTORY"</definedName>
    <definedName name="TOTAL_LIAB" hidden="1">"TOTAL_LIAB"</definedName>
    <definedName name="TOTAL_LIAB_SHAREHOLD" hidden="1">"TOTAL_LIAB_SHAREHOLD"</definedName>
    <definedName name="TOTAL_LONG_DEBT" hidden="1">"TOTAL_LONG_DEBT"</definedName>
    <definedName name="TOTAL_OPER_EXPEN" hidden="1">"TOTAL_OPER_EXPEN"</definedName>
    <definedName name="TOTAL_RECEIV" hidden="1">"TOTAL_RECEIV"</definedName>
    <definedName name="TOTAL_REVENUE" hidden="1">"TOTAL_REVENUE"</definedName>
    <definedName name="TOTAL_SPECIAL" hidden="1">"TOTAL_SPECIAL"</definedName>
    <definedName name="tprice" localSheetId="3">[4]Inputs!#REF!</definedName>
    <definedName name="tprice">Inputs!#REF!</definedName>
    <definedName name="tquarter">Inputs!$D$46</definedName>
    <definedName name="TRADE_AR" hidden="1">"TRADE_AR"</definedName>
    <definedName name="TREASURY_STOCK" hidden="1">"TREASURY_STOCK"</definedName>
    <definedName name="trsu" localSheetId="3">[4]Inputs!#REF!</definedName>
    <definedName name="trsu">Inputs!#REF!</definedName>
    <definedName name="tshares" localSheetId="3">[4]Inputs!#REF!</definedName>
    <definedName name="tshares">Inputs!#REF!</definedName>
    <definedName name="tspread">#REF!</definedName>
    <definedName name="tsum">#REF!</definedName>
    <definedName name="ttable1">#REF!</definedName>
    <definedName name="ttable2">#REF!</definedName>
    <definedName name="ttax" localSheetId="3">[4]Inputs!#REF!</definedName>
    <definedName name="ttax">Inputs!#REF!</definedName>
    <definedName name="tticker" localSheetId="3">[4]Inputs!#REF!</definedName>
    <definedName name="tticker">Inputs!#REF!</definedName>
    <definedName name="twc">#REF!</definedName>
    <definedName name="UNREALIZED_GAIN" hidden="1">"UNREALIZED_GAIN"</definedName>
    <definedName name="UNUSUAL_EXP" hidden="1">"UNUSUAL_EXP"</definedName>
    <definedName name="US_GAAP" hidden="1">"US_GAAP"</definedName>
    <definedName name="VOLUME" hidden="1">"VOLUME"</definedName>
    <definedName name="xxx" hidden="1">#REF!</definedName>
    <definedName name="xxxx" localSheetId="7" hidden="1">'[1]op inc as pct t'!$K$11:$K$17</definedName>
    <definedName name="xxxx" hidden="1">'[2]op inc as pct t'!$K$11:$K$17</definedName>
    <definedName name="YEARHIGH" hidden="1">"YEARHIGH"</definedName>
    <definedName name="YEARLOW" hidden="1">"YEARLOW"</definedName>
    <definedName name="Z_9AE38660_BF5A_49A3_9FC0_AD5890AFC019_.wvu.PrintArea" localSheetId="4" hidden="1">'Balance Sheet'!$B$2:$L$32</definedName>
    <definedName name="Z_9AE38660_BF5A_49A3_9FC0_AD5890AFC019_.wvu.PrintArea" localSheetId="5" hidden="1">'Cash Flow'!$B$2:$J$44</definedName>
    <definedName name="Z_9AE38660_BF5A_49A3_9FC0_AD5890AFC019_.wvu.PrintArea" localSheetId="7" hidden="1">DCF!$B$2:$O$46</definedName>
    <definedName name="Z_9AE38660_BF5A_49A3_9FC0_AD5890AFC019_.wvu.PrintArea" localSheetId="3" hidden="1">'Income Statement'!$B$2:$P$64</definedName>
    <definedName name="Z_9AE38660_BF5A_49A3_9FC0_AD5890AFC019_.wvu.PrintArea" localSheetId="1" hidden="1">Inputs!$B$2:$H$34</definedName>
    <definedName name="Z_9AE38660_BF5A_49A3_9FC0_AD5890AFC019_.wvu.PrintArea" localSheetId="6" hidden="1">Proj!$B$2:$P$216</definedName>
    <definedName name="Z_9AE38660_BF5A_49A3_9FC0_AD5890AFC019_.wvu.PrintArea" localSheetId="2" hidden="1">'Spread Cover'!$B$2:$O$41</definedName>
    <definedName name="Z_9AE38660_BF5A_49A3_9FC0_AD5890AFC019_.wvu.PrintTitles" localSheetId="6" hidden="1">Proj!$2:$5</definedName>
    <definedName name="Z_9AE38660_BF5A_49A3_9FC0_AD5890AFC019_.wvu.Rows" localSheetId="6" hidden="1">Proj!#REF!</definedName>
  </definedNames>
  <calcPr calcId="191029" calcMode="manual" iterate="1" calcCompleted="0" calcOnSave="0" concurrentCalc="0"/>
  <customWorkbookViews>
    <customWorkbookView name="Michael Stack - Personal View" guid="{9AE38660-BF5A-49A3-9FC0-AD5890AFC019}" mergeInterval="0" personalView="1" maximized="1" windowWidth="1276" windowHeight="827" tabRatio="830" activeSheetId="36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" i="6" l="1"/>
  <c r="D219" i="36"/>
  <c r="Q3" i="36"/>
  <c r="D25" i="1"/>
  <c r="D26" i="1"/>
  <c r="D27" i="1"/>
  <c r="D28" i="1"/>
  <c r="D29" i="1"/>
  <c r="D30" i="1"/>
  <c r="D31" i="1"/>
  <c r="E29" i="3"/>
  <c r="E30" i="3"/>
  <c r="E32" i="3"/>
  <c r="G27" i="87"/>
  <c r="G41" i="1"/>
  <c r="G39" i="1"/>
  <c r="O245" i="36"/>
  <c r="N245" i="36"/>
  <c r="M245" i="36"/>
  <c r="K69" i="36"/>
  <c r="K210" i="36"/>
  <c r="I88" i="86"/>
  <c r="I82" i="86"/>
  <c r="I76" i="86"/>
  <c r="I90" i="86"/>
  <c r="I15" i="86"/>
  <c r="I16" i="86"/>
  <c r="I45" i="86"/>
  <c r="K10" i="36"/>
  <c r="K11" i="36"/>
  <c r="I96" i="86"/>
  <c r="I46" i="86"/>
  <c r="K12" i="36"/>
  <c r="K13" i="36"/>
  <c r="K14" i="36"/>
  <c r="K15" i="36"/>
  <c r="K211" i="36"/>
  <c r="L211" i="36"/>
  <c r="K8" i="36"/>
  <c r="K221" i="36"/>
  <c r="L222" i="36"/>
  <c r="L221" i="36"/>
  <c r="L8" i="36"/>
  <c r="K235" i="36"/>
  <c r="L235" i="36"/>
  <c r="L9" i="36"/>
  <c r="L10" i="36"/>
  <c r="L113" i="36"/>
  <c r="K58" i="36"/>
  <c r="L101" i="36"/>
  <c r="L114" i="36"/>
  <c r="M211" i="36"/>
  <c r="N211" i="36"/>
  <c r="O211" i="36"/>
  <c r="M222" i="36"/>
  <c r="M221" i="36"/>
  <c r="M8" i="36"/>
  <c r="N222" i="36"/>
  <c r="N221" i="36"/>
  <c r="N8" i="36"/>
  <c r="O222" i="36"/>
  <c r="O221" i="36"/>
  <c r="O8" i="36"/>
  <c r="O235" i="36"/>
  <c r="O9" i="36"/>
  <c r="O10" i="36"/>
  <c r="K59" i="36"/>
  <c r="K201" i="36"/>
  <c r="K202" i="36"/>
  <c r="L202" i="36"/>
  <c r="M202" i="36"/>
  <c r="N202" i="36"/>
  <c r="O202" i="36"/>
  <c r="P202" i="36"/>
  <c r="Q202" i="36"/>
  <c r="P222" i="36"/>
  <c r="P221" i="36"/>
  <c r="P8" i="36"/>
  <c r="Q222" i="36"/>
  <c r="Q221" i="36"/>
  <c r="Q8" i="36"/>
  <c r="Q201" i="36"/>
  <c r="Q59" i="36"/>
  <c r="K67" i="36"/>
  <c r="K204" i="36"/>
  <c r="I44" i="86"/>
  <c r="K9" i="36"/>
  <c r="K205" i="36"/>
  <c r="L205" i="36"/>
  <c r="M205" i="36"/>
  <c r="N205" i="36"/>
  <c r="O205" i="36"/>
  <c r="P205" i="36"/>
  <c r="Q205" i="36"/>
  <c r="P236" i="36"/>
  <c r="Q236" i="36"/>
  <c r="Q235" i="36"/>
  <c r="Q9" i="36"/>
  <c r="Q204" i="36"/>
  <c r="Q67" i="36"/>
  <c r="K68" i="36"/>
  <c r="K207" i="36"/>
  <c r="K125" i="36"/>
  <c r="K208" i="36"/>
  <c r="L208" i="36"/>
  <c r="M208" i="36"/>
  <c r="N208" i="36"/>
  <c r="O208" i="36"/>
  <c r="P208" i="36"/>
  <c r="Q208" i="36"/>
  <c r="P201" i="36"/>
  <c r="P59" i="36"/>
  <c r="P235" i="36"/>
  <c r="P9" i="36"/>
  <c r="P204" i="36"/>
  <c r="P67" i="36"/>
  <c r="O201" i="36"/>
  <c r="O59" i="36"/>
  <c r="O204" i="36"/>
  <c r="O67" i="36"/>
  <c r="N201" i="36"/>
  <c r="N59" i="36"/>
  <c r="N235" i="36"/>
  <c r="N9" i="36"/>
  <c r="N204" i="36"/>
  <c r="N67" i="36"/>
  <c r="M201" i="36"/>
  <c r="M59" i="36"/>
  <c r="M235" i="36"/>
  <c r="M9" i="36"/>
  <c r="M204" i="36"/>
  <c r="M67" i="36"/>
  <c r="K195" i="36"/>
  <c r="K196" i="36"/>
  <c r="L196" i="36"/>
  <c r="M196" i="36"/>
  <c r="N196" i="36"/>
  <c r="O196" i="36"/>
  <c r="P196" i="36"/>
  <c r="Q196" i="36"/>
  <c r="Q195" i="36"/>
  <c r="Q89" i="36"/>
  <c r="N17" i="87"/>
  <c r="P195" i="36"/>
  <c r="P89" i="36"/>
  <c r="M17" i="87"/>
  <c r="O195" i="36"/>
  <c r="O89" i="36"/>
  <c r="L17" i="87"/>
  <c r="N195" i="36"/>
  <c r="N89" i="36"/>
  <c r="K17" i="87"/>
  <c r="M195" i="36"/>
  <c r="M89" i="36"/>
  <c r="J17" i="87"/>
  <c r="F38" i="1"/>
  <c r="N199" i="36"/>
  <c r="O199" i="36"/>
  <c r="P199" i="36"/>
  <c r="Q199" i="36"/>
  <c r="Q198" i="36"/>
  <c r="Q84" i="36"/>
  <c r="N16" i="87"/>
  <c r="P198" i="36"/>
  <c r="P84" i="36"/>
  <c r="M16" i="87"/>
  <c r="O198" i="36"/>
  <c r="O84" i="36"/>
  <c r="L16" i="87"/>
  <c r="N198" i="36"/>
  <c r="N84" i="36"/>
  <c r="K16" i="87"/>
  <c r="E38" i="1"/>
  <c r="M199" i="36"/>
  <c r="M198" i="36"/>
  <c r="M84" i="36"/>
  <c r="J16" i="87"/>
  <c r="M10" i="36"/>
  <c r="M36" i="36"/>
  <c r="J12" i="87"/>
  <c r="M37" i="36"/>
  <c r="M38" i="36"/>
  <c r="J10" i="87"/>
  <c r="P108" i="36"/>
  <c r="Q108" i="36"/>
  <c r="Q107" i="36"/>
  <c r="H13" i="1"/>
  <c r="L187" i="36"/>
  <c r="D40" i="1"/>
  <c r="L189" i="36"/>
  <c r="E40" i="1"/>
  <c r="M189" i="36"/>
  <c r="F40" i="1"/>
  <c r="N189" i="36"/>
  <c r="G40" i="1"/>
  <c r="O189" i="36"/>
  <c r="P188" i="36"/>
  <c r="P189" i="36"/>
  <c r="Q188" i="36"/>
  <c r="G191" i="36"/>
  <c r="Q189" i="36"/>
  <c r="O108" i="36"/>
  <c r="N108" i="36"/>
  <c r="J20" i="3"/>
  <c r="F94" i="36"/>
  <c r="L107" i="36"/>
  <c r="M108" i="36"/>
  <c r="L36" i="36"/>
  <c r="V12" i="87"/>
  <c r="Q10" i="36"/>
  <c r="Q36" i="36"/>
  <c r="N12" i="87"/>
  <c r="P10" i="36"/>
  <c r="P36" i="36"/>
  <c r="M12" i="87"/>
  <c r="O36" i="36"/>
  <c r="L12" i="87"/>
  <c r="N10" i="36"/>
  <c r="N36" i="36"/>
  <c r="K12" i="87"/>
  <c r="D38" i="1"/>
  <c r="L199" i="36"/>
  <c r="L198" i="36"/>
  <c r="L84" i="36"/>
  <c r="L37" i="36"/>
  <c r="L38" i="36"/>
  <c r="V10" i="87"/>
  <c r="Q37" i="36"/>
  <c r="Q38" i="36"/>
  <c r="N10" i="87"/>
  <c r="P37" i="36"/>
  <c r="P38" i="36"/>
  <c r="M10" i="87"/>
  <c r="O37" i="36"/>
  <c r="O38" i="36"/>
  <c r="L10" i="87"/>
  <c r="N37" i="36"/>
  <c r="N38" i="36"/>
  <c r="K10" i="87"/>
  <c r="M49" i="36"/>
  <c r="J9" i="87"/>
  <c r="L49" i="36"/>
  <c r="V9" i="87"/>
  <c r="E25" i="1"/>
  <c r="C61" i="87"/>
  <c r="B61" i="87"/>
  <c r="L132" i="36"/>
  <c r="L133" i="36"/>
  <c r="L135" i="36"/>
  <c r="L93" i="36"/>
  <c r="L195" i="36"/>
  <c r="L89" i="36"/>
  <c r="L91" i="36"/>
  <c r="V16" i="87"/>
  <c r="V8" i="87"/>
  <c r="N8" i="87"/>
  <c r="M8" i="87"/>
  <c r="L8" i="87"/>
  <c r="K8" i="87"/>
  <c r="J8" i="87"/>
  <c r="B4" i="36"/>
  <c r="B4" i="87"/>
  <c r="B2" i="36"/>
  <c r="B2" i="87"/>
  <c r="B2" i="6"/>
  <c r="B2" i="3"/>
  <c r="B2" i="86"/>
  <c r="C73" i="87"/>
  <c r="G23" i="87"/>
  <c r="H23" i="87"/>
  <c r="I23" i="87"/>
  <c r="R23" i="87"/>
  <c r="R35" i="87"/>
  <c r="Q23" i="87"/>
  <c r="Q35" i="87"/>
  <c r="P23" i="87"/>
  <c r="P35" i="87"/>
  <c r="O23" i="87"/>
  <c r="O35" i="87"/>
  <c r="N23" i="87"/>
  <c r="N35" i="87"/>
  <c r="M23" i="87"/>
  <c r="M35" i="87"/>
  <c r="L23" i="87"/>
  <c r="L35" i="87"/>
  <c r="K23" i="87"/>
  <c r="K35" i="87"/>
  <c r="J23" i="87"/>
  <c r="J35" i="87"/>
  <c r="I35" i="87"/>
  <c r="H35" i="87"/>
  <c r="G35" i="87"/>
  <c r="B73" i="87"/>
  <c r="B74" i="87"/>
  <c r="B75" i="87"/>
  <c r="B76" i="87"/>
  <c r="B77" i="87"/>
  <c r="B78" i="87"/>
  <c r="B79" i="87"/>
  <c r="C78" i="87"/>
  <c r="C77" i="87"/>
  <c r="C76" i="87"/>
  <c r="C75" i="87"/>
  <c r="C74" i="87"/>
  <c r="B67" i="87"/>
  <c r="C67" i="87"/>
  <c r="J53" i="87"/>
  <c r="K54" i="87"/>
  <c r="K53" i="87"/>
  <c r="L54" i="87"/>
  <c r="L53" i="87"/>
  <c r="M54" i="87"/>
  <c r="M53" i="87"/>
  <c r="N54" i="87"/>
  <c r="N53" i="87"/>
  <c r="R55" i="87"/>
  <c r="K55" i="87"/>
  <c r="L55" i="87"/>
  <c r="M55" i="87"/>
  <c r="N55" i="87"/>
  <c r="R54" i="87"/>
  <c r="F53" i="87"/>
  <c r="B45" i="87"/>
  <c r="N14" i="87"/>
  <c r="N15" i="87"/>
  <c r="H34" i="87"/>
  <c r="K34" i="87"/>
  <c r="N34" i="87"/>
  <c r="Q34" i="87"/>
  <c r="R34" i="87"/>
  <c r="P34" i="87"/>
  <c r="O34" i="87"/>
  <c r="M34" i="87"/>
  <c r="L34" i="87"/>
  <c r="J34" i="87"/>
  <c r="I34" i="87"/>
  <c r="G34" i="87"/>
  <c r="R27" i="87"/>
  <c r="R39" i="87"/>
  <c r="Q27" i="87"/>
  <c r="Q39" i="87"/>
  <c r="P27" i="87"/>
  <c r="P39" i="87"/>
  <c r="O27" i="87"/>
  <c r="O39" i="87"/>
  <c r="N27" i="87"/>
  <c r="N39" i="87"/>
  <c r="M27" i="87"/>
  <c r="M39" i="87"/>
  <c r="L27" i="87"/>
  <c r="L39" i="87"/>
  <c r="K27" i="87"/>
  <c r="K39" i="87"/>
  <c r="J27" i="87"/>
  <c r="J39" i="87"/>
  <c r="I27" i="87"/>
  <c r="I39" i="87"/>
  <c r="H27" i="87"/>
  <c r="H39" i="87"/>
  <c r="G39" i="87"/>
  <c r="B27" i="87"/>
  <c r="B39" i="87"/>
  <c r="H22" i="87"/>
  <c r="K22" i="87"/>
  <c r="N22" i="87"/>
  <c r="Q22" i="87"/>
  <c r="R22" i="87"/>
  <c r="P22" i="87"/>
  <c r="O22" i="87"/>
  <c r="M22" i="87"/>
  <c r="L22" i="87"/>
  <c r="J22" i="87"/>
  <c r="I22" i="87"/>
  <c r="G22" i="87"/>
  <c r="R25" i="87"/>
  <c r="Q25" i="87"/>
  <c r="P25" i="87"/>
  <c r="O25" i="87"/>
  <c r="N25" i="87"/>
  <c r="M25" i="87"/>
  <c r="L25" i="87"/>
  <c r="K25" i="87"/>
  <c r="J25" i="87"/>
  <c r="I25" i="87"/>
  <c r="H25" i="87"/>
  <c r="G25" i="87"/>
  <c r="M14" i="87"/>
  <c r="M15" i="87"/>
  <c r="L14" i="87"/>
  <c r="L15" i="87"/>
  <c r="K14" i="87"/>
  <c r="K15" i="87"/>
  <c r="J14" i="87"/>
  <c r="J15" i="87"/>
  <c r="V14" i="87"/>
  <c r="V15" i="87"/>
  <c r="B15" i="87"/>
  <c r="V13" i="87"/>
  <c r="N13" i="87"/>
  <c r="M13" i="87"/>
  <c r="L13" i="87"/>
  <c r="K13" i="87"/>
  <c r="J13" i="87"/>
  <c r="V11" i="87"/>
  <c r="N11" i="87"/>
  <c r="M11" i="87"/>
  <c r="L11" i="87"/>
  <c r="K11" i="87"/>
  <c r="J11" i="87"/>
  <c r="N9" i="87"/>
  <c r="M9" i="87"/>
  <c r="L9" i="87"/>
  <c r="K9" i="87"/>
  <c r="V7" i="87"/>
  <c r="L207" i="36"/>
  <c r="L68" i="36"/>
  <c r="B179" i="36"/>
  <c r="K7" i="36"/>
  <c r="L7" i="36"/>
  <c r="L179" i="36"/>
  <c r="M7" i="36"/>
  <c r="M179" i="36"/>
  <c r="N7" i="36"/>
  <c r="N179" i="36"/>
  <c r="O7" i="36"/>
  <c r="O179" i="36"/>
  <c r="P7" i="36"/>
  <c r="P179" i="36"/>
  <c r="Q7" i="36"/>
  <c r="Q179" i="36"/>
  <c r="O14" i="3"/>
  <c r="K88" i="86"/>
  <c r="K82" i="86"/>
  <c r="K76" i="86"/>
  <c r="K90" i="86"/>
  <c r="K15" i="86"/>
  <c r="K16" i="86"/>
  <c r="K45" i="86"/>
  <c r="L88" i="86"/>
  <c r="L82" i="86"/>
  <c r="L76" i="86"/>
  <c r="L90" i="86"/>
  <c r="L15" i="86"/>
  <c r="L16" i="86"/>
  <c r="L45" i="86"/>
  <c r="N45" i="86"/>
  <c r="N32" i="86"/>
  <c r="I33" i="86"/>
  <c r="K33" i="86"/>
  <c r="L33" i="86"/>
  <c r="N33" i="86"/>
  <c r="N34" i="86"/>
  <c r="J11" i="3"/>
  <c r="N17" i="86"/>
  <c r="O11" i="3"/>
  <c r="O13" i="3"/>
  <c r="O10" i="3"/>
  <c r="O9" i="3"/>
  <c r="I19" i="86"/>
  <c r="I21" i="86"/>
  <c r="I98" i="86"/>
  <c r="I101" i="86"/>
  <c r="I103" i="86"/>
  <c r="I47" i="86"/>
  <c r="K19" i="86"/>
  <c r="K21" i="86"/>
  <c r="K96" i="86"/>
  <c r="K98" i="86"/>
  <c r="K101" i="86"/>
  <c r="K103" i="86"/>
  <c r="K47" i="86"/>
  <c r="L19" i="86"/>
  <c r="L21" i="86"/>
  <c r="L96" i="86"/>
  <c r="L98" i="86"/>
  <c r="L101" i="86"/>
  <c r="L103" i="86"/>
  <c r="L47" i="86"/>
  <c r="N47" i="86"/>
  <c r="N37" i="86"/>
  <c r="N38" i="86"/>
  <c r="N39" i="86"/>
  <c r="N25" i="86"/>
  <c r="N40" i="86"/>
  <c r="J15" i="3"/>
  <c r="J32" i="3"/>
  <c r="E25" i="3"/>
  <c r="E26" i="3"/>
  <c r="I48" i="86"/>
  <c r="K48" i="86"/>
  <c r="L48" i="86"/>
  <c r="N48" i="86"/>
  <c r="J13" i="3"/>
  <c r="J29" i="3"/>
  <c r="L32" i="86"/>
  <c r="J22" i="3"/>
  <c r="J17" i="3"/>
  <c r="J16" i="3"/>
  <c r="G15" i="86"/>
  <c r="G16" i="86"/>
  <c r="G19" i="86"/>
  <c r="G21" i="86"/>
  <c r="G96" i="86"/>
  <c r="G88" i="86"/>
  <c r="G82" i="86"/>
  <c r="G76" i="86"/>
  <c r="G90" i="86"/>
  <c r="G98" i="86"/>
  <c r="G101" i="86"/>
  <c r="G103" i="86"/>
  <c r="G47" i="86"/>
  <c r="G37" i="86"/>
  <c r="G33" i="86"/>
  <c r="G38" i="86"/>
  <c r="G39" i="86"/>
  <c r="G40" i="86"/>
  <c r="I37" i="86"/>
  <c r="I38" i="86"/>
  <c r="I39" i="86"/>
  <c r="I40" i="86"/>
  <c r="I6" i="86"/>
  <c r="H6" i="86"/>
  <c r="G6" i="86"/>
  <c r="P40" i="86"/>
  <c r="L37" i="86"/>
  <c r="L38" i="86"/>
  <c r="L39" i="86"/>
  <c r="L40" i="86"/>
  <c r="K37" i="86"/>
  <c r="K38" i="86"/>
  <c r="K39" i="86"/>
  <c r="K40" i="86"/>
  <c r="H15" i="86"/>
  <c r="H16" i="86"/>
  <c r="H19" i="86"/>
  <c r="H21" i="86"/>
  <c r="H96" i="86"/>
  <c r="H88" i="86"/>
  <c r="H82" i="86"/>
  <c r="H76" i="86"/>
  <c r="H90" i="86"/>
  <c r="H98" i="86"/>
  <c r="H101" i="86"/>
  <c r="H103" i="86"/>
  <c r="H47" i="86"/>
  <c r="H37" i="86"/>
  <c r="H33" i="86"/>
  <c r="H38" i="86"/>
  <c r="H39" i="86"/>
  <c r="H40" i="86"/>
  <c r="J12" i="3"/>
  <c r="N14" i="86"/>
  <c r="N7" i="86"/>
  <c r="N53" i="86"/>
  <c r="L34" i="86"/>
  <c r="L53" i="86"/>
  <c r="K32" i="86"/>
  <c r="K34" i="86"/>
  <c r="K53" i="86"/>
  <c r="I32" i="86"/>
  <c r="I34" i="86"/>
  <c r="I53" i="86"/>
  <c r="H45" i="86"/>
  <c r="H32" i="86"/>
  <c r="H34" i="86"/>
  <c r="H53" i="86"/>
  <c r="G45" i="86"/>
  <c r="G32" i="86"/>
  <c r="G34" i="86"/>
  <c r="G53" i="86"/>
  <c r="P39" i="86"/>
  <c r="P38" i="86"/>
  <c r="P37" i="86"/>
  <c r="J10" i="3"/>
  <c r="L6" i="86"/>
  <c r="K6" i="6"/>
  <c r="Q31" i="36"/>
  <c r="K16" i="36"/>
  <c r="P31" i="36"/>
  <c r="O253" i="36"/>
  <c r="O31" i="36"/>
  <c r="O248" i="36"/>
  <c r="N253" i="36"/>
  <c r="N31" i="36"/>
  <c r="N248" i="36"/>
  <c r="M253" i="36"/>
  <c r="M31" i="36"/>
  <c r="M248" i="36"/>
  <c r="L253" i="36"/>
  <c r="L245" i="36"/>
  <c r="L31" i="36"/>
  <c r="L248" i="36"/>
  <c r="K36" i="36"/>
  <c r="K37" i="36"/>
  <c r="K38" i="36"/>
  <c r="K171" i="36"/>
  <c r="J10" i="36"/>
  <c r="J36" i="36"/>
  <c r="J37" i="36"/>
  <c r="J38" i="36"/>
  <c r="J11" i="36"/>
  <c r="J171" i="36"/>
  <c r="H46" i="86"/>
  <c r="J12" i="36"/>
  <c r="J13" i="36"/>
  <c r="J14" i="36"/>
  <c r="J15" i="36"/>
  <c r="J75" i="36"/>
  <c r="J176" i="36"/>
  <c r="K17" i="36"/>
  <c r="K18" i="36"/>
  <c r="K30" i="36"/>
  <c r="K31" i="36"/>
  <c r="K32" i="36"/>
  <c r="K174" i="36"/>
  <c r="J16" i="36"/>
  <c r="J17" i="36"/>
  <c r="J18" i="36"/>
  <c r="J30" i="36"/>
  <c r="J31" i="36"/>
  <c r="J32" i="36"/>
  <c r="J174" i="36"/>
  <c r="H14" i="6"/>
  <c r="J64" i="36"/>
  <c r="J62" i="36"/>
  <c r="J61" i="36"/>
  <c r="J173" i="36"/>
  <c r="I14" i="6"/>
  <c r="K64" i="36"/>
  <c r="K62" i="36"/>
  <c r="K61" i="36"/>
  <c r="K173" i="36"/>
  <c r="K71" i="36"/>
  <c r="K170" i="36"/>
  <c r="J71" i="36"/>
  <c r="J58" i="36"/>
  <c r="J170" i="36"/>
  <c r="K169" i="36"/>
  <c r="J169" i="36"/>
  <c r="K75" i="36"/>
  <c r="K168" i="36"/>
  <c r="J168" i="36"/>
  <c r="J167" i="36"/>
  <c r="K73" i="36"/>
  <c r="K166" i="36"/>
  <c r="J73" i="36"/>
  <c r="J166" i="36"/>
  <c r="L73" i="36"/>
  <c r="M73" i="36"/>
  <c r="N73" i="36"/>
  <c r="O73" i="36"/>
  <c r="P73" i="36"/>
  <c r="Q73" i="36"/>
  <c r="K19" i="36"/>
  <c r="K20" i="36"/>
  <c r="J19" i="36"/>
  <c r="J20" i="36"/>
  <c r="I10" i="36"/>
  <c r="I11" i="36"/>
  <c r="G46" i="86"/>
  <c r="I12" i="36"/>
  <c r="I13" i="36"/>
  <c r="I14" i="36"/>
  <c r="I15" i="36"/>
  <c r="I16" i="36"/>
  <c r="I17" i="36"/>
  <c r="I18" i="36"/>
  <c r="I19" i="36"/>
  <c r="I20" i="36"/>
  <c r="K33" i="36"/>
  <c r="J33" i="36"/>
  <c r="K52" i="36"/>
  <c r="I30" i="36"/>
  <c r="I37" i="36"/>
  <c r="I31" i="36"/>
  <c r="I32" i="36"/>
  <c r="I33" i="36"/>
  <c r="J52" i="36"/>
  <c r="K198" i="36"/>
  <c r="K199" i="36"/>
  <c r="B31" i="36"/>
  <c r="B18" i="36"/>
  <c r="B30" i="36"/>
  <c r="L201" i="36"/>
  <c r="L59" i="36"/>
  <c r="L204" i="36"/>
  <c r="L67" i="36"/>
  <c r="K70" i="36"/>
  <c r="K79" i="36"/>
  <c r="J59" i="36"/>
  <c r="J67" i="36"/>
  <c r="J68" i="36"/>
  <c r="J69" i="36"/>
  <c r="J70" i="36"/>
  <c r="J79" i="36"/>
  <c r="B3" i="36"/>
  <c r="Q4" i="36"/>
  <c r="J7" i="36"/>
  <c r="I7" i="36"/>
  <c r="B8" i="36"/>
  <c r="I8" i="36"/>
  <c r="J8" i="36"/>
  <c r="G44" i="86"/>
  <c r="I9" i="36"/>
  <c r="H44" i="86"/>
  <c r="J9" i="36"/>
  <c r="B10" i="36"/>
  <c r="B11" i="36"/>
  <c r="B12" i="36"/>
  <c r="L12" i="36"/>
  <c r="M12" i="36"/>
  <c r="N12" i="36"/>
  <c r="O12" i="36"/>
  <c r="P12" i="36"/>
  <c r="Q12" i="36"/>
  <c r="B13" i="36"/>
  <c r="B14" i="36"/>
  <c r="B15" i="36"/>
  <c r="B16" i="36"/>
  <c r="B17" i="36"/>
  <c r="L17" i="36"/>
  <c r="M17" i="36"/>
  <c r="N17" i="36"/>
  <c r="O17" i="36"/>
  <c r="P17" i="36"/>
  <c r="Q17" i="36"/>
  <c r="I22" i="36"/>
  <c r="J22" i="36"/>
  <c r="K22" i="36"/>
  <c r="K23" i="36"/>
  <c r="L23" i="36"/>
  <c r="L22" i="36"/>
  <c r="M23" i="36"/>
  <c r="M22" i="36"/>
  <c r="N23" i="36"/>
  <c r="N22" i="36"/>
  <c r="O23" i="36"/>
  <c r="O22" i="36"/>
  <c r="P23" i="36"/>
  <c r="P22" i="36"/>
  <c r="Q23" i="36"/>
  <c r="Q22" i="36"/>
  <c r="I23" i="36"/>
  <c r="J23" i="36"/>
  <c r="I24" i="36"/>
  <c r="J24" i="36"/>
  <c r="K24" i="36"/>
  <c r="L24" i="36"/>
  <c r="M24" i="36"/>
  <c r="N24" i="36"/>
  <c r="O24" i="36"/>
  <c r="P24" i="36"/>
  <c r="Q24" i="36"/>
  <c r="I27" i="36"/>
  <c r="J27" i="36"/>
  <c r="K27" i="36"/>
  <c r="L27" i="36"/>
  <c r="M27" i="36"/>
  <c r="N27" i="36"/>
  <c r="O27" i="36"/>
  <c r="P27" i="36"/>
  <c r="Q27" i="36"/>
  <c r="I36" i="36"/>
  <c r="I38" i="36"/>
  <c r="I41" i="36"/>
  <c r="J41" i="36"/>
  <c r="K41" i="36"/>
  <c r="L41" i="36"/>
  <c r="M41" i="36"/>
  <c r="N41" i="36"/>
  <c r="O41" i="36"/>
  <c r="P41" i="36"/>
  <c r="Q41" i="36"/>
  <c r="I42" i="36"/>
  <c r="J42" i="36"/>
  <c r="K42" i="36"/>
  <c r="L42" i="36"/>
  <c r="M42" i="36"/>
  <c r="N42" i="36"/>
  <c r="O42" i="36"/>
  <c r="P42" i="36"/>
  <c r="Q42" i="36"/>
  <c r="I43" i="36"/>
  <c r="J43" i="36"/>
  <c r="K43" i="36"/>
  <c r="L43" i="36"/>
  <c r="M43" i="36"/>
  <c r="N43" i="36"/>
  <c r="O43" i="36"/>
  <c r="P43" i="36"/>
  <c r="Q43" i="36"/>
  <c r="I44" i="36"/>
  <c r="J44" i="36"/>
  <c r="K44" i="36"/>
  <c r="B47" i="36"/>
  <c r="J47" i="36"/>
  <c r="K47" i="36"/>
  <c r="L47" i="36"/>
  <c r="M47" i="36"/>
  <c r="N47" i="36"/>
  <c r="O47" i="36"/>
  <c r="P47" i="36"/>
  <c r="Q47" i="36"/>
  <c r="B48" i="36"/>
  <c r="J48" i="36"/>
  <c r="K48" i="36"/>
  <c r="J49" i="36"/>
  <c r="K49" i="36"/>
  <c r="N49" i="36"/>
  <c r="O49" i="36"/>
  <c r="P49" i="36"/>
  <c r="Q49" i="36"/>
  <c r="J50" i="36"/>
  <c r="K50" i="36"/>
  <c r="L50" i="36"/>
  <c r="M50" i="36"/>
  <c r="N50" i="36"/>
  <c r="O50" i="36"/>
  <c r="P50" i="36"/>
  <c r="Q50" i="36"/>
  <c r="J51" i="36"/>
  <c r="K51" i="36"/>
  <c r="L51" i="36"/>
  <c r="M51" i="36"/>
  <c r="N51" i="36"/>
  <c r="O51" i="36"/>
  <c r="P51" i="36"/>
  <c r="Q51" i="36"/>
  <c r="B53" i="36"/>
  <c r="J53" i="36"/>
  <c r="K53" i="36"/>
  <c r="B56" i="36"/>
  <c r="J56" i="36"/>
  <c r="K56" i="36"/>
  <c r="L56" i="36"/>
  <c r="M56" i="36"/>
  <c r="N56" i="36"/>
  <c r="O56" i="36"/>
  <c r="P56" i="36"/>
  <c r="Q56" i="36"/>
  <c r="B58" i="36"/>
  <c r="B59" i="36"/>
  <c r="B60" i="36"/>
  <c r="J60" i="36"/>
  <c r="K60" i="36"/>
  <c r="L60" i="36"/>
  <c r="M60" i="36"/>
  <c r="N60" i="36"/>
  <c r="O60" i="36"/>
  <c r="P60" i="36"/>
  <c r="Q60" i="36"/>
  <c r="B61" i="36"/>
  <c r="L61" i="36"/>
  <c r="M61" i="36"/>
  <c r="N61" i="36"/>
  <c r="O61" i="36"/>
  <c r="P61" i="36"/>
  <c r="Q61" i="36"/>
  <c r="B62" i="36"/>
  <c r="L62" i="36"/>
  <c r="M62" i="36"/>
  <c r="N62" i="36"/>
  <c r="O62" i="36"/>
  <c r="P62" i="36"/>
  <c r="Q62" i="36"/>
  <c r="B63" i="36"/>
  <c r="J63" i="36"/>
  <c r="K63" i="36"/>
  <c r="L63" i="36"/>
  <c r="M63" i="36"/>
  <c r="N63" i="36"/>
  <c r="O63" i="36"/>
  <c r="P63" i="36"/>
  <c r="Q63" i="36"/>
  <c r="B67" i="36"/>
  <c r="B68" i="36"/>
  <c r="B69" i="36"/>
  <c r="P211" i="36"/>
  <c r="Q211" i="36"/>
  <c r="B70" i="36"/>
  <c r="K213" i="36"/>
  <c r="K214" i="36"/>
  <c r="L214" i="36"/>
  <c r="L213" i="36"/>
  <c r="L70" i="36"/>
  <c r="M214" i="36"/>
  <c r="M213" i="36"/>
  <c r="M70" i="36"/>
  <c r="N214" i="36"/>
  <c r="N213" i="36"/>
  <c r="N70" i="36"/>
  <c r="O214" i="36"/>
  <c r="O213" i="36"/>
  <c r="O70" i="36"/>
  <c r="P214" i="36"/>
  <c r="P213" i="36"/>
  <c r="P70" i="36"/>
  <c r="Q214" i="36"/>
  <c r="Q213" i="36"/>
  <c r="Q70" i="36"/>
  <c r="B71" i="36"/>
  <c r="B72" i="36"/>
  <c r="J72" i="36"/>
  <c r="K72" i="36"/>
  <c r="L72" i="36"/>
  <c r="M72" i="36"/>
  <c r="N72" i="36"/>
  <c r="O72" i="36"/>
  <c r="P72" i="36"/>
  <c r="Q72" i="36"/>
  <c r="B73" i="36"/>
  <c r="B74" i="36"/>
  <c r="J74" i="36"/>
  <c r="K74" i="36"/>
  <c r="L74" i="36"/>
  <c r="M74" i="36"/>
  <c r="N74" i="36"/>
  <c r="O74" i="36"/>
  <c r="P74" i="36"/>
  <c r="Q74" i="36"/>
  <c r="B75" i="36"/>
  <c r="H26" i="6"/>
  <c r="J76" i="36"/>
  <c r="I26" i="6"/>
  <c r="K76" i="36"/>
  <c r="J78" i="36"/>
  <c r="K78" i="36"/>
  <c r="B82" i="36"/>
  <c r="L82" i="36"/>
  <c r="M82" i="36"/>
  <c r="N82" i="36"/>
  <c r="O82" i="36"/>
  <c r="P82" i="36"/>
  <c r="Q82" i="36"/>
  <c r="M91" i="36"/>
  <c r="N91" i="36"/>
  <c r="O91" i="36"/>
  <c r="P91" i="36"/>
  <c r="Q91" i="36"/>
  <c r="M132" i="36"/>
  <c r="M133" i="36"/>
  <c r="M135" i="36"/>
  <c r="M93" i="36"/>
  <c r="N132" i="36"/>
  <c r="N133" i="36"/>
  <c r="N135" i="36"/>
  <c r="N93" i="36"/>
  <c r="O132" i="36"/>
  <c r="O133" i="36"/>
  <c r="O135" i="36"/>
  <c r="O93" i="36"/>
  <c r="P132" i="36"/>
  <c r="P133" i="36"/>
  <c r="P135" i="36"/>
  <c r="P93" i="36"/>
  <c r="Q132" i="36"/>
  <c r="Q133" i="36"/>
  <c r="Q135" i="36"/>
  <c r="Q93" i="36"/>
  <c r="L104" i="36"/>
  <c r="B111" i="36"/>
  <c r="K111" i="36"/>
  <c r="L111" i="36"/>
  <c r="M111" i="36"/>
  <c r="N111" i="36"/>
  <c r="O111" i="36"/>
  <c r="P111" i="36"/>
  <c r="Q111" i="36"/>
  <c r="L116" i="36"/>
  <c r="M116" i="36"/>
  <c r="N116" i="36"/>
  <c r="O116" i="36"/>
  <c r="P116" i="36"/>
  <c r="Q116" i="36"/>
  <c r="L122" i="36"/>
  <c r="M122" i="36"/>
  <c r="N122" i="36"/>
  <c r="O122" i="36"/>
  <c r="P122" i="36"/>
  <c r="Q122" i="36"/>
  <c r="L123" i="36"/>
  <c r="M123" i="36"/>
  <c r="N123" i="36"/>
  <c r="O123" i="36"/>
  <c r="P123" i="36"/>
  <c r="Q123" i="36"/>
  <c r="L124" i="36"/>
  <c r="M124" i="36"/>
  <c r="N124" i="36"/>
  <c r="O124" i="36"/>
  <c r="P124" i="36"/>
  <c r="Q124" i="36"/>
  <c r="K128" i="36"/>
  <c r="K129" i="36"/>
  <c r="B132" i="36"/>
  <c r="B133" i="36"/>
  <c r="B134" i="36"/>
  <c r="B138" i="36"/>
  <c r="B140" i="36"/>
  <c r="L159" i="36"/>
  <c r="L140" i="36"/>
  <c r="M159" i="36"/>
  <c r="M140" i="36"/>
  <c r="N159" i="36"/>
  <c r="N140" i="36"/>
  <c r="O159" i="36"/>
  <c r="O140" i="36"/>
  <c r="P159" i="36"/>
  <c r="P140" i="36"/>
  <c r="Q159" i="36"/>
  <c r="Q140" i="36"/>
  <c r="B141" i="36"/>
  <c r="L160" i="36"/>
  <c r="L141" i="36"/>
  <c r="M160" i="36"/>
  <c r="M141" i="36"/>
  <c r="N160" i="36"/>
  <c r="N141" i="36"/>
  <c r="O160" i="36"/>
  <c r="O141" i="36"/>
  <c r="P160" i="36"/>
  <c r="P141" i="36"/>
  <c r="Q160" i="36"/>
  <c r="Q141" i="36"/>
  <c r="B142" i="36"/>
  <c r="L161" i="36"/>
  <c r="L142" i="36"/>
  <c r="M161" i="36"/>
  <c r="M142" i="36"/>
  <c r="N161" i="36"/>
  <c r="N142" i="36"/>
  <c r="O161" i="36"/>
  <c r="O142" i="36"/>
  <c r="P161" i="36"/>
  <c r="P142" i="36"/>
  <c r="Q161" i="36"/>
  <c r="Q142" i="36"/>
  <c r="B148" i="36"/>
  <c r="L148" i="36"/>
  <c r="M148" i="36"/>
  <c r="N148" i="36"/>
  <c r="O148" i="36"/>
  <c r="P148" i="36"/>
  <c r="Q148" i="36"/>
  <c r="M150" i="36"/>
  <c r="M152" i="36"/>
  <c r="N150" i="36"/>
  <c r="N152" i="36"/>
  <c r="O150" i="36"/>
  <c r="O152" i="36"/>
  <c r="P150" i="36"/>
  <c r="P152" i="36"/>
  <c r="Q150" i="36"/>
  <c r="L151" i="36"/>
  <c r="M151" i="36"/>
  <c r="N151" i="36"/>
  <c r="O151" i="36"/>
  <c r="P151" i="36"/>
  <c r="Q152" i="36"/>
  <c r="Q151" i="36"/>
  <c r="L153" i="36"/>
  <c r="M153" i="36"/>
  <c r="N153" i="36"/>
  <c r="O153" i="36"/>
  <c r="P153" i="36"/>
  <c r="Q153" i="36"/>
  <c r="B157" i="36"/>
  <c r="L157" i="36"/>
  <c r="M157" i="36"/>
  <c r="N157" i="36"/>
  <c r="O157" i="36"/>
  <c r="P157" i="36"/>
  <c r="Q157" i="36"/>
  <c r="B158" i="36"/>
  <c r="L158" i="36"/>
  <c r="M158" i="36"/>
  <c r="N158" i="36"/>
  <c r="O158" i="36"/>
  <c r="P158" i="36"/>
  <c r="Q158" i="36"/>
  <c r="B159" i="36"/>
  <c r="B160" i="36"/>
  <c r="B161" i="36"/>
  <c r="B162" i="36"/>
  <c r="L162" i="36"/>
  <c r="M162" i="36"/>
  <c r="N162" i="36"/>
  <c r="O162" i="36"/>
  <c r="P162" i="36"/>
  <c r="Q162" i="36"/>
  <c r="B165" i="36"/>
  <c r="J165" i="36"/>
  <c r="K165" i="36"/>
  <c r="L165" i="36"/>
  <c r="M165" i="36"/>
  <c r="N165" i="36"/>
  <c r="O165" i="36"/>
  <c r="P165" i="36"/>
  <c r="Q165" i="36"/>
  <c r="K167" i="36"/>
  <c r="J175" i="36"/>
  <c r="K175" i="36"/>
  <c r="K176" i="36"/>
  <c r="J33" i="3"/>
  <c r="J34" i="3"/>
  <c r="B194" i="36"/>
  <c r="I194" i="36"/>
  <c r="J194" i="36"/>
  <c r="K194" i="36"/>
  <c r="L194" i="36"/>
  <c r="M194" i="36"/>
  <c r="N194" i="36"/>
  <c r="O194" i="36"/>
  <c r="P194" i="36"/>
  <c r="Q194" i="36"/>
  <c r="I195" i="36"/>
  <c r="J195" i="36"/>
  <c r="I196" i="36"/>
  <c r="J196" i="36"/>
  <c r="I198" i="36"/>
  <c r="J198" i="36"/>
  <c r="I199" i="36"/>
  <c r="J199" i="36"/>
  <c r="B201" i="36"/>
  <c r="J201" i="36"/>
  <c r="J202" i="36"/>
  <c r="J204" i="36"/>
  <c r="J205" i="36"/>
  <c r="B210" i="36"/>
  <c r="J210" i="36"/>
  <c r="J211" i="36"/>
  <c r="B213" i="36"/>
  <c r="J213" i="36"/>
  <c r="J214" i="36"/>
  <c r="H219" i="36"/>
  <c r="L219" i="36"/>
  <c r="M219" i="36"/>
  <c r="N219" i="36"/>
  <c r="O219" i="36"/>
  <c r="P219" i="36"/>
  <c r="Q219" i="36"/>
  <c r="K223" i="36"/>
  <c r="N223" i="36"/>
  <c r="O223" i="36"/>
  <c r="P223" i="36"/>
  <c r="Q223" i="36"/>
  <c r="K224" i="36"/>
  <c r="N224" i="36"/>
  <c r="O224" i="36"/>
  <c r="P224" i="36"/>
  <c r="Q224" i="36"/>
  <c r="K225" i="36"/>
  <c r="N225" i="36"/>
  <c r="O225" i="36"/>
  <c r="P225" i="36"/>
  <c r="Q225" i="36"/>
  <c r="K226" i="36"/>
  <c r="N226" i="36"/>
  <c r="O226" i="36"/>
  <c r="P226" i="36"/>
  <c r="Q226" i="36"/>
  <c r="K228" i="36"/>
  <c r="L228" i="36"/>
  <c r="M228" i="36"/>
  <c r="N228" i="36"/>
  <c r="O228" i="36"/>
  <c r="P228" i="36"/>
  <c r="Q228" i="36"/>
  <c r="K229" i="36"/>
  <c r="K230" i="36"/>
  <c r="N230" i="36"/>
  <c r="O230" i="36"/>
  <c r="P230" i="36"/>
  <c r="Q230" i="36"/>
  <c r="K231" i="36"/>
  <c r="N231" i="36"/>
  <c r="O231" i="36"/>
  <c r="P231" i="36"/>
  <c r="Q231" i="36"/>
  <c r="K232" i="36"/>
  <c r="N232" i="36"/>
  <c r="O232" i="36"/>
  <c r="P232" i="36"/>
  <c r="Q232" i="36"/>
  <c r="K233" i="36"/>
  <c r="N233" i="36"/>
  <c r="O233" i="36"/>
  <c r="P233" i="36"/>
  <c r="Q233" i="36"/>
  <c r="K236" i="36"/>
  <c r="K237" i="36"/>
  <c r="N237" i="36"/>
  <c r="O237" i="36"/>
  <c r="P237" i="36"/>
  <c r="Q237" i="36"/>
  <c r="K238" i="36"/>
  <c r="N238" i="36"/>
  <c r="O238" i="36"/>
  <c r="P238" i="36"/>
  <c r="Q238" i="36"/>
  <c r="K239" i="36"/>
  <c r="N239" i="36"/>
  <c r="O239" i="36"/>
  <c r="P239" i="36"/>
  <c r="Q239" i="36"/>
  <c r="K240" i="36"/>
  <c r="N240" i="36"/>
  <c r="O240" i="36"/>
  <c r="P240" i="36"/>
  <c r="Q240" i="36"/>
  <c r="B2" i="8"/>
  <c r="B3" i="8"/>
  <c r="B4" i="8"/>
  <c r="G5" i="86"/>
  <c r="H5" i="6"/>
  <c r="G5" i="8"/>
  <c r="K5" i="86"/>
  <c r="K5" i="8"/>
  <c r="G6" i="8"/>
  <c r="H6" i="8"/>
  <c r="I6" i="8"/>
  <c r="K6" i="86"/>
  <c r="K6" i="8"/>
  <c r="L6" i="8"/>
  <c r="G28" i="8"/>
  <c r="H28" i="8"/>
  <c r="I28" i="8"/>
  <c r="K28" i="8"/>
  <c r="L28" i="8"/>
  <c r="G41" i="8"/>
  <c r="H41" i="8"/>
  <c r="I41" i="8"/>
  <c r="K41" i="8"/>
  <c r="L41" i="8"/>
  <c r="G54" i="8"/>
  <c r="H54" i="8"/>
  <c r="I54" i="8"/>
  <c r="K54" i="8"/>
  <c r="L54" i="8"/>
  <c r="G58" i="8"/>
  <c r="H58" i="8"/>
  <c r="I58" i="8"/>
  <c r="K58" i="8"/>
  <c r="L58" i="8"/>
  <c r="G61" i="8"/>
  <c r="H61" i="8"/>
  <c r="I61" i="8"/>
  <c r="K61" i="8"/>
  <c r="L61" i="8"/>
  <c r="B63" i="8"/>
  <c r="H64" i="8"/>
  <c r="I64" i="8"/>
  <c r="K64" i="8"/>
  <c r="L64" i="8"/>
  <c r="G65" i="8"/>
  <c r="H65" i="8"/>
  <c r="I65" i="8"/>
  <c r="K65" i="8"/>
  <c r="L65" i="8"/>
  <c r="H6" i="6"/>
  <c r="I6" i="6"/>
  <c r="D45" i="1"/>
  <c r="K14" i="6"/>
  <c r="K26" i="6"/>
  <c r="H29" i="6"/>
  <c r="I29" i="6"/>
  <c r="K29" i="6"/>
  <c r="H30" i="6"/>
  <c r="I30" i="6"/>
  <c r="K30" i="6"/>
  <c r="H34" i="6"/>
  <c r="I34" i="6"/>
  <c r="K34" i="6"/>
  <c r="B3" i="86"/>
  <c r="B4" i="86"/>
  <c r="N6" i="86"/>
  <c r="P6" i="86"/>
  <c r="P7" i="86"/>
  <c r="N9" i="86"/>
  <c r="P9" i="86"/>
  <c r="N10" i="86"/>
  <c r="P10" i="86"/>
  <c r="N11" i="86"/>
  <c r="P11" i="86"/>
  <c r="N12" i="86"/>
  <c r="P12" i="86"/>
  <c r="N13" i="86"/>
  <c r="P13" i="86"/>
  <c r="P14" i="86"/>
  <c r="N15" i="86"/>
  <c r="P15" i="86"/>
  <c r="N16" i="86"/>
  <c r="P16" i="86"/>
  <c r="P17" i="86"/>
  <c r="N18" i="86"/>
  <c r="P18" i="86"/>
  <c r="N19" i="86"/>
  <c r="P19" i="86"/>
  <c r="N20" i="86"/>
  <c r="P20" i="86"/>
  <c r="N21" i="86"/>
  <c r="P21" i="86"/>
  <c r="N22" i="86"/>
  <c r="P22" i="86"/>
  <c r="N23" i="86"/>
  <c r="P23" i="86"/>
  <c r="G24" i="86"/>
  <c r="H24" i="86"/>
  <c r="I24" i="86"/>
  <c r="K24" i="86"/>
  <c r="L24" i="86"/>
  <c r="N24" i="86"/>
  <c r="P24" i="86"/>
  <c r="P25" i="86"/>
  <c r="G26" i="86"/>
  <c r="H26" i="86"/>
  <c r="I26" i="86"/>
  <c r="K26" i="86"/>
  <c r="L26" i="86"/>
  <c r="N26" i="86"/>
  <c r="P26" i="86"/>
  <c r="N28" i="86"/>
  <c r="P28" i="86"/>
  <c r="N29" i="86"/>
  <c r="P29" i="86"/>
  <c r="P32" i="86"/>
  <c r="P33" i="86"/>
  <c r="P34" i="86"/>
  <c r="B43" i="86"/>
  <c r="G43" i="86"/>
  <c r="H43" i="86"/>
  <c r="I43" i="86"/>
  <c r="K43" i="86"/>
  <c r="L43" i="86"/>
  <c r="N43" i="86"/>
  <c r="P43" i="86"/>
  <c r="K44" i="86"/>
  <c r="L44" i="86"/>
  <c r="N44" i="86"/>
  <c r="P44" i="86"/>
  <c r="P45" i="86"/>
  <c r="K46" i="86"/>
  <c r="L46" i="86"/>
  <c r="N46" i="86"/>
  <c r="P46" i="86"/>
  <c r="B47" i="86"/>
  <c r="P47" i="86"/>
  <c r="B48" i="86"/>
  <c r="G48" i="86"/>
  <c r="H48" i="86"/>
  <c r="P48" i="86"/>
  <c r="G51" i="86"/>
  <c r="H51" i="86"/>
  <c r="I51" i="86"/>
  <c r="K51" i="86"/>
  <c r="L51" i="86"/>
  <c r="N51" i="86"/>
  <c r="G52" i="86"/>
  <c r="H52" i="86"/>
  <c r="I52" i="86"/>
  <c r="K52" i="86"/>
  <c r="L52" i="86"/>
  <c r="N52" i="86"/>
  <c r="G54" i="86"/>
  <c r="H54" i="86"/>
  <c r="I54" i="86"/>
  <c r="K54" i="86"/>
  <c r="L54" i="86"/>
  <c r="N54" i="86"/>
  <c r="B57" i="86"/>
  <c r="H57" i="86"/>
  <c r="I57" i="86"/>
  <c r="L57" i="86"/>
  <c r="B58" i="86"/>
  <c r="H58" i="86"/>
  <c r="I58" i="86"/>
  <c r="L58" i="86"/>
  <c r="B59" i="86"/>
  <c r="H59" i="86"/>
  <c r="I59" i="86"/>
  <c r="L59" i="86"/>
  <c r="B60" i="86"/>
  <c r="H60" i="86"/>
  <c r="I60" i="86"/>
  <c r="L60" i="86"/>
  <c r="B61" i="86"/>
  <c r="H61" i="86"/>
  <c r="I61" i="86"/>
  <c r="L61" i="86"/>
  <c r="B63" i="86"/>
  <c r="K69" i="86"/>
  <c r="G70" i="86"/>
  <c r="H70" i="86"/>
  <c r="I70" i="86"/>
  <c r="K70" i="86"/>
  <c r="L70" i="86"/>
  <c r="B3" i="3"/>
  <c r="J7" i="3"/>
  <c r="J8" i="3"/>
  <c r="O8" i="3"/>
  <c r="B9" i="3"/>
  <c r="J18" i="3"/>
  <c r="J21" i="3"/>
  <c r="E22" i="3"/>
  <c r="B25" i="3"/>
  <c r="G26" i="3"/>
  <c r="O27" i="3"/>
  <c r="O28" i="3"/>
  <c r="G33" i="3"/>
  <c r="O29" i="3"/>
  <c r="G34" i="3"/>
  <c r="N30" i="3"/>
  <c r="O30" i="3"/>
  <c r="O31" i="3"/>
  <c r="B38" i="3"/>
  <c r="B39" i="3"/>
  <c r="G14" i="1"/>
  <c r="B41" i="3"/>
  <c r="G12" i="1"/>
  <c r="H12" i="1"/>
  <c r="E26" i="1"/>
  <c r="E27" i="1"/>
  <c r="E28" i="1"/>
  <c r="E29" i="1"/>
  <c r="E30" i="1"/>
  <c r="B31" i="1"/>
  <c r="C31" i="1"/>
  <c r="B34" i="1"/>
  <c r="D34" i="1"/>
  <c r="E34" i="1"/>
  <c r="F34" i="1"/>
  <c r="G34" i="1"/>
  <c r="B45" i="1"/>
  <c r="C79" i="87"/>
  <c r="E31" i="1"/>
  <c r="G15" i="1"/>
  <c r="G16" i="1"/>
  <c r="G17" i="1"/>
  <c r="L181" i="36"/>
  <c r="L182" i="36"/>
  <c r="L184" i="36"/>
  <c r="M181" i="36"/>
  <c r="M182" i="36"/>
  <c r="M184" i="36"/>
  <c r="N181" i="36"/>
  <c r="N182" i="36"/>
  <c r="N184" i="36"/>
  <c r="O181" i="36"/>
  <c r="O182" i="36"/>
  <c r="O184" i="36"/>
  <c r="O185" i="36"/>
  <c r="O19" i="36"/>
  <c r="O246" i="36"/>
  <c r="O247" i="36"/>
  <c r="O249" i="36"/>
  <c r="N185" i="36"/>
  <c r="N19" i="36"/>
  <c r="N246" i="36"/>
  <c r="N247" i="36"/>
  <c r="N249" i="36"/>
  <c r="M185" i="36"/>
  <c r="M19" i="36"/>
  <c r="M246" i="36"/>
  <c r="M247" i="36"/>
  <c r="M249" i="36"/>
  <c r="L185" i="36"/>
  <c r="L19" i="36"/>
  <c r="L246" i="36"/>
  <c r="L247" i="36"/>
  <c r="L249" i="36"/>
  <c r="L188" i="36"/>
  <c r="L190" i="36"/>
  <c r="M187" i="36"/>
  <c r="M188" i="36"/>
  <c r="M190" i="36"/>
  <c r="N187" i="36"/>
  <c r="N188" i="36"/>
  <c r="N190" i="36"/>
  <c r="O187" i="36"/>
  <c r="O188" i="36"/>
  <c r="O190" i="36"/>
  <c r="P187" i="36"/>
  <c r="P190" i="36"/>
  <c r="Q187" i="36"/>
  <c r="Q190" i="36"/>
  <c r="Q191" i="36"/>
  <c r="Q94" i="36"/>
  <c r="P191" i="36"/>
  <c r="P94" i="36"/>
  <c r="O191" i="36"/>
  <c r="O94" i="36"/>
  <c r="N191" i="36"/>
  <c r="N94" i="36"/>
  <c r="M191" i="36"/>
  <c r="M94" i="36"/>
  <c r="L191" i="36"/>
  <c r="L94" i="36"/>
  <c r="E27" i="3"/>
  <c r="E28" i="3"/>
  <c r="J36" i="3"/>
  <c r="E33" i="3"/>
  <c r="J27" i="3"/>
  <c r="B40" i="3"/>
  <c r="J26" i="3"/>
  <c r="P181" i="36"/>
  <c r="P184" i="36"/>
  <c r="P185" i="36"/>
  <c r="P19" i="36"/>
  <c r="Q181" i="36"/>
  <c r="Q184" i="36"/>
  <c r="Q185" i="36"/>
  <c r="Q19" i="36"/>
  <c r="G48" i="87"/>
  <c r="H48" i="87"/>
  <c r="I48" i="87"/>
  <c r="J48" i="87"/>
  <c r="K48" i="87"/>
  <c r="L48" i="87"/>
  <c r="M48" i="87"/>
  <c r="N48" i="87"/>
  <c r="O48" i="87"/>
  <c r="P48" i="87"/>
  <c r="Q48" i="87"/>
  <c r="R48" i="87"/>
  <c r="G49" i="87"/>
  <c r="H49" i="87"/>
  <c r="I49" i="87"/>
  <c r="J49" i="87"/>
  <c r="K49" i="87"/>
  <c r="L49" i="87"/>
  <c r="M49" i="87"/>
  <c r="N49" i="87"/>
  <c r="O49" i="87"/>
  <c r="P49" i="87"/>
  <c r="Q49" i="87"/>
  <c r="R49" i="87"/>
  <c r="V18" i="87"/>
  <c r="V17" i="87"/>
  <c r="J18" i="87"/>
  <c r="K18" i="87"/>
  <c r="L18" i="87"/>
  <c r="M18" i="87"/>
  <c r="N18" i="87"/>
  <c r="J19" i="87"/>
  <c r="K19" i="87"/>
  <c r="L19" i="87"/>
  <c r="M19" i="87"/>
  <c r="N19" i="87"/>
  <c r="V19" i="87"/>
  <c r="J20" i="87"/>
  <c r="K20" i="87"/>
  <c r="L20" i="87"/>
  <c r="M20" i="87"/>
  <c r="N20" i="87"/>
  <c r="G24" i="87"/>
  <c r="H24" i="87"/>
  <c r="I24" i="87"/>
  <c r="J24" i="87"/>
  <c r="K24" i="87"/>
  <c r="L24" i="87"/>
  <c r="M24" i="87"/>
  <c r="N24" i="87"/>
  <c r="O24" i="87"/>
  <c r="P24" i="87"/>
  <c r="Q24" i="87"/>
  <c r="R24" i="87"/>
  <c r="G26" i="87"/>
  <c r="H26" i="87"/>
  <c r="I26" i="87"/>
  <c r="J26" i="87"/>
  <c r="K26" i="87"/>
  <c r="L26" i="87"/>
  <c r="M26" i="87"/>
  <c r="N26" i="87"/>
  <c r="O26" i="87"/>
  <c r="P26" i="87"/>
  <c r="Q26" i="87"/>
  <c r="R26" i="87"/>
  <c r="G28" i="87"/>
  <c r="H28" i="87"/>
  <c r="I28" i="87"/>
  <c r="J28" i="87"/>
  <c r="K28" i="87"/>
  <c r="L28" i="87"/>
  <c r="M28" i="87"/>
  <c r="N28" i="87"/>
  <c r="O28" i="87"/>
  <c r="P28" i="87"/>
  <c r="Q28" i="87"/>
  <c r="R28" i="87"/>
  <c r="G29" i="87"/>
  <c r="H29" i="87"/>
  <c r="I29" i="87"/>
  <c r="J29" i="87"/>
  <c r="K29" i="87"/>
  <c r="L29" i="87"/>
  <c r="M29" i="87"/>
  <c r="N29" i="87"/>
  <c r="O29" i="87"/>
  <c r="P29" i="87"/>
  <c r="Q29" i="87"/>
  <c r="R29" i="87"/>
  <c r="G30" i="87"/>
  <c r="H30" i="87"/>
  <c r="I30" i="87"/>
  <c r="J30" i="87"/>
  <c r="K30" i="87"/>
  <c r="L30" i="87"/>
  <c r="M30" i="87"/>
  <c r="N30" i="87"/>
  <c r="O30" i="87"/>
  <c r="P30" i="87"/>
  <c r="Q30" i="87"/>
  <c r="R30" i="87"/>
  <c r="G31" i="87"/>
  <c r="H31" i="87"/>
  <c r="I31" i="87"/>
  <c r="J31" i="87"/>
  <c r="K31" i="87"/>
  <c r="L31" i="87"/>
  <c r="M31" i="87"/>
  <c r="N31" i="87"/>
  <c r="O31" i="87"/>
  <c r="P31" i="87"/>
  <c r="Q31" i="87"/>
  <c r="R31" i="87"/>
  <c r="G36" i="87"/>
  <c r="H36" i="87"/>
  <c r="I36" i="87"/>
  <c r="J36" i="87"/>
  <c r="K36" i="87"/>
  <c r="L36" i="87"/>
  <c r="M36" i="87"/>
  <c r="N36" i="87"/>
  <c r="O36" i="87"/>
  <c r="P36" i="87"/>
  <c r="Q36" i="87"/>
  <c r="R36" i="87"/>
  <c r="G37" i="87"/>
  <c r="H37" i="87"/>
  <c r="I37" i="87"/>
  <c r="J37" i="87"/>
  <c r="K37" i="87"/>
  <c r="L37" i="87"/>
  <c r="M37" i="87"/>
  <c r="N37" i="87"/>
  <c r="O37" i="87"/>
  <c r="P37" i="87"/>
  <c r="Q37" i="87"/>
  <c r="R37" i="87"/>
  <c r="G38" i="87"/>
  <c r="H38" i="87"/>
  <c r="I38" i="87"/>
  <c r="J38" i="87"/>
  <c r="K38" i="87"/>
  <c r="L38" i="87"/>
  <c r="M38" i="87"/>
  <c r="N38" i="87"/>
  <c r="O38" i="87"/>
  <c r="P38" i="87"/>
  <c r="Q38" i="87"/>
  <c r="R38" i="87"/>
  <c r="G40" i="87"/>
  <c r="H40" i="87"/>
  <c r="I40" i="87"/>
  <c r="J40" i="87"/>
  <c r="K40" i="87"/>
  <c r="L40" i="87"/>
  <c r="M40" i="87"/>
  <c r="N40" i="87"/>
  <c r="O40" i="87"/>
  <c r="P40" i="87"/>
  <c r="Q40" i="87"/>
  <c r="R40" i="87"/>
  <c r="G41" i="87"/>
  <c r="H41" i="87"/>
  <c r="I41" i="87"/>
  <c r="J41" i="87"/>
  <c r="K41" i="87"/>
  <c r="L41" i="87"/>
  <c r="M41" i="87"/>
  <c r="N41" i="87"/>
  <c r="O41" i="87"/>
  <c r="P41" i="87"/>
  <c r="Q41" i="87"/>
  <c r="R41" i="87"/>
  <c r="G42" i="87"/>
  <c r="H42" i="87"/>
  <c r="I42" i="87"/>
  <c r="J42" i="87"/>
  <c r="K42" i="87"/>
  <c r="L42" i="87"/>
  <c r="M42" i="87"/>
  <c r="N42" i="87"/>
  <c r="O42" i="87"/>
  <c r="P42" i="87"/>
  <c r="Q42" i="87"/>
  <c r="R42" i="87"/>
  <c r="G43" i="87"/>
  <c r="H43" i="87"/>
  <c r="I43" i="87"/>
  <c r="J43" i="87"/>
  <c r="K43" i="87"/>
  <c r="L43" i="87"/>
  <c r="M43" i="87"/>
  <c r="N43" i="87"/>
  <c r="O43" i="87"/>
  <c r="P43" i="87"/>
  <c r="Q43" i="87"/>
  <c r="R43" i="87"/>
  <c r="G60" i="87"/>
  <c r="H60" i="87"/>
  <c r="I60" i="87"/>
  <c r="J60" i="87"/>
  <c r="K60" i="87"/>
  <c r="L60" i="87"/>
  <c r="M60" i="87"/>
  <c r="N60" i="87"/>
  <c r="O60" i="87"/>
  <c r="P60" i="87"/>
  <c r="Q60" i="87"/>
  <c r="R60" i="87"/>
  <c r="G61" i="87"/>
  <c r="H61" i="87"/>
  <c r="I61" i="87"/>
  <c r="J61" i="87"/>
  <c r="K61" i="87"/>
  <c r="L61" i="87"/>
  <c r="M61" i="87"/>
  <c r="N61" i="87"/>
  <c r="O61" i="87"/>
  <c r="P61" i="87"/>
  <c r="Q61" i="87"/>
  <c r="R61" i="87"/>
  <c r="G62" i="87"/>
  <c r="H62" i="87"/>
  <c r="I62" i="87"/>
  <c r="J62" i="87"/>
  <c r="K62" i="87"/>
  <c r="L62" i="87"/>
  <c r="M62" i="87"/>
  <c r="N62" i="87"/>
  <c r="O62" i="87"/>
  <c r="P62" i="87"/>
  <c r="Q62" i="87"/>
  <c r="R62" i="87"/>
  <c r="G63" i="87"/>
  <c r="H63" i="87"/>
  <c r="I63" i="87"/>
  <c r="J63" i="87"/>
  <c r="K63" i="87"/>
  <c r="L63" i="87"/>
  <c r="M63" i="87"/>
  <c r="N63" i="87"/>
  <c r="O63" i="87"/>
  <c r="P63" i="87"/>
  <c r="Q63" i="87"/>
  <c r="R63" i="87"/>
  <c r="G64" i="87"/>
  <c r="H64" i="87"/>
  <c r="I64" i="87"/>
  <c r="J64" i="87"/>
  <c r="K64" i="87"/>
  <c r="L64" i="87"/>
  <c r="M64" i="87"/>
  <c r="N64" i="87"/>
  <c r="O64" i="87"/>
  <c r="P64" i="87"/>
  <c r="Q64" i="87"/>
  <c r="R64" i="87"/>
  <c r="G65" i="87"/>
  <c r="H65" i="87"/>
  <c r="I65" i="87"/>
  <c r="J65" i="87"/>
  <c r="K65" i="87"/>
  <c r="L65" i="87"/>
  <c r="M65" i="87"/>
  <c r="N65" i="87"/>
  <c r="O65" i="87"/>
  <c r="P65" i="87"/>
  <c r="Q65" i="87"/>
  <c r="R65" i="87"/>
  <c r="G66" i="87"/>
  <c r="H66" i="87"/>
  <c r="I66" i="87"/>
  <c r="J66" i="87"/>
  <c r="K66" i="87"/>
  <c r="L66" i="87"/>
  <c r="M66" i="87"/>
  <c r="N66" i="87"/>
  <c r="O66" i="87"/>
  <c r="P66" i="87"/>
  <c r="Q66" i="87"/>
  <c r="R66" i="87"/>
  <c r="G67" i="87"/>
  <c r="H67" i="87"/>
  <c r="I67" i="87"/>
  <c r="J67" i="87"/>
  <c r="K67" i="87"/>
  <c r="L67" i="87"/>
  <c r="M67" i="87"/>
  <c r="N67" i="87"/>
  <c r="O67" i="87"/>
  <c r="P67" i="87"/>
  <c r="Q67" i="87"/>
  <c r="R67" i="87"/>
  <c r="G72" i="87"/>
  <c r="H72" i="87"/>
  <c r="I72" i="87"/>
  <c r="J72" i="87"/>
  <c r="K72" i="87"/>
  <c r="L72" i="87"/>
  <c r="M72" i="87"/>
  <c r="N72" i="87"/>
  <c r="O72" i="87"/>
  <c r="P72" i="87"/>
  <c r="Q72" i="87"/>
  <c r="R72" i="87"/>
  <c r="G73" i="87"/>
  <c r="H73" i="87"/>
  <c r="I73" i="87"/>
  <c r="J73" i="87"/>
  <c r="K73" i="87"/>
  <c r="L73" i="87"/>
  <c r="M73" i="87"/>
  <c r="N73" i="87"/>
  <c r="O73" i="87"/>
  <c r="P73" i="87"/>
  <c r="Q73" i="87"/>
  <c r="R73" i="87"/>
  <c r="G74" i="87"/>
  <c r="H74" i="87"/>
  <c r="I74" i="87"/>
  <c r="J74" i="87"/>
  <c r="K74" i="87"/>
  <c r="L74" i="87"/>
  <c r="M74" i="87"/>
  <c r="N74" i="87"/>
  <c r="O74" i="87"/>
  <c r="P74" i="87"/>
  <c r="Q74" i="87"/>
  <c r="R74" i="87"/>
  <c r="G75" i="87"/>
  <c r="H75" i="87"/>
  <c r="I75" i="87"/>
  <c r="J75" i="87"/>
  <c r="K75" i="87"/>
  <c r="L75" i="87"/>
  <c r="M75" i="87"/>
  <c r="N75" i="87"/>
  <c r="O75" i="87"/>
  <c r="P75" i="87"/>
  <c r="Q75" i="87"/>
  <c r="R75" i="87"/>
  <c r="G76" i="87"/>
  <c r="H76" i="87"/>
  <c r="I76" i="87"/>
  <c r="J76" i="87"/>
  <c r="K76" i="87"/>
  <c r="L76" i="87"/>
  <c r="M76" i="87"/>
  <c r="N76" i="87"/>
  <c r="O76" i="87"/>
  <c r="P76" i="87"/>
  <c r="Q76" i="87"/>
  <c r="R76" i="87"/>
  <c r="G77" i="87"/>
  <c r="H77" i="87"/>
  <c r="I77" i="87"/>
  <c r="J77" i="87"/>
  <c r="K77" i="87"/>
  <c r="L77" i="87"/>
  <c r="M77" i="87"/>
  <c r="N77" i="87"/>
  <c r="O77" i="87"/>
  <c r="P77" i="87"/>
  <c r="Q77" i="87"/>
  <c r="R77" i="87"/>
  <c r="G78" i="87"/>
  <c r="H78" i="87"/>
  <c r="I78" i="87"/>
  <c r="J78" i="87"/>
  <c r="K78" i="87"/>
  <c r="L78" i="87"/>
  <c r="M78" i="87"/>
  <c r="N78" i="87"/>
  <c r="O78" i="87"/>
  <c r="P78" i="87"/>
  <c r="Q78" i="87"/>
  <c r="R78" i="87"/>
  <c r="G79" i="87"/>
  <c r="H79" i="87"/>
  <c r="I79" i="87"/>
  <c r="J79" i="87"/>
  <c r="K79" i="87"/>
  <c r="L79" i="87"/>
  <c r="M79" i="87"/>
  <c r="N79" i="87"/>
  <c r="O79" i="87"/>
  <c r="P79" i="87"/>
  <c r="Q79" i="87"/>
  <c r="R79" i="87"/>
  <c r="Q2" i="36"/>
  <c r="L11" i="36"/>
  <c r="M11" i="36"/>
  <c r="N11" i="36"/>
  <c r="O11" i="36"/>
  <c r="P11" i="36"/>
  <c r="Q11" i="36"/>
  <c r="L13" i="36"/>
  <c r="M13" i="36"/>
  <c r="N13" i="36"/>
  <c r="O13" i="36"/>
  <c r="P13" i="36"/>
  <c r="Q13" i="36"/>
  <c r="L14" i="36"/>
  <c r="M14" i="36"/>
  <c r="N14" i="36"/>
  <c r="O14" i="36"/>
  <c r="P14" i="36"/>
  <c r="Q14" i="36"/>
  <c r="L15" i="36"/>
  <c r="M15" i="36"/>
  <c r="N15" i="36"/>
  <c r="O15" i="36"/>
  <c r="P15" i="36"/>
  <c r="Q15" i="36"/>
  <c r="L16" i="36"/>
  <c r="M16" i="36"/>
  <c r="N16" i="36"/>
  <c r="O16" i="36"/>
  <c r="P16" i="36"/>
  <c r="Q16" i="36"/>
  <c r="L18" i="36"/>
  <c r="M18" i="36"/>
  <c r="N18" i="36"/>
  <c r="O18" i="36"/>
  <c r="P18" i="36"/>
  <c r="Q18" i="36"/>
  <c r="L20" i="36"/>
  <c r="M20" i="36"/>
  <c r="N20" i="36"/>
  <c r="O20" i="36"/>
  <c r="P20" i="36"/>
  <c r="Q20" i="36"/>
  <c r="L30" i="36"/>
  <c r="M30" i="36"/>
  <c r="N30" i="36"/>
  <c r="O30" i="36"/>
  <c r="P30" i="36"/>
  <c r="Q30" i="36"/>
  <c r="L32" i="36"/>
  <c r="M32" i="36"/>
  <c r="N32" i="36"/>
  <c r="O32" i="36"/>
  <c r="P32" i="36"/>
  <c r="Q32" i="36"/>
  <c r="L33" i="36"/>
  <c r="M33" i="36"/>
  <c r="N33" i="36"/>
  <c r="O33" i="36"/>
  <c r="P33" i="36"/>
  <c r="Q33" i="36"/>
  <c r="L44" i="36"/>
  <c r="M44" i="36"/>
  <c r="N44" i="36"/>
  <c r="O44" i="36"/>
  <c r="P44" i="36"/>
  <c r="Q44" i="36"/>
  <c r="L52" i="36"/>
  <c r="M52" i="36"/>
  <c r="N52" i="36"/>
  <c r="O52" i="36"/>
  <c r="P52" i="36"/>
  <c r="Q52" i="36"/>
  <c r="L53" i="36"/>
  <c r="M53" i="36"/>
  <c r="N53" i="36"/>
  <c r="O53" i="36"/>
  <c r="P53" i="36"/>
  <c r="Q53" i="36"/>
  <c r="L58" i="36"/>
  <c r="M58" i="36"/>
  <c r="N58" i="36"/>
  <c r="O58" i="36"/>
  <c r="P58" i="36"/>
  <c r="Q58" i="36"/>
  <c r="L64" i="36"/>
  <c r="M64" i="36"/>
  <c r="N64" i="36"/>
  <c r="O64" i="36"/>
  <c r="P64" i="36"/>
  <c r="Q64" i="36"/>
  <c r="M68" i="36"/>
  <c r="N68" i="36"/>
  <c r="O68" i="36"/>
  <c r="P68" i="36"/>
  <c r="Q68" i="36"/>
  <c r="L69" i="36"/>
  <c r="M69" i="36"/>
  <c r="N69" i="36"/>
  <c r="O69" i="36"/>
  <c r="P69" i="36"/>
  <c r="Q69" i="36"/>
  <c r="L71" i="36"/>
  <c r="M71" i="36"/>
  <c r="N71" i="36"/>
  <c r="O71" i="36"/>
  <c r="P71" i="36"/>
  <c r="Q71" i="36"/>
  <c r="L75" i="36"/>
  <c r="M75" i="36"/>
  <c r="N75" i="36"/>
  <c r="O75" i="36"/>
  <c r="P75" i="36"/>
  <c r="Q75" i="36"/>
  <c r="L76" i="36"/>
  <c r="M76" i="36"/>
  <c r="N76" i="36"/>
  <c r="O76" i="36"/>
  <c r="P76" i="36"/>
  <c r="Q76" i="36"/>
  <c r="L78" i="36"/>
  <c r="M78" i="36"/>
  <c r="N78" i="36"/>
  <c r="O78" i="36"/>
  <c r="P78" i="36"/>
  <c r="Q78" i="36"/>
  <c r="L79" i="36"/>
  <c r="M79" i="36"/>
  <c r="N79" i="36"/>
  <c r="O79" i="36"/>
  <c r="P79" i="36"/>
  <c r="Q79" i="36"/>
  <c r="L83" i="36"/>
  <c r="M83" i="36"/>
  <c r="N83" i="36"/>
  <c r="O83" i="36"/>
  <c r="P83" i="36"/>
  <c r="Q83" i="36"/>
  <c r="L86" i="36"/>
  <c r="M86" i="36"/>
  <c r="N86" i="36"/>
  <c r="O86" i="36"/>
  <c r="P86" i="36"/>
  <c r="Q86" i="36"/>
  <c r="L87" i="36"/>
  <c r="M87" i="36"/>
  <c r="N87" i="36"/>
  <c r="O87" i="36"/>
  <c r="P87" i="36"/>
  <c r="Q87" i="36"/>
  <c r="L96" i="36"/>
  <c r="M96" i="36"/>
  <c r="N96" i="36"/>
  <c r="O96" i="36"/>
  <c r="P96" i="36"/>
  <c r="Q96" i="36"/>
  <c r="L97" i="36"/>
  <c r="M97" i="36"/>
  <c r="N97" i="36"/>
  <c r="O97" i="36"/>
  <c r="P97" i="36"/>
  <c r="Q97" i="36"/>
  <c r="L99" i="36"/>
  <c r="M99" i="36"/>
  <c r="N99" i="36"/>
  <c r="O99" i="36"/>
  <c r="P99" i="36"/>
  <c r="Q99" i="36"/>
  <c r="M101" i="36"/>
  <c r="N101" i="36"/>
  <c r="O101" i="36"/>
  <c r="P101" i="36"/>
  <c r="Q101" i="36"/>
  <c r="L102" i="36"/>
  <c r="M102" i="36"/>
  <c r="N102" i="36"/>
  <c r="O102" i="36"/>
  <c r="P102" i="36"/>
  <c r="Q102" i="36"/>
  <c r="M104" i="36"/>
  <c r="N104" i="36"/>
  <c r="O104" i="36"/>
  <c r="P104" i="36"/>
  <c r="Q104" i="36"/>
  <c r="L105" i="36"/>
  <c r="M105" i="36"/>
  <c r="N105" i="36"/>
  <c r="O105" i="36"/>
  <c r="P105" i="36"/>
  <c r="Q105" i="36"/>
  <c r="M113" i="36"/>
  <c r="N113" i="36"/>
  <c r="O113" i="36"/>
  <c r="P113" i="36"/>
  <c r="Q113" i="36"/>
  <c r="M114" i="36"/>
  <c r="N114" i="36"/>
  <c r="O114" i="36"/>
  <c r="P114" i="36"/>
  <c r="Q114" i="36"/>
  <c r="L115" i="36"/>
  <c r="M115" i="36"/>
  <c r="N115" i="36"/>
  <c r="O115" i="36"/>
  <c r="P115" i="36"/>
  <c r="Q115" i="36"/>
  <c r="L117" i="36"/>
  <c r="M117" i="36"/>
  <c r="N117" i="36"/>
  <c r="O117" i="36"/>
  <c r="P117" i="36"/>
  <c r="Q117" i="36"/>
  <c r="L118" i="36"/>
  <c r="M118" i="36"/>
  <c r="N118" i="36"/>
  <c r="O118" i="36"/>
  <c r="P118" i="36"/>
  <c r="Q118" i="36"/>
  <c r="L121" i="36"/>
  <c r="M121" i="36"/>
  <c r="N121" i="36"/>
  <c r="O121" i="36"/>
  <c r="P121" i="36"/>
  <c r="Q121" i="36"/>
  <c r="L125" i="36"/>
  <c r="M125" i="36"/>
  <c r="N125" i="36"/>
  <c r="O125" i="36"/>
  <c r="P125" i="36"/>
  <c r="Q125" i="36"/>
  <c r="L128" i="36"/>
  <c r="M128" i="36"/>
  <c r="N128" i="36"/>
  <c r="O128" i="36"/>
  <c r="P128" i="36"/>
  <c r="Q128" i="36"/>
  <c r="L129" i="36"/>
  <c r="M129" i="36"/>
  <c r="N129" i="36"/>
  <c r="O129" i="36"/>
  <c r="P129" i="36"/>
  <c r="Q129" i="36"/>
  <c r="L138" i="36"/>
  <c r="M138" i="36"/>
  <c r="N138" i="36"/>
  <c r="O138" i="36"/>
  <c r="P138" i="36"/>
  <c r="Q138" i="36"/>
  <c r="L139" i="36"/>
  <c r="M139" i="36"/>
  <c r="N139" i="36"/>
  <c r="O139" i="36"/>
  <c r="P139" i="36"/>
  <c r="Q139" i="36"/>
  <c r="L143" i="36"/>
  <c r="M143" i="36"/>
  <c r="N143" i="36"/>
  <c r="O143" i="36"/>
  <c r="P143" i="36"/>
  <c r="Q143" i="36"/>
  <c r="L144" i="36"/>
  <c r="M144" i="36"/>
  <c r="N144" i="36"/>
  <c r="O144" i="36"/>
  <c r="P144" i="36"/>
  <c r="Q144" i="36"/>
  <c r="L145" i="36"/>
  <c r="M145" i="36"/>
  <c r="N145" i="36"/>
  <c r="O145" i="36"/>
  <c r="P145" i="36"/>
  <c r="Q145" i="36"/>
  <c r="L166" i="36"/>
  <c r="M166" i="36"/>
  <c r="N166" i="36"/>
  <c r="O166" i="36"/>
  <c r="P166" i="36"/>
  <c r="Q166" i="36"/>
  <c r="L167" i="36"/>
  <c r="M167" i="36"/>
  <c r="N167" i="36"/>
  <c r="O167" i="36"/>
  <c r="P167" i="36"/>
  <c r="Q167" i="36"/>
  <c r="L168" i="36"/>
  <c r="M168" i="36"/>
  <c r="N168" i="36"/>
  <c r="O168" i="36"/>
  <c r="P168" i="36"/>
  <c r="Q168" i="36"/>
  <c r="L169" i="36"/>
  <c r="M169" i="36"/>
  <c r="N169" i="36"/>
  <c r="O169" i="36"/>
  <c r="P169" i="36"/>
  <c r="Q169" i="36"/>
  <c r="L170" i="36"/>
  <c r="M170" i="36"/>
  <c r="N170" i="36"/>
  <c r="O170" i="36"/>
  <c r="P170" i="36"/>
  <c r="Q170" i="36"/>
  <c r="L171" i="36"/>
  <c r="M171" i="36"/>
  <c r="N171" i="36"/>
  <c r="O171" i="36"/>
  <c r="P171" i="36"/>
  <c r="Q171" i="36"/>
  <c r="L173" i="36"/>
  <c r="M173" i="36"/>
  <c r="N173" i="36"/>
  <c r="O173" i="36"/>
  <c r="P173" i="36"/>
  <c r="Q173" i="36"/>
  <c r="L174" i="36"/>
  <c r="M174" i="36"/>
  <c r="N174" i="36"/>
  <c r="O174" i="36"/>
  <c r="P174" i="36"/>
  <c r="Q174" i="36"/>
  <c r="L175" i="36"/>
  <c r="M175" i="36"/>
  <c r="N175" i="36"/>
  <c r="O175" i="36"/>
  <c r="P175" i="36"/>
  <c r="Q175" i="36"/>
  <c r="L176" i="36"/>
  <c r="M176" i="36"/>
  <c r="N176" i="36"/>
  <c r="O176" i="36"/>
  <c r="P176" i="36"/>
  <c r="Q176" i="36"/>
  <c r="M207" i="36"/>
  <c r="N207" i="36"/>
  <c r="O207" i="36"/>
  <c r="P207" i="36"/>
  <c r="Q207" i="36"/>
  <c r="L210" i="36"/>
  <c r="M210" i="36"/>
  <c r="N210" i="36"/>
  <c r="O210" i="36"/>
  <c r="P210" i="36"/>
  <c r="Q210" i="36"/>
  <c r="L243" i="36"/>
  <c r="M243" i="36"/>
  <c r="N243" i="36"/>
  <c r="O243" i="36"/>
  <c r="L250" i="36"/>
  <c r="M250" i="36"/>
  <c r="N250" i="36"/>
  <c r="O250" i="36"/>
  <c r="L251" i="36"/>
  <c r="M251" i="36"/>
  <c r="N251" i="36"/>
  <c r="O251" i="36"/>
  <c r="L252" i="36"/>
  <c r="M252" i="36"/>
  <c r="N252" i="36"/>
  <c r="O252" i="36"/>
  <c r="L254" i="36"/>
  <c r="M254" i="36"/>
  <c r="N254" i="36"/>
  <c r="O254" i="36"/>
  <c r="L256" i="36"/>
  <c r="M256" i="36"/>
  <c r="N256" i="36"/>
  <c r="O256" i="3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Brett Strause</author>
  </authors>
  <commentList>
    <comment ref="B23" authorId="0" shapeId="0" xr:uid="{00000000-0006-0000-0100-000001000000}">
      <text>
        <r>
          <rPr>
            <sz val="9"/>
            <color indexed="81"/>
            <rFont val="Tahoma"/>
            <family val="2"/>
          </rPr>
          <t>Note: Default methodology is to use Options Outstanding in all analyses; however, in some cases, Options Exercisable may be used for trading valuations</t>
        </r>
      </text>
    </comment>
    <comment ref="D33" authorId="0" shapeId="0" xr:uid="{00000000-0006-0000-0100-000002000000}">
      <text>
        <r>
          <rPr>
            <sz val="9"/>
            <color indexed="81"/>
            <rFont val="Tahoma"/>
            <family val="2"/>
          </rPr>
          <t>Enter street estimates from Wall Street research provider to reference when making street projections.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Brett Strause</author>
  </authors>
  <commentList>
    <comment ref="B30" authorId="0" shapeId="0" xr:uid="{00000000-0006-0000-0200-000001000000}">
      <text>
        <r>
          <rPr>
            <sz val="9"/>
            <color indexed="81"/>
            <rFont val="Tahoma"/>
            <family val="2"/>
          </rPr>
          <t>If no minority interest, don't show line item in output (cut don’t' copy)</t>
        </r>
      </text>
    </comment>
    <comment ref="B31" authorId="0" shapeId="0" xr:uid="{00000000-0006-0000-0200-000002000000}">
      <text>
        <r>
          <rPr>
            <sz val="9"/>
            <color indexed="81"/>
            <rFont val="Tahoma"/>
            <family val="2"/>
          </rPr>
          <t>If no minority interest, don't show line item in output (cut don’t' copy)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Brett Strause</author>
    <author>James</author>
    <author>Michael Stack</author>
  </authors>
  <commentList>
    <comment ref="B6" authorId="0" shapeId="0" xr:uid="{00000000-0006-0000-0600-000001000000}">
      <text>
        <r>
          <rPr>
            <sz val="9"/>
            <color indexed="81"/>
            <rFont val="Tahoma"/>
            <family val="2"/>
          </rPr>
          <t>Historical Income Statement line items linked to values adjusted for non-recurrings</t>
        </r>
      </text>
    </comment>
    <comment ref="M107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Wall street consensus</t>
        </r>
      </text>
    </comment>
    <comment ref="N107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>Wall street consensus</t>
        </r>
      </text>
    </comment>
    <comment ref="O107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>Wall street consensus</t>
        </r>
      </text>
    </comment>
    <comment ref="P107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Wall street consensus</t>
        </r>
      </text>
    </comment>
    <comment ref="E156" authorId="0" shapeId="0" xr:uid="{00000000-0006-0000-0600-000006000000}">
      <text>
        <r>
          <rPr>
            <sz val="9"/>
            <color indexed="81"/>
            <rFont val="Tahoma"/>
            <family val="2"/>
          </rPr>
          <t>Enter "F" for fixed rate or "L" for LIBOR-based rate</t>
        </r>
      </text>
    </comment>
    <comment ref="G185" authorId="2" shapeId="0" xr:uid="{00000000-0006-0000-0600-000007000000}">
      <text>
        <r>
          <rPr>
            <sz val="8"/>
            <color indexed="81"/>
            <rFont val="Tahoma"/>
            <family val="2"/>
          </rPr>
          <t>ie - 0.25 = repo end Q1
      0.50 = repo end Q2
      0.75 = repo end Q3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Brett Strause</author>
  </authors>
  <commentList>
    <comment ref="B16" authorId="0" shapeId="0" xr:uid="{00000000-0006-0000-0700-000001000000}">
      <text>
        <r>
          <rPr>
            <sz val="9"/>
            <color indexed="81"/>
            <rFont val="Tahoma"/>
            <family val="2"/>
          </rPr>
          <t>Check: Generally, D&amp;A and Capex should start to converge towards the end of the projection period</t>
        </r>
      </text>
    </comment>
    <comment ref="B17" authorId="0" shapeId="0" xr:uid="{00000000-0006-0000-0700-000002000000}">
      <text>
        <r>
          <rPr>
            <sz val="9"/>
            <color indexed="81"/>
            <rFont val="Tahoma"/>
            <family val="2"/>
          </rPr>
          <t>Check: Generally, D&amp;A and Capex should start to converge towards the end of the projection period</t>
        </r>
      </text>
    </comment>
    <comment ref="J55" authorId="0" shapeId="0" xr:uid="{00000000-0006-0000-0700-000003000000}">
      <text>
        <r>
          <rPr>
            <sz val="9"/>
            <color indexed="81"/>
            <rFont val="Tahoma"/>
            <family val="2"/>
          </rPr>
          <t>Check date formulas - may have to edit depending on fiscal year end date</t>
        </r>
      </text>
    </comment>
  </commentList>
</comments>
</file>

<file path=xl/sharedStrings.xml><?xml version="1.0" encoding="utf-8"?>
<sst xmlns="http://schemas.openxmlformats.org/spreadsheetml/2006/main" count="509" uniqueCount="397">
  <si>
    <t>Enterprise Value</t>
  </si>
  <si>
    <t>Balance</t>
  </si>
  <si>
    <t>Assets</t>
  </si>
  <si>
    <t>Cash</t>
  </si>
  <si>
    <t>TOTAL ASSETS</t>
  </si>
  <si>
    <t>Liabilities and Shareholders' Equity</t>
  </si>
  <si>
    <t>Minority Interest</t>
  </si>
  <si>
    <t>Preferred Stock</t>
  </si>
  <si>
    <t>Total Debt / Total Capitalization</t>
  </si>
  <si>
    <t>EBITDA</t>
  </si>
  <si>
    <t>Net Income</t>
  </si>
  <si>
    <t>Total</t>
  </si>
  <si>
    <t>Interest Expense, Net</t>
  </si>
  <si>
    <t>Pre-Tax Income</t>
  </si>
  <si>
    <t>Calculation of EBITDA</t>
  </si>
  <si>
    <t>Depreciation and Amortization</t>
  </si>
  <si>
    <t>Growth Rates</t>
  </si>
  <si>
    <t>Stock Issues/(Repurchases)</t>
  </si>
  <si>
    <t>Cash at End of Period</t>
  </si>
  <si>
    <t>Revolver - Beginning Balance</t>
  </si>
  <si>
    <t>Revolver - Ending Balance</t>
  </si>
  <si>
    <t>Revolver</t>
  </si>
  <si>
    <t>Total Debt</t>
  </si>
  <si>
    <t>Total Capitalization</t>
  </si>
  <si>
    <t>Scheduled Principal Repayments</t>
  </si>
  <si>
    <t>Total Principal Repayments</t>
  </si>
  <si>
    <t>Total Interest Expense</t>
  </si>
  <si>
    <t>Ownership</t>
  </si>
  <si>
    <t>Selected Inputs</t>
  </si>
  <si>
    <t>Acquiror</t>
  </si>
  <si>
    <t>Stock Price</t>
  </si>
  <si>
    <t>Options Outstanding</t>
  </si>
  <si>
    <t>Option Equivalent Shares</t>
  </si>
  <si>
    <t>LTM EPS</t>
  </si>
  <si>
    <t>LTM</t>
  </si>
  <si>
    <t>Shares Outstanding</t>
  </si>
  <si>
    <t>Long-Term Debt</t>
  </si>
  <si>
    <t>Interest Expense</t>
  </si>
  <si>
    <t>Capital Expenditures</t>
  </si>
  <si>
    <t>Income Statement</t>
  </si>
  <si>
    <t>Balance Sheet</t>
  </si>
  <si>
    <t>Cash Flow Statement</t>
  </si>
  <si>
    <t>Selected Balance Sheet Assumptions</t>
  </si>
  <si>
    <t>(Amounts in Millions, Except Per Share Data)</t>
  </si>
  <si>
    <t>Today's Date</t>
  </si>
  <si>
    <t>Income Taxes</t>
  </si>
  <si>
    <t>Capitalization</t>
  </si>
  <si>
    <t>Equity Value</t>
  </si>
  <si>
    <t xml:space="preserve">    TOTAL ASSETS</t>
  </si>
  <si>
    <t>Shareholders' Equity</t>
  </si>
  <si>
    <t>Cash at Beginning of Period</t>
  </si>
  <si>
    <t>Enterprise Value as a Multiple of:</t>
  </si>
  <si>
    <t>%</t>
  </si>
  <si>
    <t>Tax Rate</t>
  </si>
  <si>
    <t>Total Debt / EBITDA</t>
  </si>
  <si>
    <t>Shares</t>
  </si>
  <si>
    <t>Min. Cash</t>
  </si>
  <si>
    <t>per share</t>
  </si>
  <si>
    <t>Scheduled Debt Repayments</t>
  </si>
  <si>
    <t>Low</t>
  </si>
  <si>
    <t>High</t>
  </si>
  <si>
    <t>Diluted Shares Outstanding</t>
  </si>
  <si>
    <t>Selected Income Statement Assumptions</t>
  </si>
  <si>
    <t>Case</t>
  </si>
  <si>
    <t>CAGR</t>
  </si>
  <si>
    <t>Margins</t>
  </si>
  <si>
    <t>As of</t>
  </si>
  <si>
    <t>Operating Activities</t>
  </si>
  <si>
    <t>Investing Activities</t>
  </si>
  <si>
    <t>Financing Activities</t>
  </si>
  <si>
    <t>Diluted Weighted Average Shares</t>
  </si>
  <si>
    <t>Diluted Weighted Average Shares Outstanding</t>
  </si>
  <si>
    <t xml:space="preserve">    TOTAL LIABILITIES AND EQUITY</t>
  </si>
  <si>
    <t>Cash &amp; Cash Equivalents at Beginning of Period</t>
  </si>
  <si>
    <t>Cash &amp; Cash Equivalents at End of Period</t>
  </si>
  <si>
    <t>Stock Information</t>
  </si>
  <si>
    <t>Ticker Symbol</t>
  </si>
  <si>
    <t xml:space="preserve">As of </t>
  </si>
  <si>
    <t>Stock Exchange</t>
  </si>
  <si>
    <t>52-Week Stock Price</t>
  </si>
  <si>
    <t>Annual Dividend</t>
  </si>
  <si>
    <t>Dividend Yield</t>
  </si>
  <si>
    <t>Dividend Payout Ratio</t>
  </si>
  <si>
    <t>Market Capitalization and Firm Value</t>
  </si>
  <si>
    <t>Valuation</t>
  </si>
  <si>
    <t>Percent of</t>
  </si>
  <si>
    <t>Public and Other</t>
  </si>
  <si>
    <t>Fiscal Year End</t>
  </si>
  <si>
    <t>Beneficial</t>
  </si>
  <si>
    <t>Other Insiders</t>
  </si>
  <si>
    <t>Transaction Effective Date</t>
  </si>
  <si>
    <t>Capitalization Summary and Calculation of Net Interest Expense</t>
  </si>
  <si>
    <t>Weighted Average Shares</t>
  </si>
  <si>
    <t>Other Long-Term Assets</t>
  </si>
  <si>
    <t>Other Long-Term Liabilities</t>
  </si>
  <si>
    <t>LTM Date</t>
  </si>
  <si>
    <t>Proxy Date</t>
  </si>
  <si>
    <t>Plus:  Total Debt</t>
  </si>
  <si>
    <t>Plus:  Minority Interest</t>
  </si>
  <si>
    <t>Plus:  Preferred Stock</t>
  </si>
  <si>
    <t>Less:  Cash &amp; Cash Equivalents</t>
  </si>
  <si>
    <t>Strike</t>
  </si>
  <si>
    <t>Net Sales</t>
  </si>
  <si>
    <t>LTM Net Sales</t>
  </si>
  <si>
    <t>Credit Statistics</t>
  </si>
  <si>
    <t>Net Debt / EBITDA</t>
  </si>
  <si>
    <t>(Amounts in Millions)</t>
  </si>
  <si>
    <t>Total Non-Recurring Items After Tax</t>
  </si>
  <si>
    <t>Check</t>
  </si>
  <si>
    <t>% of Sales</t>
  </si>
  <si>
    <t>Diluted EPS</t>
  </si>
  <si>
    <t>Calculation of Shares Outstanding</t>
  </si>
  <si>
    <t>Net Debt</t>
  </si>
  <si>
    <t>Avg. Exercise Price</t>
  </si>
  <si>
    <t>Source</t>
  </si>
  <si>
    <t>Case Name</t>
  </si>
  <si>
    <t>Cash Flow from Operating Activities</t>
  </si>
  <si>
    <t>Cash Flow from Investing Activities</t>
  </si>
  <si>
    <t>Cash Flow from Financing Activities</t>
  </si>
  <si>
    <t>Amortization</t>
  </si>
  <si>
    <t>Goodwill</t>
  </si>
  <si>
    <t>Top 10 Institutions</t>
  </si>
  <si>
    <t>Revolver Beginning Balance</t>
  </si>
  <si>
    <t>Beginning Cash</t>
  </si>
  <si>
    <t>Free Cash Flow before Revolver</t>
  </si>
  <si>
    <t>Minimum Cash</t>
  </si>
  <si>
    <t>Revolver Ending Balance</t>
  </si>
  <si>
    <t>Borrowings / (Repayments)</t>
  </si>
  <si>
    <t>Borrowings / (Repayments) Under Revolver</t>
  </si>
  <si>
    <t>Interest Income</t>
  </si>
  <si>
    <t>Other Intangible Assets</t>
  </si>
  <si>
    <t>5-Year Stock Price</t>
  </si>
  <si>
    <t>Depreciation &amp; Amortization</t>
  </si>
  <si>
    <t>Credit Rating</t>
  </si>
  <si>
    <t>S&amp;P</t>
  </si>
  <si>
    <t>Moody's</t>
  </si>
  <si>
    <t>[ ]</t>
  </si>
  <si>
    <t>Revolver Size</t>
  </si>
  <si>
    <t>Balance Sheet Cash</t>
  </si>
  <si>
    <t>Date &amp; Calendarization Adjustments</t>
  </si>
  <si>
    <t>[ Source ]</t>
  </si>
  <si>
    <t>FYE Date</t>
  </si>
  <si>
    <t>LTG Rate</t>
  </si>
  <si>
    <t>Restricted Stock Units</t>
  </si>
  <si>
    <t>Last FY</t>
  </si>
  <si>
    <t>Co. Name</t>
  </si>
  <si>
    <t>Effect of Exchange Rates on Cash &amp; Cash Equivalents</t>
  </si>
  <si>
    <t xml:space="preserve">Non-Recurring Items </t>
  </si>
  <si>
    <t>Enter Charges as Positive</t>
  </si>
  <si>
    <t>Repurchased Shares</t>
  </si>
  <si>
    <t>Ending Shares</t>
  </si>
  <si>
    <t>Timing</t>
  </si>
  <si>
    <t>CAGR = Compounded Annual Growth Rate.</t>
  </si>
  <si>
    <t>[ a Case 2 ]</t>
  </si>
  <si>
    <t>[ a Case 3 ]</t>
  </si>
  <si>
    <t>[ a Case 4 ]</t>
  </si>
  <si>
    <t>[ a Case 5 ]</t>
  </si>
  <si>
    <t>Net Change in Cash</t>
  </si>
  <si>
    <t>Adjusted for Non-Recurring Items</t>
  </si>
  <si>
    <t>Total Non-Recurrings Before Tax</t>
  </si>
  <si>
    <t>Undrawn Revolver Fee</t>
  </si>
  <si>
    <t>LIBOR Curve</t>
  </si>
  <si>
    <t>Beginning</t>
  </si>
  <si>
    <t>Middle</t>
  </si>
  <si>
    <t>End</t>
  </si>
  <si>
    <t>Average</t>
  </si>
  <si>
    <t>Effective Interest Rates</t>
  </si>
  <si>
    <t>LIBOR Rates</t>
  </si>
  <si>
    <t>Margin</t>
  </si>
  <si>
    <t>Floor</t>
  </si>
  <si>
    <t>LIBOR</t>
  </si>
  <si>
    <t>L</t>
  </si>
  <si>
    <t>F</t>
  </si>
  <si>
    <t>Fixed /</t>
  </si>
  <si>
    <t>Fixed Rate</t>
  </si>
  <si>
    <t>Interest Rate Calculation</t>
  </si>
  <si>
    <t>Shares Issued</t>
  </si>
  <si>
    <t>Beginning Basic Shares Outstanding</t>
  </si>
  <si>
    <t>Beginning Diluted Shares Outstanding</t>
  </si>
  <si>
    <t>Basic Weighted Average Shares</t>
  </si>
  <si>
    <t>Inputs</t>
  </si>
  <si>
    <t>Consensus Street Estimates</t>
  </si>
  <si>
    <t>Shares Sold Short</t>
  </si>
  <si>
    <t>Short Int. as % of Shares Out.</t>
  </si>
  <si>
    <t>Taxes</t>
  </si>
  <si>
    <t>Income Tax Rate</t>
  </si>
  <si>
    <t>Dividends</t>
  </si>
  <si>
    <t>Other Investing Activities</t>
  </si>
  <si>
    <t xml:space="preserve">Depreciation </t>
  </si>
  <si>
    <t>Ticker</t>
  </si>
  <si>
    <t>Exchange</t>
  </si>
  <si>
    <t>Financial Information</t>
  </si>
  <si>
    <t>Average Daily Volume (3 Mo.)</t>
  </si>
  <si>
    <t>GAAP Financials</t>
  </si>
  <si>
    <t>(Adjusted) Margins</t>
  </si>
  <si>
    <t>(Adjusted) Growth Rates</t>
  </si>
  <si>
    <t>Tax Effect of Non-Recurrings</t>
  </si>
  <si>
    <t>Long-Term EPS Growth (a)</t>
  </si>
  <si>
    <t xml:space="preserve">  Shares Date</t>
  </si>
  <si>
    <t>Strictly Confidential</t>
  </si>
  <si>
    <t>Table of Contents</t>
  </si>
  <si>
    <t>Notes</t>
  </si>
  <si>
    <t>This Excel model is for educational purposes only and should not be used for any other reason.</t>
  </si>
  <si>
    <t>All content is Copyright material of CFI Education Inc.</t>
  </si>
  <si>
    <t>https://corporatefinanceinstitute.com/</t>
  </si>
  <si>
    <t>© 2019 CFI Education Inc.</t>
  </si>
  <si>
    <t xml:space="preserve">All rights reserved.  The contents of this publication, including but not limited to all written material, content layout, images, formulas, and code, are protected under international copyright and trademark laws.  </t>
  </si>
  <si>
    <t xml:space="preserve">No part of this publication may be modified, manipulated, reproduced, distributed, or transmitted in any form by any means, including photocopying, recording, or other electronic or mechanical methods, </t>
  </si>
  <si>
    <t>without prior written permission of the publisher, except in the case of certain noncommercial uses permitted by copyright law.</t>
  </si>
  <si>
    <t>Shareholder A</t>
  </si>
  <si>
    <t>Wall street consensus</t>
  </si>
  <si>
    <t>Research Provider</t>
  </si>
  <si>
    <t>Debt / EBITDA</t>
  </si>
  <si>
    <t>Operating Expenses</t>
  </si>
  <si>
    <t>Non-Recurrings Affecting Operating Expenses</t>
  </si>
  <si>
    <t>OpEx Margin</t>
  </si>
  <si>
    <t>Equity / Total Assets</t>
  </si>
  <si>
    <t>Debt / Equity Ratio</t>
  </si>
  <si>
    <t>Return on Equity</t>
  </si>
  <si>
    <t>Financial Ratios, Capitalization and Leverage Statistics</t>
  </si>
  <si>
    <t>Shares Outstanding (b)</t>
  </si>
  <si>
    <t>Option Equivalent Shares (c)</t>
  </si>
  <si>
    <t>Beneficial Ownership by Category (d)</t>
  </si>
  <si>
    <t>Operating Income</t>
  </si>
  <si>
    <t>Non-Recurrings Affecting Other Above Operating Income</t>
  </si>
  <si>
    <t>Non-Recurrings Affecting Other Below Operating Income</t>
  </si>
  <si>
    <r>
      <t xml:space="preserve">Total Non-Recurrings </t>
    </r>
    <r>
      <rPr>
        <u/>
        <sz val="10"/>
        <rFont val="Arial Narrow"/>
        <family val="2"/>
      </rPr>
      <t>Below</t>
    </r>
    <r>
      <rPr>
        <sz val="10"/>
        <rFont val="Arial Narrow"/>
        <family val="2"/>
      </rPr>
      <t xml:space="preserve"> Operating Income</t>
    </r>
  </si>
  <si>
    <r>
      <t xml:space="preserve">Total Non-Recurrings </t>
    </r>
    <r>
      <rPr>
        <u/>
        <sz val="10"/>
        <rFont val="Arial Narrow"/>
        <family val="2"/>
      </rPr>
      <t>Above</t>
    </r>
    <r>
      <rPr>
        <sz val="10"/>
        <rFont val="Arial Narrow"/>
        <family val="2"/>
      </rPr>
      <t xml:space="preserve"> Operating Income</t>
    </r>
  </si>
  <si>
    <t>EQR</t>
  </si>
  <si>
    <t>NYSE</t>
  </si>
  <si>
    <t>Depreciation</t>
  </si>
  <si>
    <t>Impairment</t>
  </si>
  <si>
    <t>Write-off of pursuit costs</t>
  </si>
  <si>
    <t>Distributions from unconsolidated entities – return on capital</t>
  </si>
  <si>
    <t>Compensation paid with Company Common Shares</t>
  </si>
  <si>
    <t>Changes in assets and liabilities:</t>
  </si>
  <si>
    <t>Investment in real estate – acquisitions</t>
  </si>
  <si>
    <t>Investment in real estate – development/other</t>
  </si>
  <si>
    <t>Capital expenditures to real estate</t>
  </si>
  <si>
    <t>Non-real estate capital additions</t>
  </si>
  <si>
    <t>Interest capitalized for real estate under development</t>
  </si>
  <si>
    <t>Proceeds from disposition of real estate, net</t>
  </si>
  <si>
    <t>Investments in unconsolidated entities</t>
  </si>
  <si>
    <t>Distributions from unconsolidated entities – return of capital</t>
  </si>
  <si>
    <t>Proceeds from sale of investment securities and other investments</t>
  </si>
  <si>
    <t>Debt financing costs</t>
  </si>
  <si>
    <t>Payment of offering costs</t>
  </si>
  <si>
    <t>Other financing activities, net</t>
  </si>
  <si>
    <t>Acquisition of Noncontrolling Interests – Partially Owned Properties</t>
  </si>
  <si>
    <t>Contributions – Noncontrolling Interests – Partially Owned Properties</t>
  </si>
  <si>
    <t>Accounts payable and accrued expenses</t>
  </si>
  <si>
    <t>Real estate taxes and insurance</t>
  </si>
  <si>
    <t>Property management</t>
  </si>
  <si>
    <t>General and administrative</t>
  </si>
  <si>
    <t>Accrued interest payable</t>
  </si>
  <si>
    <t>Distributions payable</t>
  </si>
  <si>
    <t>Proceeds from exercise of EQR options</t>
  </si>
  <si>
    <t>Contributions – Limited Partners</t>
  </si>
  <si>
    <t>Amortization of right-of-use assets</t>
  </si>
  <si>
    <t>Purchase of investment securities and other investments</t>
  </si>
  <si>
    <t>Investments in Real Estate, Net</t>
  </si>
  <si>
    <t>Net -gain loss on sales of investment securities and other investments</t>
  </si>
  <si>
    <t>Net -gain loss on sales of real estate properties</t>
  </si>
  <si>
    <t>Net -gain loss on sales of land parcels</t>
  </si>
  <si>
    <t>Net -gain loss on sales of discontinued operations</t>
  </si>
  <si>
    <t>Net -gain loss on debt extinguishment</t>
  </si>
  <si>
    <t>Realized/unrealized -gain loss on derivative instruments</t>
  </si>
  <si>
    <t>Increase -decrease in accounts payable and accrued expenses</t>
  </si>
  <si>
    <t>Increase -decrease in accrued interest payable</t>
  </si>
  <si>
    <t>Increase -decrease in other liabilities</t>
  </si>
  <si>
    <t>Increase -decrease in security deposits</t>
  </si>
  <si>
    <t>Net Cash Provided By (Used In Operating Activities</t>
  </si>
  <si>
    <t>Net Cash Provided By (Used In Investing Activities</t>
  </si>
  <si>
    <t>Proceeds from -payments on settlement of derivative instruments</t>
  </si>
  <si>
    <t>Proceeds from EQR’s Employee Share Purchase Plan -ESPP</t>
  </si>
  <si>
    <t>Net cash provided by -used for financing activities</t>
  </si>
  <si>
    <t>Net Increase/(Decrease in Cash &amp; Cash Equivalents</t>
  </si>
  <si>
    <t>Increase decrease in other assets</t>
  </si>
  <si>
    <t>Income loss from investments in unconsolidated entities</t>
  </si>
  <si>
    <t>Net gain -loss on sales of real estate properties</t>
  </si>
  <si>
    <t>Net gain -loss on sales of land parcels</t>
  </si>
  <si>
    <t>Expenses</t>
  </si>
  <si>
    <t>Revenue</t>
  </si>
  <si>
    <t>Property and Maintenance</t>
  </si>
  <si>
    <t>Other</t>
  </si>
  <si>
    <t>Total Expenses</t>
  </si>
  <si>
    <t>Non-Controlling Interests</t>
  </si>
  <si>
    <t>Preferred Units</t>
  </si>
  <si>
    <t>Net Income to Common</t>
  </si>
  <si>
    <t>Occupancy Rate</t>
  </si>
  <si>
    <t>Number of Apartments</t>
  </si>
  <si>
    <t>Non-Recurrings Affecting Revenue</t>
  </si>
  <si>
    <t xml:space="preserve">[ ] </t>
  </si>
  <si>
    <t>Impairments</t>
  </si>
  <si>
    <t>Other (below EBIT)</t>
  </si>
  <si>
    <t>REIT</t>
  </si>
  <si>
    <t>REIT Corporation</t>
  </si>
  <si>
    <t>Restricted Deposits</t>
  </si>
  <si>
    <t>Security Deposits</t>
  </si>
  <si>
    <t>Source: Company filings.</t>
  </si>
  <si>
    <t>Repayment of Long-Term Debt</t>
  </si>
  <si>
    <t>Distributions</t>
  </si>
  <si>
    <t>Revenue Growth</t>
  </si>
  <si>
    <t>EBIT Margin %</t>
  </si>
  <si>
    <t>Operating Income (EBIT)</t>
  </si>
  <si>
    <t>D&amp;A</t>
  </si>
  <si>
    <t>Revenue per Apartment ($s)</t>
  </si>
  <si>
    <t>Mortgage Debt</t>
  </si>
  <si>
    <t>Tax Exempt Bonds</t>
  </si>
  <si>
    <t>Unsecured Notes</t>
  </si>
  <si>
    <t>Days Payable Outstanding</t>
  </si>
  <si>
    <t>Accrued Interest Payable</t>
  </si>
  <si>
    <t>% of Total Debt</t>
  </si>
  <si>
    <t>% of Net Income</t>
  </si>
  <si>
    <t>% of Revenue</t>
  </si>
  <si>
    <t>Accounts Payable and Accrued Expenses</t>
  </si>
  <si>
    <t>Operating Working Capital</t>
  </si>
  <si>
    <t>Change in Operating Working Capital</t>
  </si>
  <si>
    <t>FFO</t>
  </si>
  <si>
    <t>Funds from Operations</t>
  </si>
  <si>
    <t>Funds from Operations/Share</t>
  </si>
  <si>
    <t>Calculation of Funds from Operations "FFO"</t>
  </si>
  <si>
    <t>FFO / Share</t>
  </si>
  <si>
    <t>Implied D&amp;A</t>
  </si>
  <si>
    <t>Consensus FFO / Share</t>
  </si>
  <si>
    <t>Model FFO / Share</t>
  </si>
  <si>
    <t>Tangible Asset Value</t>
  </si>
  <si>
    <t>FFO / Tangible Asset Value</t>
  </si>
  <si>
    <t>EBITDA / Interest, Net</t>
  </si>
  <si>
    <t>OpEx to hit Consensus FFO / Share</t>
  </si>
  <si>
    <t>Less: D&amp;A</t>
  </si>
  <si>
    <t>Other Items</t>
  </si>
  <si>
    <t>Implied EBIT</t>
  </si>
  <si>
    <t>Target Margin %</t>
  </si>
  <si>
    <t>Check to Consensus FFO / Share</t>
  </si>
  <si>
    <t>LTM EBITDA</t>
  </si>
  <si>
    <t>LTM FFO</t>
  </si>
  <si>
    <t>Calculation of Funds from Operations ("FFO")</t>
  </si>
  <si>
    <t>Adjusted Net Income</t>
  </si>
  <si>
    <t>LTM FFO / Share</t>
  </si>
  <si>
    <t>FY19 FFO / Share (a)</t>
  </si>
  <si>
    <t>FY20 FFO / Share (b)</t>
  </si>
  <si>
    <t>P/FFO Ratios:</t>
  </si>
  <si>
    <t>LTM P/E Ratio</t>
  </si>
  <si>
    <t>Price / Book Value</t>
  </si>
  <si>
    <t>A-</t>
  </si>
  <si>
    <t>A</t>
  </si>
  <si>
    <t>Interest Coverage Ratio, Net</t>
  </si>
  <si>
    <t>Spread Cover</t>
  </si>
  <si>
    <t>Projections</t>
  </si>
  <si>
    <t>Discounted Cash Flow Analysis</t>
  </si>
  <si>
    <t>Base</t>
  </si>
  <si>
    <t>Increment</t>
  </si>
  <si>
    <t>Multiple</t>
  </si>
  <si>
    <t>Disc. Rate</t>
  </si>
  <si>
    <t>Perp Rate</t>
  </si>
  <si>
    <t>% Growth</t>
  </si>
  <si>
    <t>% of Net Sales</t>
  </si>
  <si>
    <t>EBIT</t>
  </si>
  <si>
    <t>Taxes @</t>
  </si>
  <si>
    <t xml:space="preserve">Depreciation &amp; Amortization </t>
  </si>
  <si>
    <t xml:space="preserve">Capital Expenditures </t>
  </si>
  <si>
    <t xml:space="preserve">Change in Net Working Capital </t>
  </si>
  <si>
    <t>Free Cash Flow</t>
  </si>
  <si>
    <t>Growth in Free Cash Flow</t>
  </si>
  <si>
    <t>Terminal Value / EBITDA Multiple</t>
  </si>
  <si>
    <t>Discount Rate</t>
  </si>
  <si>
    <t>X</t>
  </si>
  <si>
    <t>Present Value of Free Cash Flow</t>
  </si>
  <si>
    <t>Present Value of Terminal Value</t>
  </si>
  <si>
    <t>Total Enterprise Value</t>
  </si>
  <si>
    <t>Total Equity Value</t>
  </si>
  <si>
    <t>Total Equity Value Per Share</t>
  </si>
  <si>
    <t>Terminal Value as a % of Total Value</t>
  </si>
  <si>
    <t>Implied Perpetuity Growth Rate</t>
  </si>
  <si>
    <t>Perpetuity Growth Rate</t>
  </si>
  <si>
    <t>Implied Terminal Value / EBITDA</t>
  </si>
  <si>
    <t>(a) Net cash represents total cash less debt, minority interest and preferred stock as of March 31, 2019.</t>
  </si>
  <si>
    <t>Shares for Exit Multiples</t>
  </si>
  <si>
    <t>Shares for Perpetuity Growth Rate</t>
  </si>
  <si>
    <t>Discounting Methodology</t>
  </si>
  <si>
    <t>Discount to:</t>
  </si>
  <si>
    <t># Periods for:</t>
  </si>
  <si>
    <t>End-of-Year Convention</t>
  </si>
  <si>
    <t>PV of FCF</t>
  </si>
  <si>
    <t>Mid-Year Convention</t>
  </si>
  <si>
    <t>PV of TV</t>
  </si>
  <si>
    <t>Calculation for Treasury Stock Method -- Exit Multiples</t>
  </si>
  <si>
    <t>Options</t>
  </si>
  <si>
    <t>Treasury Stock Method</t>
  </si>
  <si>
    <t>Calculation for Treasury Stock Method -- Perpetuity Growth Rate</t>
  </si>
  <si>
    <t>REIT Model</t>
  </si>
  <si>
    <t>Fiscal Year Ended December 31,</t>
  </si>
  <si>
    <t>Dividends per Share</t>
  </si>
  <si>
    <t>Real Estate Investment Trust (REIT) Financial Model Template</t>
  </si>
  <si>
    <t>Wall Street Consensus</t>
  </si>
  <si>
    <t>Twelve months ended December 31,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</si>
</sst>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0">
    <numFmt numFmtId="43" formatCode="_-* #,##0.00_-;\-* #,##0.00_-;_-* &quot;-&quot;??_-;_-@_-"/>
    <numFmt numFmtId="164" formatCode="&quot;$&quot;#,##0.00_);\(&quot;$&quot;#,##0.00\)"/>
    <numFmt numFmtId="165" formatCode="&quot;$&quot;#,##0.00_);[Red]\(&quot;$&quot;#,##0.00\)"/>
    <numFmt numFmtId="166" formatCode="_(* #,##0_);_(* \(#,##0\);_(* &quot;-&quot;_);_(@_)"/>
    <numFmt numFmtId="167" formatCode="_(* #,##0.00_);_(* \(#,##0.00\);_(* &quot;-&quot;??_);_(@_)"/>
    <numFmt numFmtId="168" formatCode="0.0%_);[Red]\(0.0%\)"/>
    <numFmt numFmtId="169" formatCode="0.0%"/>
    <numFmt numFmtId="170" formatCode="0.000\ \x"/>
    <numFmt numFmtId="171" formatCode="&quot;$&quot;#,##0.0_);[Red]\(&quot;$&quot;#,##0.0\)"/>
    <numFmt numFmtId="172" formatCode="#,##0.0_);[Red]\(#,##0.0\)"/>
    <numFmt numFmtId="173" formatCode="0.0\ \x"/>
    <numFmt numFmtId="174" formatCode="0_);[Red]\(0\)"/>
    <numFmt numFmtId="175" formatCode="0.0%\ ;\(0.0%\)"/>
    <numFmt numFmtId="176" formatCode="#,##0.0;[Red]\(#,##0.0\)"/>
    <numFmt numFmtId="177" formatCode="0.00_);\(0.00\)"/>
    <numFmt numFmtId="178" formatCode="&quot;$&quot;#,##0.0_);\(&quot;$&quot;#,##0.0\)"/>
    <numFmt numFmtId="179" formatCode="#,##0.0_);\(#,##0.0\)"/>
    <numFmt numFmtId="180" formatCode="0.0%_);\(0.0%\)"/>
    <numFmt numFmtId="181" formatCode="#,##0.000\ ;\(#,##0.000\)"/>
    <numFmt numFmtId="182" formatCode="0.0%;\(0.0%\)"/>
    <numFmt numFmtId="183" formatCode="_(* #,##0.0\ \ _);_(* \(#,##0.0\ \ \ ;_(* &quot;-&quot;??_);_(@_)"/>
    <numFmt numFmtId="184" formatCode="#,##0.0\ "/>
    <numFmt numFmtId="185" formatCode="_$&quot;$&quot;#,##0.00_);[Red]_$\(&quot;$&quot;#,##0.00\);_$&quot;$&quot;0.00_);_$@_)"/>
    <numFmt numFmtId="186" formatCode="_(&quot;$&quot;* #,##0.0_);_(&quot;$&quot;* \(#,##0.0\);_(&quot;$&quot;* &quot;-&quot;?_);_(@_)"/>
    <numFmt numFmtId="187" formatCode="mmmm\ d\,\ yyyy"/>
    <numFmt numFmtId="188" formatCode="_(* #,##0.0_%_);_(* \(#,##0.0_%\);_(* &quot; - &quot;_%_);_(@_)"/>
    <numFmt numFmtId="189" formatCode="_(* #,##0.0%_);_(* \(#,##0.0%\);_(* &quot; - &quot;\%_);_(@_)"/>
    <numFmt numFmtId="190" formatCode="_(* #,##0_);_(* \(#,##0\);_(* &quot; - &quot;_);_(@_)"/>
    <numFmt numFmtId="191" formatCode="_(* #,##0.0_);_(* \(#,##0.0\);_(* &quot; - &quot;_);_(@_)"/>
    <numFmt numFmtId="192" formatCode="_(* #,##0.00_);_(* \(#,##0.00\);_(* &quot; - &quot;_);_(@_)"/>
    <numFmt numFmtId="193" formatCode="_(* #,##0.000_);_(* \(#,##0.000\);_(* &quot; - &quot;_);_(@_)"/>
    <numFmt numFmtId="194" formatCode="#,##0;\(#,##0\);&quot;-&quot;"/>
    <numFmt numFmtId="195" formatCode="mmmm\ d\,"/>
    <numFmt numFmtId="196" formatCode="0.0\ \x;\(0.0\ \x\)"/>
    <numFmt numFmtId="197" formatCode="[White]General;[White]General;[White]General;[White]General"/>
    <numFmt numFmtId="198" formatCode="&quot;x&quot;;&quot;x&quot;;&quot;x&quot;;&quot;x&quot;"/>
    <numFmt numFmtId="199" formatCode="0.00_)"/>
    <numFmt numFmtId="200" formatCode="0000"/>
    <numFmt numFmtId="201" formatCode="000000"/>
    <numFmt numFmtId="202" formatCode="hh:mm:ss"/>
    <numFmt numFmtId="203" formatCode="&quot;$&quot;#,##0;&quot;$&quot;\(#,##0"/>
    <numFmt numFmtId="204" formatCode="0.000_);\(0.000\)"/>
    <numFmt numFmtId="205" formatCode="#,##0;\(#,##0"/>
    <numFmt numFmtId="206" formatCode="&quot;$&quot;#,##0.00;&quot;$&quot;\(#,##0.00"/>
    <numFmt numFmtId="207" formatCode="#,##0.0_);\(#,##0.0\);&quot;-&quot;_);@_)"/>
    <numFmt numFmtId="208" formatCode="&quot;$&quot;#,##0.00_);\(&quot;$&quot;#,##0.00\);&quot;-&quot;_);@_)"/>
    <numFmt numFmtId="209" formatCode="&quot;$&quot;#,##0.0_);\(&quot;$&quot;#,##0.0\);&quot;--&quot;_);@_)"/>
    <numFmt numFmtId="210" formatCode="&quot;$&quot;#,##0.00_);\(&quot;$&quot;#,##0.00\);&quot;--&quot;_);@_)"/>
    <numFmt numFmtId="211" formatCode="#,##0.0_);\(#,##0.0\);&quot;--&quot;_);@_)"/>
    <numFmt numFmtId="212" formatCode="0.0%_);\(0.0%\);&quot;--&quot;_%_)"/>
    <numFmt numFmtId="213" formatCode="#,##0.00_);\(#,##0.00\);&quot;--&quot;_);@_)"/>
    <numFmt numFmtId="214" formatCode="#,##0.0%_);\(#,##0.0%\);&quot;-&quot;_%_);@_%_)"/>
    <numFmt numFmtId="215" formatCode="m/d/yy;@"/>
    <numFmt numFmtId="216" formatCode="#,##0_);\(#,##0\);&quot;--&quot;_);@_)"/>
    <numFmt numFmtId="217" formatCode="[$-409]mmm\-yy;@"/>
    <numFmt numFmtId="218" formatCode="#,##0.0%_);\(#,##0.0%\);&quot;--&quot;_%_);@_%_)"/>
    <numFmt numFmtId="219" formatCode="m/d/yy\ h:mm;@"/>
    <numFmt numFmtId="220" formatCode="0000&quot;A&quot;_)"/>
    <numFmt numFmtId="221" formatCode="0000&quot;E&quot;_)"/>
    <numFmt numFmtId="222" formatCode="0000&quot;P&quot;_)"/>
    <numFmt numFmtId="223" formatCode="#,##0.00%_);\(#,##0.00%\);&quot;--&quot;_%_);@_%_)"/>
    <numFmt numFmtId="224" formatCode="0000&quot;E&quot;"/>
    <numFmt numFmtId="225" formatCode="0000&quot;P&quot;"/>
    <numFmt numFmtId="226" formatCode="0.0\ \x_);\(0.0\ \x\);&quot;--&quot;_ _x_);@_ _x_)"/>
    <numFmt numFmtId="227" formatCode="0000&quot;A&quot;"/>
    <numFmt numFmtId="228" formatCode="mmm\-yy_)"/>
    <numFmt numFmtId="229" formatCode="#,##0.00000000000000"/>
    <numFmt numFmtId="230" formatCode="0&quot; bps&quot;"/>
    <numFmt numFmtId="231" formatCode="&quot;$&quot;#,##0_);\(&quot;$&quot;#,##0\);&quot;--&quot;_);@_)"/>
    <numFmt numFmtId="232" formatCode="#,##0.0000000000000_);\(#,##0.0000000000000\)"/>
  </numFmts>
  <fonts count="101"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Times New Roman"/>
      <family val="1"/>
    </font>
    <font>
      <sz val="10"/>
      <color indexed="12"/>
      <name val="Times New Roman"/>
      <family val="1"/>
    </font>
    <font>
      <b/>
      <sz val="16"/>
      <name val="Arial"/>
      <family val="2"/>
    </font>
    <font>
      <sz val="10"/>
      <name val="Times New Roman"/>
      <family val="1"/>
    </font>
    <font>
      <sz val="11"/>
      <name val="Times New Roman"/>
      <family val="1"/>
    </font>
    <font>
      <i/>
      <sz val="9"/>
      <name val="Times New Roman"/>
      <family val="1"/>
    </font>
    <font>
      <sz val="9"/>
      <name val="Times New Roman"/>
      <family val="1"/>
    </font>
    <font>
      <b/>
      <u val="singleAccounting"/>
      <sz val="10"/>
      <name val="Times New Roman"/>
      <family val="1"/>
    </font>
    <font>
      <b/>
      <sz val="11"/>
      <name val="Times New Roman"/>
      <family val="1"/>
    </font>
    <font>
      <b/>
      <sz val="10"/>
      <name val="Times New Roman"/>
      <family val="1"/>
    </font>
    <font>
      <b/>
      <i/>
      <sz val="9.5"/>
      <name val="Times New Roman"/>
      <family val="1"/>
    </font>
    <font>
      <u val="double"/>
      <sz val="8"/>
      <color indexed="8"/>
      <name val="Arial"/>
      <family val="2"/>
    </font>
    <font>
      <sz val="8"/>
      <color indexed="8"/>
      <name val="Arial"/>
      <family val="2"/>
    </font>
    <font>
      <b/>
      <sz val="9"/>
      <color indexed="10"/>
      <name val="Wingdings"/>
      <charset val="2"/>
    </font>
    <font>
      <sz val="8"/>
      <color indexed="9"/>
      <name val="Arial"/>
      <family val="2"/>
    </font>
    <font>
      <sz val="8"/>
      <color indexed="9"/>
      <name val="Geneva"/>
      <family val="2"/>
    </font>
    <font>
      <sz val="12"/>
      <color indexed="9"/>
      <name val="Arial"/>
      <family val="2"/>
    </font>
    <font>
      <sz val="8"/>
      <name val="Helv"/>
    </font>
    <font>
      <b/>
      <sz val="11"/>
      <color indexed="9"/>
      <name val="Arial"/>
      <family val="2"/>
    </font>
    <font>
      <b/>
      <sz val="12"/>
      <color indexed="9"/>
      <name val="Arial"/>
      <family val="2"/>
    </font>
    <font>
      <b/>
      <i/>
      <sz val="16"/>
      <color indexed="9"/>
      <name val="Helvetica"/>
      <family val="2"/>
    </font>
    <font>
      <b/>
      <sz val="10"/>
      <color indexed="9"/>
      <name val="MS Sans Serif"/>
      <family val="2"/>
    </font>
    <font>
      <sz val="11"/>
      <name val="Times New Roman"/>
      <family val="1"/>
    </font>
    <font>
      <b/>
      <sz val="8"/>
      <color indexed="9"/>
      <name val="Times"/>
      <family val="1"/>
    </font>
    <font>
      <sz val="8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Arial"/>
      <family val="2"/>
    </font>
    <font>
      <sz val="10"/>
      <color indexed="12"/>
      <name val="Arial Narrow"/>
      <family val="2"/>
    </font>
    <font>
      <sz val="10"/>
      <color indexed="11"/>
      <name val="Arial Narrow"/>
      <family val="2"/>
    </font>
    <font>
      <sz val="10"/>
      <name val="Arial Narrow"/>
      <family val="2"/>
    </font>
    <font>
      <b/>
      <sz val="10"/>
      <color indexed="12"/>
      <name val="Arial Narrow"/>
      <family val="2"/>
    </font>
    <font>
      <b/>
      <sz val="12"/>
      <color indexed="9"/>
      <name val="Arial Narrow"/>
      <family val="2"/>
    </font>
    <font>
      <b/>
      <sz val="10"/>
      <color indexed="9"/>
      <name val="Arial Narrow"/>
      <family val="2"/>
    </font>
    <font>
      <b/>
      <sz val="10"/>
      <name val="Arial Narrow"/>
      <family val="2"/>
    </font>
    <font>
      <i/>
      <sz val="10"/>
      <name val="Arial Narrow"/>
      <family val="2"/>
    </font>
    <font>
      <u/>
      <sz val="10"/>
      <name val="Arial Narrow"/>
      <family val="2"/>
    </font>
    <font>
      <sz val="10"/>
      <color rgb="FF00B050"/>
      <name val="Arial Narrow"/>
      <family val="2"/>
    </font>
    <font>
      <sz val="10"/>
      <color indexed="8"/>
      <name val="Arial Narrow"/>
      <family val="2"/>
    </font>
    <font>
      <sz val="8"/>
      <name val="Arial Narrow"/>
      <family val="2"/>
    </font>
    <font>
      <sz val="8.25"/>
      <name val="Arial Narrow"/>
      <family val="2"/>
    </font>
    <font>
      <sz val="8.25"/>
      <color indexed="12"/>
      <name val="Arial Narrow"/>
      <family val="2"/>
    </font>
    <font>
      <sz val="18"/>
      <color rgb="FF00B050"/>
      <name val="Arial Narrow"/>
      <family val="2"/>
    </font>
    <font>
      <b/>
      <sz val="14"/>
      <color theme="0"/>
      <name val="Arial Narrow"/>
      <family val="2"/>
    </font>
    <font>
      <sz val="10"/>
      <color theme="0"/>
      <name val="Arial Narrow"/>
      <family val="2"/>
    </font>
    <font>
      <sz val="7"/>
      <color theme="0"/>
      <name val="Arial Narrow"/>
      <family val="2"/>
    </font>
    <font>
      <i/>
      <sz val="10"/>
      <color indexed="12"/>
      <name val="Arial Narrow"/>
      <family val="2"/>
    </font>
    <font>
      <sz val="10"/>
      <color indexed="14"/>
      <name val="Arial Narrow"/>
      <family val="2"/>
    </font>
    <font>
      <sz val="8"/>
      <color rgb="FF00B050"/>
      <name val="Arial Narrow"/>
      <family val="2"/>
    </font>
    <font>
      <sz val="8"/>
      <color indexed="12"/>
      <name val="Arial Narrow"/>
      <family val="2"/>
    </font>
    <font>
      <b/>
      <sz val="10"/>
      <color rgb="FFC00000"/>
      <name val="Arial Narrow"/>
      <family val="2"/>
    </font>
    <font>
      <i/>
      <sz val="8"/>
      <name val="Arial Narrow"/>
      <family val="2"/>
    </font>
    <font>
      <b/>
      <sz val="10"/>
      <color theme="1"/>
      <name val="Arial Narrow"/>
      <family val="2"/>
    </font>
    <font>
      <b/>
      <sz val="16"/>
      <color theme="0"/>
      <name val="Arial Narrow"/>
      <family val="2"/>
    </font>
    <font>
      <i/>
      <sz val="10"/>
      <color rgb="FF00B050"/>
      <name val="Arial Narrow"/>
      <family val="2"/>
    </font>
    <font>
      <b/>
      <sz val="10"/>
      <color indexed="8"/>
      <name val="Arial Narrow"/>
      <family val="2"/>
    </font>
    <font>
      <sz val="10"/>
      <color indexed="9"/>
      <name val="Arial Narrow"/>
      <family val="2"/>
    </font>
    <font>
      <b/>
      <sz val="12"/>
      <name val="Arial Narrow"/>
      <family val="2"/>
    </font>
    <font>
      <b/>
      <i/>
      <sz val="10"/>
      <name val="Arial Narrow"/>
      <family val="2"/>
    </font>
    <font>
      <sz val="14"/>
      <name val="Arial Narrow"/>
      <family val="2"/>
    </font>
    <font>
      <sz val="14"/>
      <color theme="0"/>
      <name val="Arial Narrow"/>
      <family val="2"/>
    </font>
    <font>
      <b/>
      <u/>
      <sz val="10"/>
      <name val="Arial Narrow"/>
      <family val="2"/>
    </font>
    <font>
      <u/>
      <sz val="10"/>
      <color indexed="14"/>
      <name val="Arial Narrow"/>
      <family val="2"/>
    </font>
    <font>
      <b/>
      <sz val="12"/>
      <color theme="0"/>
      <name val="Arial Narrow"/>
      <family val="2"/>
    </font>
    <font>
      <sz val="18"/>
      <color indexed="14"/>
      <name val="Arial Narrow"/>
      <family val="2"/>
    </font>
    <font>
      <b/>
      <sz val="11"/>
      <color theme="1"/>
      <name val="Arial Narrow"/>
      <family val="2"/>
    </font>
    <font>
      <sz val="10"/>
      <color indexed="13"/>
      <name val="Arial Narrow"/>
      <family val="2"/>
    </font>
    <font>
      <b/>
      <i/>
      <sz val="18"/>
      <color rgb="FFFF0000"/>
      <name val="Arial Narrow"/>
      <family val="2"/>
    </font>
    <font>
      <b/>
      <sz val="10"/>
      <color indexed="17"/>
      <name val="Arial Narrow"/>
      <family val="2"/>
    </font>
    <font>
      <sz val="16"/>
      <color rgb="FF00B050"/>
      <name val="Arial Narrow"/>
      <family val="2"/>
    </font>
    <font>
      <sz val="7"/>
      <color rgb="FF00B050"/>
      <name val="Arial Narrow"/>
      <family val="2"/>
    </font>
    <font>
      <sz val="11"/>
      <color theme="1"/>
      <name val="Arial Narrow"/>
      <family val="2"/>
    </font>
    <font>
      <b/>
      <sz val="22"/>
      <color theme="1"/>
      <name val="Arial Narrow"/>
      <family val="2"/>
    </font>
    <font>
      <u/>
      <sz val="10"/>
      <color theme="10"/>
      <name val="Arial"/>
      <family val="2"/>
    </font>
    <font>
      <u/>
      <sz val="10"/>
      <color rgb="FF132E57"/>
      <name val="Arial"/>
      <family val="2"/>
    </font>
    <font>
      <u/>
      <sz val="10"/>
      <color theme="1"/>
      <name val="Arial"/>
      <family val="2"/>
    </font>
    <font>
      <sz val="11"/>
      <color theme="0"/>
      <name val="Arial Narrow"/>
      <family val="2"/>
    </font>
    <font>
      <sz val="10"/>
      <color indexed="8"/>
      <name val="Arial"/>
      <family val="2"/>
    </font>
    <font>
      <b/>
      <sz val="8"/>
      <color indexed="8"/>
      <name val="Verdana"/>
      <family val="2"/>
    </font>
    <font>
      <b/>
      <u val="singleAccounting"/>
      <sz val="8"/>
      <color indexed="8"/>
      <name val="Arial"/>
      <family val="2"/>
    </font>
    <font>
      <sz val="1"/>
      <color indexed="9"/>
      <name val="Symbol"/>
      <family val="1"/>
      <charset val="2"/>
    </font>
    <font>
      <b/>
      <u val="singleAccounting"/>
      <sz val="8"/>
      <color indexed="8"/>
      <name val="Verdana"/>
      <family val="2"/>
    </font>
    <font>
      <b/>
      <sz val="10"/>
      <color indexed="9"/>
      <name val="Arial"/>
      <family val="2"/>
    </font>
    <font>
      <b/>
      <sz val="12"/>
      <color indexed="8"/>
      <name val="Verdana"/>
      <family val="2"/>
    </font>
    <font>
      <b/>
      <sz val="8"/>
      <color indexed="9"/>
      <name val="Verdana"/>
      <family val="2"/>
    </font>
    <font>
      <vertAlign val="subscript"/>
      <sz val="8"/>
      <color indexed="8"/>
      <name val="Arial"/>
      <family val="2"/>
    </font>
    <font>
      <vertAlign val="superscript"/>
      <sz val="8"/>
      <color indexed="8"/>
      <name val="Arial"/>
      <family val="2"/>
    </font>
    <font>
      <b/>
      <sz val="8"/>
      <color indexed="8"/>
      <name val="Arial"/>
      <family val="2"/>
    </font>
    <font>
      <i/>
      <sz val="8"/>
      <color indexed="8"/>
      <name val="Arial"/>
      <family val="2"/>
    </font>
    <font>
      <b/>
      <sz val="13"/>
      <color indexed="8"/>
      <name val="Verdana"/>
      <family val="2"/>
    </font>
    <font>
      <sz val="10"/>
      <color rgb="FF0000FF"/>
      <name val="Arial Narrow"/>
      <family val="2"/>
    </font>
    <font>
      <b/>
      <sz val="9"/>
      <color indexed="81"/>
      <name val="Tahoma"/>
      <family val="2"/>
    </font>
    <font>
      <sz val="12"/>
      <name val="Arial Narrow"/>
      <family val="2"/>
    </font>
    <font>
      <b/>
      <sz val="12"/>
      <color rgb="FF00B050"/>
      <name val="Arial Narrow"/>
      <family val="2"/>
    </font>
    <font>
      <b/>
      <sz val="12"/>
      <color indexed="14"/>
      <name val="Arial Narrow"/>
      <family val="2"/>
    </font>
    <font>
      <b/>
      <i/>
      <sz val="10"/>
      <color theme="0"/>
      <name val="Arial Narrow"/>
      <family val="2"/>
    </font>
    <font>
      <b/>
      <sz val="10"/>
      <color theme="0"/>
      <name val="Arial Narrow"/>
      <family val="2"/>
    </font>
    <font>
      <u/>
      <sz val="10"/>
      <color rgb="FF00B050"/>
      <name val="Arial Narrow"/>
      <family val="2"/>
    </font>
    <font>
      <b/>
      <i/>
      <sz val="14"/>
      <color theme="0"/>
      <name val="Arial Narrow"/>
      <family val="2"/>
    </font>
  </fonts>
  <fills count="17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132E57"/>
        <bgColor indexed="64"/>
      </patternFill>
    </fill>
    <fill>
      <patternFill patternType="solid">
        <fgColor rgb="FFE6E7E8"/>
        <bgColor indexed="64"/>
      </patternFill>
    </fill>
    <fill>
      <patternFill patternType="solid">
        <fgColor rgb="FFED9423"/>
        <bgColor indexed="64"/>
      </patternFill>
    </fill>
    <fill>
      <patternFill patternType="solid">
        <fgColor rgb="FFED942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17375E"/>
        <bgColor indexed="64"/>
      </patternFill>
    </fill>
  </fills>
  <borders count="34">
    <border>
      <left/>
      <right/>
      <top/>
      <bottom/>
      <diagonal/>
    </border>
    <border>
      <left/>
      <right style="thin">
        <color indexed="18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ck">
        <color indexed="9"/>
      </left>
      <right/>
      <top style="thin">
        <color auto="1"/>
      </top>
      <bottom/>
      <diagonal/>
    </border>
    <border>
      <left style="thick">
        <color indexed="9"/>
      </left>
      <right style="thick">
        <color indexed="9"/>
      </right>
      <top style="thin">
        <color auto="1"/>
      </top>
      <bottom/>
      <diagonal/>
    </border>
    <border>
      <left/>
      <right style="thick">
        <color indexed="9"/>
      </right>
      <top style="thin">
        <color auto="1"/>
      </top>
      <bottom/>
      <diagonal/>
    </border>
    <border>
      <left/>
      <right/>
      <top/>
      <bottom style="medium">
        <color indexed="9"/>
      </bottom>
      <diagonal/>
    </border>
    <border>
      <left/>
      <right style="medium">
        <color indexed="9"/>
      </right>
      <top style="medium">
        <color indexed="9"/>
      </top>
      <bottom/>
      <diagonal/>
    </border>
    <border>
      <left/>
      <right style="thick">
        <color theme="0"/>
      </right>
      <top style="thin">
        <color auto="1"/>
      </top>
      <bottom/>
      <diagonal/>
    </border>
    <border>
      <left style="thick">
        <color theme="0"/>
      </left>
      <right/>
      <top style="thin">
        <color auto="1"/>
      </top>
      <bottom/>
      <diagonal/>
    </border>
    <border>
      <left style="thick">
        <color theme="0"/>
      </left>
      <right style="thick">
        <color theme="0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ck">
        <color theme="0"/>
      </right>
      <top style="thin">
        <color auto="1"/>
      </top>
      <bottom/>
      <diagonal/>
    </border>
    <border>
      <left style="thick">
        <color theme="0"/>
      </left>
      <right style="thick">
        <color theme="0"/>
      </right>
      <top style="thin">
        <color auto="1"/>
      </top>
      <bottom/>
      <diagonal/>
    </border>
    <border>
      <left style="thick">
        <color theme="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ck">
        <color theme="0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ck">
        <color indexed="9"/>
      </right>
      <top style="thin">
        <color auto="1"/>
      </top>
      <bottom/>
      <diagonal/>
    </border>
    <border>
      <left style="thick">
        <color indexed="9"/>
      </left>
      <right style="thick">
        <color indexed="9"/>
      </right>
      <top style="thin">
        <color auto="1"/>
      </top>
      <bottom/>
      <diagonal/>
    </border>
    <border>
      <left style="thick">
        <color indexed="9"/>
      </left>
      <right/>
      <top style="thin">
        <color auto="1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9">
    <xf numFmtId="0" fontId="0" fillId="0" borderId="0" applyNumberFormat="0" applyFont="0" applyFill="0" applyBorder="0" applyAlignment="0" applyProtection="0"/>
    <xf numFmtId="178" fontId="6" fillId="0" borderId="0">
      <alignment horizontal="right"/>
    </xf>
    <xf numFmtId="164" fontId="6" fillId="0" borderId="0">
      <alignment horizontal="right"/>
    </xf>
    <xf numFmtId="0" fontId="3" fillId="0" borderId="0" applyNumberFormat="0" applyFont="0" applyFill="0" applyBorder="0" applyAlignment="0" applyProtection="0"/>
    <xf numFmtId="200" fontId="17" fillId="0" borderId="0">
      <alignment horizontal="left"/>
    </xf>
    <xf numFmtId="201" fontId="18" fillId="0" borderId="0">
      <alignment horizontal="left"/>
    </xf>
    <xf numFmtId="183" fontId="3" fillId="0" borderId="1" applyFont="0" applyFill="0" applyBorder="0" applyAlignment="0" applyProtection="0"/>
    <xf numFmtId="184" fontId="3" fillId="0" borderId="0" applyFont="0" applyFill="0" applyBorder="0" applyAlignment="0" applyProtection="0">
      <alignment horizontal="center"/>
    </xf>
    <xf numFmtId="202" fontId="19" fillId="0" borderId="0"/>
    <xf numFmtId="185" fontId="3" fillId="0" borderId="0"/>
    <xf numFmtId="0" fontId="6" fillId="0" borderId="2" applyBorder="0">
      <alignment horizontal="centerContinuous"/>
    </xf>
    <xf numFmtId="167" fontId="2" fillId="0" borderId="0" applyFont="0" applyFill="0" applyBorder="0" applyAlignment="0" applyProtection="0"/>
    <xf numFmtId="172" fontId="3" fillId="0" borderId="0" applyFill="0" applyBorder="0" applyAlignment="0" applyProtection="0"/>
    <xf numFmtId="174" fontId="3" fillId="0" borderId="0" applyFont="0" applyFill="0" applyBorder="0" applyAlignment="0" applyProtection="0">
      <protection locked="0"/>
    </xf>
    <xf numFmtId="186" fontId="7" fillId="0" borderId="0"/>
    <xf numFmtId="203" fontId="20" fillId="0" borderId="0" applyFill="0" applyBorder="0">
      <alignment horizontal="right"/>
    </xf>
    <xf numFmtId="177" fontId="20" fillId="0" borderId="0" applyFill="0" applyBorder="0">
      <alignment horizontal="right"/>
    </xf>
    <xf numFmtId="206" fontId="20" fillId="0" borderId="2" applyFill="0" applyBorder="0">
      <alignment horizontal="right"/>
    </xf>
    <xf numFmtId="187" fontId="6" fillId="0" borderId="3">
      <alignment horizontal="centerContinuous"/>
    </xf>
    <xf numFmtId="171" fontId="7" fillId="0" borderId="0"/>
    <xf numFmtId="164" fontId="3" fillId="0" borderId="4" applyFont="0" applyFill="0" applyBorder="0" applyAlignment="0" applyProtection="0"/>
    <xf numFmtId="170" fontId="6" fillId="0" borderId="5"/>
    <xf numFmtId="188" fontId="8" fillId="0" borderId="0">
      <alignment horizontal="right" vertical="top"/>
    </xf>
    <xf numFmtId="189" fontId="9" fillId="0" borderId="0">
      <alignment horizontal="right" vertical="top"/>
    </xf>
    <xf numFmtId="189" fontId="8" fillId="0" borderId="0">
      <alignment horizontal="right" vertical="top"/>
    </xf>
    <xf numFmtId="190" fontId="3" fillId="0" borderId="0" applyFill="0" applyBorder="0">
      <alignment horizontal="right" vertical="top"/>
    </xf>
    <xf numFmtId="191" fontId="3" fillId="0" borderId="0" applyFill="0" applyBorder="0">
      <alignment horizontal="right" vertical="top"/>
    </xf>
    <xf numFmtId="192" fontId="3" fillId="0" borderId="0" applyFill="0" applyBorder="0">
      <alignment horizontal="right" vertical="top"/>
    </xf>
    <xf numFmtId="193" fontId="3" fillId="0" borderId="0" applyFill="0" applyBorder="0">
      <alignment horizontal="right" vertical="top"/>
    </xf>
    <xf numFmtId="0" fontId="10" fillId="0" borderId="0">
      <alignment horizontal="center" wrapText="1"/>
    </xf>
    <xf numFmtId="194" fontId="11" fillId="0" borderId="0" applyFill="0" applyBorder="0">
      <alignment vertical="top"/>
    </xf>
    <xf numFmtId="194" fontId="12" fillId="0" borderId="0" applyFill="0" applyBorder="0" applyProtection="0">
      <alignment vertical="top"/>
    </xf>
    <xf numFmtId="194" fontId="13" fillId="0" borderId="0">
      <alignment vertical="top"/>
    </xf>
    <xf numFmtId="166" fontId="3" fillId="0" borderId="0" applyFill="0" applyBorder="0" applyAlignment="0" applyProtection="0">
      <alignment horizontal="right" vertical="top"/>
    </xf>
    <xf numFmtId="194" fontId="5" fillId="0" borderId="0"/>
    <xf numFmtId="0" fontId="3" fillId="0" borderId="0" applyFill="0" applyBorder="0">
      <alignment horizontal="left" vertical="top"/>
    </xf>
    <xf numFmtId="0" fontId="17" fillId="2" borderId="0"/>
    <xf numFmtId="0" fontId="21" fillId="0" borderId="0">
      <alignment horizontal="right"/>
    </xf>
    <xf numFmtId="0" fontId="22" fillId="0" borderId="6"/>
    <xf numFmtId="0" fontId="22" fillId="0" borderId="4">
      <alignment horizontal="left" vertical="center"/>
    </xf>
    <xf numFmtId="179" fontId="4" fillId="0" borderId="0" applyFill="0" applyBorder="0" applyAlignment="0" applyProtection="0"/>
    <xf numFmtId="0" fontId="17" fillId="3" borderId="0"/>
    <xf numFmtId="37" fontId="4" fillId="0" borderId="0"/>
    <xf numFmtId="195" fontId="6" fillId="0" borderId="0"/>
    <xf numFmtId="196" fontId="6" fillId="0" borderId="0"/>
    <xf numFmtId="199" fontId="23" fillId="0" borderId="0"/>
    <xf numFmtId="205" fontId="20" fillId="0" borderId="0" applyFill="0" applyBorder="0">
      <alignment horizontal="right"/>
    </xf>
    <xf numFmtId="204" fontId="20" fillId="0" borderId="0" applyFill="0">
      <alignment horizontal="right"/>
    </xf>
    <xf numFmtId="177" fontId="20" fillId="0" borderId="0" applyFill="0" applyBorder="0">
      <alignment horizontal="right"/>
    </xf>
    <xf numFmtId="169" fontId="19" fillId="0" borderId="0"/>
    <xf numFmtId="10" fontId="19" fillId="0" borderId="0"/>
    <xf numFmtId="0" fontId="19" fillId="0" borderId="0"/>
    <xf numFmtId="15" fontId="19" fillId="0" borderId="0"/>
    <xf numFmtId="4" fontId="19" fillId="0" borderId="0"/>
    <xf numFmtId="0" fontId="24" fillId="0" borderId="7">
      <alignment horizontal="center"/>
    </xf>
    <xf numFmtId="3" fontId="19" fillId="0" borderId="0"/>
    <xf numFmtId="0" fontId="19" fillId="0" borderId="0"/>
    <xf numFmtId="179" fontId="6" fillId="0" borderId="0">
      <alignment horizontal="right"/>
    </xf>
    <xf numFmtId="14" fontId="6" fillId="0" borderId="3">
      <alignment horizontal="centerContinuous"/>
    </xf>
    <xf numFmtId="0" fontId="25" fillId="0" borderId="0">
      <alignment horizontal="left"/>
    </xf>
    <xf numFmtId="0" fontId="12" fillId="0" borderId="0">
      <alignment horizontal="centerContinuous"/>
    </xf>
    <xf numFmtId="0" fontId="26" fillId="0" borderId="0"/>
    <xf numFmtId="0" fontId="14" fillId="0" borderId="0">
      <alignment horizontal="fill"/>
    </xf>
    <xf numFmtId="0" fontId="15" fillId="0" borderId="0"/>
    <xf numFmtId="197" fontId="15" fillId="0" borderId="0"/>
    <xf numFmtId="198" fontId="16" fillId="4" borderId="0">
      <alignment horizontal="center"/>
    </xf>
    <xf numFmtId="0" fontId="29" fillId="0" borderId="0"/>
    <xf numFmtId="0" fontId="1" fillId="0" borderId="0"/>
    <xf numFmtId="0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9" fillId="0" borderId="0" applyAlignment="0"/>
    <xf numFmtId="0" fontId="80" fillId="0" borderId="0" applyAlignment="0"/>
    <xf numFmtId="0" fontId="81" fillId="12" borderId="0" applyAlignment="0"/>
    <xf numFmtId="43" fontId="1" fillId="0" borderId="0" applyFont="0" applyFill="0" applyBorder="0" applyAlignment="0" applyProtection="0"/>
    <xf numFmtId="167" fontId="73" fillId="0" borderId="0" applyFont="0" applyFill="0" applyBorder="0" applyAlignment="0" applyProtection="0"/>
    <xf numFmtId="0" fontId="82" fillId="0" borderId="0" applyAlignment="0"/>
    <xf numFmtId="0" fontId="83" fillId="13" borderId="0" applyAlignment="0"/>
    <xf numFmtId="0" fontId="84" fillId="14" borderId="0" applyAlignment="0"/>
    <xf numFmtId="0" fontId="85" fillId="0" borderId="0" applyAlignment="0"/>
    <xf numFmtId="0" fontId="73" fillId="0" borderId="0"/>
    <xf numFmtId="9" fontId="1" fillId="0" borderId="0" applyFont="0" applyFill="0" applyBorder="0" applyAlignment="0" applyProtection="0"/>
    <xf numFmtId="9" fontId="73" fillId="0" borderId="0" applyFont="0" applyFill="0" applyBorder="0" applyAlignment="0" applyProtection="0"/>
    <xf numFmtId="0" fontId="86" fillId="6" borderId="0" applyAlignment="0"/>
    <xf numFmtId="0" fontId="87" fillId="0" borderId="0" applyAlignment="0"/>
    <xf numFmtId="0" fontId="88" fillId="0" borderId="0" applyAlignment="0"/>
    <xf numFmtId="0" fontId="89" fillId="0" borderId="0" applyAlignment="0"/>
    <xf numFmtId="0" fontId="90" fillId="0" borderId="0" applyAlignment="0"/>
    <xf numFmtId="0" fontId="15" fillId="0" borderId="0" applyAlignment="0"/>
    <xf numFmtId="0" fontId="91" fillId="0" borderId="0" applyAlignment="0"/>
  </cellStyleXfs>
  <cellXfs count="522">
    <xf numFmtId="0" fontId="0" fillId="0" borderId="0" xfId="0"/>
    <xf numFmtId="0" fontId="30" fillId="0" borderId="0" xfId="3" applyFont="1"/>
    <xf numFmtId="0" fontId="31" fillId="0" borderId="0" xfId="3" applyFont="1" applyBorder="1"/>
    <xf numFmtId="0" fontId="32" fillId="0" borderId="0" xfId="3" applyFont="1"/>
    <xf numFmtId="0" fontId="32" fillId="0" borderId="0" xfId="3" applyFont="1" applyBorder="1"/>
    <xf numFmtId="0" fontId="32" fillId="0" borderId="7" xfId="3" applyFont="1" applyBorder="1" applyAlignment="1">
      <alignment horizontal="centerContinuous"/>
    </xf>
    <xf numFmtId="0" fontId="32" fillId="0" borderId="0" xfId="3" applyFont="1" applyBorder="1" applyAlignment="1">
      <alignment horizontal="centerContinuous"/>
    </xf>
    <xf numFmtId="0" fontId="32" fillId="0" borderId="0" xfId="3" applyFont="1" applyAlignment="1">
      <alignment horizontal="centerContinuous"/>
    </xf>
    <xf numFmtId="0" fontId="31" fillId="0" borderId="0" xfId="3" applyFont="1" applyFill="1"/>
    <xf numFmtId="0" fontId="32" fillId="0" borderId="0" xfId="3" applyFont="1" applyFill="1"/>
    <xf numFmtId="0" fontId="32" fillId="0" borderId="0" xfId="3" applyFont="1" applyFill="1" applyAlignment="1"/>
    <xf numFmtId="215" fontId="30" fillId="0" borderId="0" xfId="3" applyNumberFormat="1" applyFont="1" applyFill="1" applyBorder="1" applyAlignment="1">
      <alignment horizontal="right"/>
    </xf>
    <xf numFmtId="4" fontId="30" fillId="0" borderId="0" xfId="3" applyNumberFormat="1" applyFont="1" applyFill="1" applyAlignment="1">
      <alignment horizontal="right"/>
    </xf>
    <xf numFmtId="211" fontId="32" fillId="0" borderId="0" xfId="3" quotePrefix="1" applyNumberFormat="1" applyFont="1" applyFill="1"/>
    <xf numFmtId="0" fontId="32" fillId="0" borderId="0" xfId="3" applyFont="1" applyFill="1" applyBorder="1"/>
    <xf numFmtId="211" fontId="32" fillId="0" borderId="0" xfId="3" applyNumberFormat="1" applyFont="1" applyFill="1" applyBorder="1"/>
    <xf numFmtId="0" fontId="30" fillId="0" borderId="0" xfId="3" applyFont="1" applyFill="1" applyBorder="1"/>
    <xf numFmtId="210" fontId="33" fillId="0" borderId="0" xfId="3" applyNumberFormat="1" applyFont="1" applyFill="1" applyBorder="1" applyAlignment="1">
      <alignment horizontal="right"/>
    </xf>
    <xf numFmtId="0" fontId="32" fillId="0" borderId="2" xfId="3" applyFont="1" applyFill="1" applyBorder="1" applyAlignment="1">
      <alignment horizontal="centerContinuous"/>
    </xf>
    <xf numFmtId="0" fontId="32" fillId="0" borderId="0" xfId="3" applyFont="1" applyFill="1" applyBorder="1" applyAlignment="1">
      <alignment horizontal="center"/>
    </xf>
    <xf numFmtId="200" fontId="30" fillId="0" borderId="0" xfId="3" applyNumberFormat="1" applyFont="1" applyFill="1" applyBorder="1" applyAlignment="1">
      <alignment horizontal="right"/>
    </xf>
    <xf numFmtId="211" fontId="30" fillId="0" borderId="25" xfId="3" applyNumberFormat="1" applyFont="1" applyFill="1" applyBorder="1" applyAlignment="1">
      <alignment horizontal="right"/>
    </xf>
    <xf numFmtId="211" fontId="30" fillId="0" borderId="23" xfId="3" applyNumberFormat="1" applyFont="1" applyFill="1" applyBorder="1" applyAlignment="1">
      <alignment horizontal="right"/>
    </xf>
    <xf numFmtId="211" fontId="32" fillId="0" borderId="0" xfId="3" applyNumberFormat="1" applyFont="1" applyFill="1" applyBorder="1" applyAlignment="1">
      <alignment horizontal="right"/>
    </xf>
    <xf numFmtId="210" fontId="32" fillId="0" borderId="0" xfId="3" applyNumberFormat="1" applyFont="1" applyFill="1" applyBorder="1" applyAlignment="1">
      <alignment horizontal="right"/>
    </xf>
    <xf numFmtId="211" fontId="32" fillId="0" borderId="8" xfId="3" applyNumberFormat="1" applyFont="1" applyFill="1" applyBorder="1" applyAlignment="1">
      <alignment horizontal="right"/>
    </xf>
    <xf numFmtId="211" fontId="30" fillId="0" borderId="0" xfId="3" applyNumberFormat="1" applyFont="1" applyFill="1" applyBorder="1" applyAlignment="1">
      <alignment horizontal="right"/>
    </xf>
    <xf numFmtId="218" fontId="30" fillId="0" borderId="0" xfId="3" applyNumberFormat="1" applyFont="1" applyFill="1" applyBorder="1" applyAlignment="1">
      <alignment horizontal="right"/>
    </xf>
    <xf numFmtId="211" fontId="30" fillId="0" borderId="0" xfId="3" applyNumberFormat="1" applyFont="1" applyFill="1" applyBorder="1"/>
    <xf numFmtId="0" fontId="33" fillId="0" borderId="0" xfId="3" applyFont="1" applyFill="1" applyBorder="1"/>
    <xf numFmtId="212" fontId="33" fillId="0" borderId="0" xfId="3" applyNumberFormat="1" applyFont="1" applyFill="1" applyBorder="1" applyAlignment="1">
      <alignment horizontal="right"/>
    </xf>
    <xf numFmtId="211" fontId="32" fillId="0" borderId="0" xfId="3" applyNumberFormat="1" applyFont="1" applyFill="1"/>
    <xf numFmtId="0" fontId="32" fillId="0" borderId="8" xfId="3" applyFont="1" applyFill="1" applyBorder="1" applyAlignment="1">
      <alignment horizontal="center"/>
    </xf>
    <xf numFmtId="211" fontId="30" fillId="0" borderId="14" xfId="3" applyNumberFormat="1" applyFont="1" applyFill="1" applyBorder="1" applyAlignment="1" applyProtection="1">
      <alignment horizontal="right" indent="2"/>
      <protection locked="0"/>
    </xf>
    <xf numFmtId="210" fontId="30" fillId="0" borderId="13" xfId="3" applyNumberFormat="1" applyFont="1" applyFill="1" applyBorder="1" applyAlignment="1" applyProtection="1">
      <alignment horizontal="right" indent="1"/>
      <protection locked="0"/>
    </xf>
    <xf numFmtId="213" fontId="32" fillId="0" borderId="13" xfId="11" applyNumberFormat="1" applyFont="1" applyFill="1" applyBorder="1" applyAlignment="1" applyProtection="1">
      <alignment horizontal="right" indent="1"/>
      <protection locked="0"/>
    </xf>
    <xf numFmtId="210" fontId="32" fillId="0" borderId="12" xfId="11" applyNumberFormat="1" applyFont="1" applyFill="1" applyBorder="1" applyAlignment="1" applyProtection="1">
      <alignment horizontal="right" indent="1"/>
      <protection locked="0"/>
    </xf>
    <xf numFmtId="211" fontId="30" fillId="0" borderId="0" xfId="3" applyNumberFormat="1" applyFont="1" applyFill="1" applyBorder="1" applyAlignment="1" applyProtection="1">
      <alignment horizontal="right" indent="2"/>
      <protection locked="0"/>
    </xf>
    <xf numFmtId="213" fontId="30" fillId="0" borderId="0" xfId="3" applyNumberFormat="1" applyFont="1" applyFill="1" applyBorder="1" applyAlignment="1" applyProtection="1">
      <alignment horizontal="right" indent="1"/>
      <protection locked="0"/>
    </xf>
    <xf numFmtId="213" fontId="32" fillId="0" borderId="0" xfId="11" applyNumberFormat="1" applyFont="1" applyFill="1" applyBorder="1" applyAlignment="1" applyProtection="1">
      <alignment horizontal="right" indent="1"/>
      <protection locked="0"/>
    </xf>
    <xf numFmtId="211" fontId="32" fillId="0" borderId="14" xfId="3" applyNumberFormat="1" applyFont="1" applyFill="1" applyBorder="1" applyAlignment="1" applyProtection="1">
      <alignment horizontal="right" indent="2"/>
      <protection locked="0"/>
    </xf>
    <xf numFmtId="210" fontId="32" fillId="0" borderId="13" xfId="3" applyNumberFormat="1" applyFont="1" applyFill="1" applyBorder="1" applyAlignment="1" applyProtection="1">
      <alignment horizontal="right" indent="1"/>
      <protection locked="0"/>
    </xf>
    <xf numFmtId="0" fontId="32" fillId="0" borderId="0" xfId="3" applyFont="1" applyFill="1" applyBorder="1" applyAlignment="1">
      <alignment horizontal="left"/>
    </xf>
    <xf numFmtId="0" fontId="32" fillId="0" borderId="0" xfId="3" applyFont="1" applyFill="1" applyBorder="1" applyAlignment="1">
      <alignment horizontal="centerContinuous"/>
    </xf>
    <xf numFmtId="0" fontId="38" fillId="0" borderId="0" xfId="3" applyFont="1" applyFill="1" applyBorder="1" applyAlignment="1">
      <alignment horizontal="left"/>
    </xf>
    <xf numFmtId="217" fontId="32" fillId="0" borderId="4" xfId="3" applyNumberFormat="1" applyFont="1" applyFill="1" applyBorder="1" applyAlignment="1">
      <alignment horizontal="center"/>
    </xf>
    <xf numFmtId="217" fontId="32" fillId="0" borderId="0" xfId="3" applyNumberFormat="1" applyFont="1" applyFill="1" applyBorder="1" applyAlignment="1">
      <alignment horizontal="center"/>
    </xf>
    <xf numFmtId="209" fontId="30" fillId="0" borderId="0" xfId="3" applyNumberFormat="1" applyFont="1" applyFill="1" applyBorder="1"/>
    <xf numFmtId="209" fontId="30" fillId="0" borderId="0" xfId="3" applyNumberFormat="1" applyFont="1" applyFill="1" applyBorder="1" applyAlignment="1"/>
    <xf numFmtId="179" fontId="32" fillId="0" borderId="0" xfId="3" applyNumberFormat="1" applyFont="1" applyFill="1" applyBorder="1"/>
    <xf numFmtId="218" fontId="30" fillId="0" borderId="0" xfId="3" applyNumberFormat="1" applyFont="1" applyFill="1" applyBorder="1"/>
    <xf numFmtId="211" fontId="30" fillId="0" borderId="0" xfId="3" applyNumberFormat="1" applyFont="1" applyFill="1" applyBorder="1" applyAlignment="1"/>
    <xf numFmtId="209" fontId="32" fillId="0" borderId="0" xfId="3" applyNumberFormat="1" applyFont="1" applyFill="1" applyBorder="1"/>
    <xf numFmtId="210" fontId="30" fillId="0" borderId="0" xfId="3" applyNumberFormat="1" applyFont="1" applyFill="1" applyBorder="1"/>
    <xf numFmtId="211" fontId="32" fillId="0" borderId="0" xfId="3" applyNumberFormat="1" applyFont="1" applyBorder="1"/>
    <xf numFmtId="209" fontId="30" fillId="0" borderId="0" xfId="3" applyNumberFormat="1" applyFont="1" applyBorder="1" applyAlignment="1">
      <alignment horizontal="right"/>
    </xf>
    <xf numFmtId="207" fontId="41" fillId="0" borderId="0" xfId="3" applyNumberFormat="1" applyFont="1" applyFill="1" applyBorder="1"/>
    <xf numFmtId="208" fontId="42" fillId="0" borderId="0" xfId="3" applyNumberFormat="1" applyFont="1" applyFill="1" applyBorder="1"/>
    <xf numFmtId="181" fontId="43" fillId="0" borderId="0" xfId="3" applyNumberFormat="1" applyFont="1" applyFill="1" applyBorder="1"/>
    <xf numFmtId="228" fontId="39" fillId="0" borderId="0" xfId="3" applyNumberFormat="1" applyFont="1" applyAlignment="1">
      <alignment horizontal="right"/>
    </xf>
    <xf numFmtId="0" fontId="32" fillId="0" borderId="0" xfId="0" applyFont="1"/>
    <xf numFmtId="0" fontId="44" fillId="0" borderId="0" xfId="3" applyFont="1" applyFill="1" applyBorder="1"/>
    <xf numFmtId="0" fontId="48" fillId="0" borderId="0" xfId="3" applyFont="1" applyAlignment="1">
      <alignment horizontal="left"/>
    </xf>
    <xf numFmtId="0" fontId="32" fillId="0" borderId="0" xfId="3" applyFont="1" applyAlignment="1">
      <alignment vertical="center"/>
    </xf>
    <xf numFmtId="0" fontId="32" fillId="0" borderId="0" xfId="3" quotePrefix="1" applyFont="1" applyAlignment="1">
      <alignment horizontal="left"/>
    </xf>
    <xf numFmtId="211" fontId="39" fillId="0" borderId="0" xfId="3" applyNumberFormat="1" applyFont="1" applyAlignment="1">
      <alignment horizontal="right"/>
    </xf>
    <xf numFmtId="0" fontId="32" fillId="0" borderId="0" xfId="3" applyFont="1" applyAlignment="1">
      <alignment horizontal="center"/>
    </xf>
    <xf numFmtId="217" fontId="39" fillId="0" borderId="2" xfId="3" applyNumberFormat="1" applyFont="1" applyBorder="1" applyAlignment="1">
      <alignment horizontal="centerContinuous"/>
    </xf>
    <xf numFmtId="14" fontId="39" fillId="0" borderId="0" xfId="3" applyNumberFormat="1" applyFont="1" applyAlignment="1">
      <alignment horizontal="left"/>
    </xf>
    <xf numFmtId="210" fontId="39" fillId="0" borderId="0" xfId="3" applyNumberFormat="1" applyFont="1"/>
    <xf numFmtId="0" fontId="39" fillId="0" borderId="0" xfId="3" applyFont="1"/>
    <xf numFmtId="173" fontId="32" fillId="0" borderId="0" xfId="3" applyNumberFormat="1" applyFont="1" applyBorder="1" applyAlignment="1">
      <alignment horizontal="right"/>
    </xf>
    <xf numFmtId="226" fontId="32" fillId="0" borderId="0" xfId="3" applyNumberFormat="1" applyFont="1" applyBorder="1" applyAlignment="1">
      <alignment horizontal="right"/>
    </xf>
    <xf numFmtId="209" fontId="39" fillId="0" borderId="0" xfId="3" applyNumberFormat="1" applyFont="1"/>
    <xf numFmtId="226" fontId="39" fillId="0" borderId="0" xfId="3" applyNumberFormat="1" applyFont="1" applyBorder="1" applyAlignment="1">
      <alignment horizontal="right"/>
    </xf>
    <xf numFmtId="211" fontId="39" fillId="0" borderId="0" xfId="3" applyNumberFormat="1" applyFont="1"/>
    <xf numFmtId="215" fontId="30" fillId="0" borderId="0" xfId="3" applyNumberFormat="1" applyFont="1" applyAlignment="1">
      <alignment horizontal="left"/>
    </xf>
    <xf numFmtId="210" fontId="30" fillId="0" borderId="0" xfId="3" applyNumberFormat="1" applyFont="1"/>
    <xf numFmtId="0" fontId="32" fillId="0" borderId="0" xfId="3" applyFont="1" applyAlignment="1">
      <alignment vertical="top"/>
    </xf>
    <xf numFmtId="215" fontId="30" fillId="0" borderId="0" xfId="3" applyNumberFormat="1" applyFont="1" applyAlignment="1">
      <alignment horizontal="left" vertical="top"/>
    </xf>
    <xf numFmtId="213" fontId="30" fillId="0" borderId="0" xfId="3" applyNumberFormat="1" applyFont="1" applyAlignment="1">
      <alignment vertical="top"/>
    </xf>
    <xf numFmtId="172" fontId="39" fillId="0" borderId="0" xfId="3" applyNumberFormat="1" applyFont="1"/>
    <xf numFmtId="215" fontId="30" fillId="0" borderId="0" xfId="3" applyNumberFormat="1" applyFont="1"/>
    <xf numFmtId="165" fontId="32" fillId="0" borderId="0" xfId="3" applyNumberFormat="1" applyFont="1"/>
    <xf numFmtId="210" fontId="39" fillId="0" borderId="0" xfId="3" applyNumberFormat="1" applyFont="1" applyAlignment="1">
      <alignment horizontal="right"/>
    </xf>
    <xf numFmtId="218" fontId="39" fillId="0" borderId="0" xfId="3" applyNumberFormat="1" applyFont="1" applyFill="1" applyAlignment="1">
      <alignment horizontal="right"/>
    </xf>
    <xf numFmtId="213" fontId="39" fillId="0" borderId="0" xfId="3" applyNumberFormat="1" applyFont="1"/>
    <xf numFmtId="218" fontId="39" fillId="0" borderId="0" xfId="3" applyNumberFormat="1" applyFont="1" applyAlignment="1">
      <alignment vertical="top"/>
    </xf>
    <xf numFmtId="211" fontId="30" fillId="0" borderId="0" xfId="3" applyNumberFormat="1" applyFont="1" applyAlignment="1">
      <alignment horizontal="right"/>
    </xf>
    <xf numFmtId="211" fontId="30" fillId="0" borderId="0" xfId="3" applyNumberFormat="1" applyFont="1" applyAlignment="1">
      <alignment vertical="top"/>
    </xf>
    <xf numFmtId="211" fontId="49" fillId="0" borderId="0" xfId="3" applyNumberFormat="1" applyFont="1" applyAlignment="1">
      <alignment vertical="top"/>
    </xf>
    <xf numFmtId="218" fontId="32" fillId="0" borderId="0" xfId="3" applyNumberFormat="1" applyFont="1" applyAlignment="1">
      <alignment vertical="top"/>
    </xf>
    <xf numFmtId="218" fontId="40" fillId="0" borderId="0" xfId="3" applyNumberFormat="1" applyFont="1" applyAlignment="1">
      <alignment horizontal="right"/>
    </xf>
    <xf numFmtId="211" fontId="40" fillId="0" borderId="0" xfId="3" applyNumberFormat="1" applyFont="1" applyAlignment="1">
      <alignment horizontal="right"/>
    </xf>
    <xf numFmtId="14" fontId="30" fillId="0" borderId="0" xfId="3" applyNumberFormat="1" applyFont="1" applyAlignment="1">
      <alignment horizontal="left"/>
    </xf>
    <xf numFmtId="39" fontId="30" fillId="0" borderId="0" xfId="3" applyNumberFormat="1" applyFont="1" applyAlignment="1">
      <alignment vertical="top"/>
    </xf>
    <xf numFmtId="179" fontId="40" fillId="0" borderId="0" xfId="3" applyNumberFormat="1" applyFont="1" applyAlignment="1">
      <alignment horizontal="right"/>
    </xf>
    <xf numFmtId="14" fontId="39" fillId="0" borderId="0" xfId="3" applyNumberFormat="1" applyFont="1"/>
    <xf numFmtId="210" fontId="32" fillId="0" borderId="0" xfId="3" applyNumberFormat="1" applyFont="1"/>
    <xf numFmtId="0" fontId="38" fillId="0" borderId="0" xfId="3" applyFont="1"/>
    <xf numFmtId="211" fontId="39" fillId="0" borderId="0" xfId="3" applyNumberFormat="1" applyFont="1" applyBorder="1"/>
    <xf numFmtId="218" fontId="32" fillId="0" borderId="0" xfId="3" applyNumberFormat="1" applyFont="1"/>
    <xf numFmtId="0" fontId="32" fillId="0" borderId="0" xfId="3" applyFont="1" applyBorder="1" applyAlignment="1">
      <alignment horizontal="center"/>
    </xf>
    <xf numFmtId="211" fontId="39" fillId="0" borderId="2" xfId="3" applyNumberFormat="1" applyFont="1" applyBorder="1"/>
    <xf numFmtId="226" fontId="32" fillId="0" borderId="0" xfId="3" applyNumberFormat="1" applyFont="1" applyAlignment="1">
      <alignment horizontal="right"/>
    </xf>
    <xf numFmtId="0" fontId="32" fillId="0" borderId="0" xfId="3" quotePrefix="1" applyFont="1" applyAlignment="1">
      <alignment horizontal="left" indent="1"/>
    </xf>
    <xf numFmtId="209" fontId="32" fillId="0" borderId="0" xfId="3" applyNumberFormat="1" applyFont="1" applyBorder="1"/>
    <xf numFmtId="211" fontId="49" fillId="0" borderId="0" xfId="3" applyNumberFormat="1" applyFont="1" applyBorder="1"/>
    <xf numFmtId="226" fontId="32" fillId="0" borderId="0" xfId="3" applyNumberFormat="1" applyFont="1"/>
    <xf numFmtId="0" fontId="36" fillId="0" borderId="0" xfId="3" applyFont="1" applyBorder="1" applyAlignment="1"/>
    <xf numFmtId="0" fontId="32" fillId="0" borderId="0" xfId="3" applyFont="1" applyAlignment="1">
      <alignment horizontal="left" indent="1"/>
    </xf>
    <xf numFmtId="209" fontId="32" fillId="0" borderId="0" xfId="3" applyNumberFormat="1" applyFont="1"/>
    <xf numFmtId="0" fontId="50" fillId="0" borderId="20" xfId="3" applyFont="1" applyBorder="1"/>
    <xf numFmtId="0" fontId="32" fillId="0" borderId="8" xfId="3" applyFont="1" applyBorder="1"/>
    <xf numFmtId="0" fontId="51" fillId="0" borderId="0" xfId="3" applyFont="1"/>
    <xf numFmtId="0" fontId="50" fillId="0" borderId="0" xfId="3" applyFont="1"/>
    <xf numFmtId="0" fontId="50" fillId="0" borderId="0" xfId="3" quotePrefix="1" applyFont="1" applyAlignment="1">
      <alignment horizontal="left"/>
    </xf>
    <xf numFmtId="0" fontId="32" fillId="0" borderId="0" xfId="3" applyFont="1" applyAlignment="1">
      <alignment horizontal="left"/>
    </xf>
    <xf numFmtId="211" fontId="32" fillId="0" borderId="0" xfId="3" applyNumberFormat="1" applyFont="1"/>
    <xf numFmtId="0" fontId="52" fillId="0" borderId="0" xfId="3" applyFont="1"/>
    <xf numFmtId="0" fontId="53" fillId="0" borderId="0" xfId="3" applyFont="1" applyAlignment="1">
      <alignment horizontal="left"/>
    </xf>
    <xf numFmtId="165" fontId="49" fillId="0" borderId="0" xfId="3" applyNumberFormat="1" applyFont="1"/>
    <xf numFmtId="40" fontId="30" fillId="0" borderId="0" xfId="3" applyNumberFormat="1" applyFont="1"/>
    <xf numFmtId="0" fontId="54" fillId="8" borderId="0" xfId="3" applyFont="1" applyFill="1" applyBorder="1" applyAlignment="1">
      <alignment horizontal="left"/>
    </xf>
    <xf numFmtId="0" fontId="37" fillId="8" borderId="0" xfId="3" applyFont="1" applyFill="1"/>
    <xf numFmtId="0" fontId="32" fillId="8" borderId="0" xfId="3" applyFont="1" applyFill="1"/>
    <xf numFmtId="0" fontId="34" fillId="10" borderId="0" xfId="3" applyFont="1" applyFill="1" applyBorder="1" applyAlignment="1">
      <alignment horizontal="left"/>
    </xf>
    <xf numFmtId="0" fontId="35" fillId="10" borderId="0" xfId="3" applyFont="1" applyFill="1" applyBorder="1" applyAlignment="1">
      <alignment horizontal="centerContinuous"/>
    </xf>
    <xf numFmtId="0" fontId="32" fillId="8" borderId="0" xfId="3" applyFont="1" applyFill="1" applyBorder="1" applyAlignment="1">
      <alignment horizontal="centerContinuous"/>
    </xf>
    <xf numFmtId="0" fontId="56" fillId="0" borderId="0" xfId="3" applyFont="1" applyAlignment="1">
      <alignment horizontal="left"/>
    </xf>
    <xf numFmtId="9" fontId="32" fillId="0" borderId="0" xfId="3" applyNumberFormat="1" applyFont="1" applyAlignment="1">
      <alignment horizontal="center"/>
    </xf>
    <xf numFmtId="0" fontId="39" fillId="0" borderId="0" xfId="3" applyFont="1" applyBorder="1" applyAlignment="1">
      <alignment horizontal="centerContinuous"/>
    </xf>
    <xf numFmtId="217" fontId="39" fillId="0" borderId="0" xfId="3" applyNumberFormat="1" applyFont="1" applyBorder="1" applyAlignment="1">
      <alignment horizontal="center"/>
    </xf>
    <xf numFmtId="209" fontId="30" fillId="0" borderId="23" xfId="3" applyNumberFormat="1" applyFont="1" applyBorder="1"/>
    <xf numFmtId="209" fontId="30" fillId="0" borderId="0" xfId="3" applyNumberFormat="1" applyFont="1"/>
    <xf numFmtId="171" fontId="30" fillId="0" borderId="0" xfId="3" applyNumberFormat="1" applyFont="1"/>
    <xf numFmtId="211" fontId="30" fillId="0" borderId="0" xfId="3" applyNumberFormat="1" applyFont="1" applyBorder="1"/>
    <xf numFmtId="218" fontId="32" fillId="0" borderId="0" xfId="3" applyNumberFormat="1" applyFont="1" applyBorder="1" applyAlignment="1">
      <alignment horizontal="right"/>
    </xf>
    <xf numFmtId="211" fontId="40" fillId="0" borderId="0" xfId="3" applyNumberFormat="1" applyFont="1"/>
    <xf numFmtId="172" fontId="40" fillId="0" borderId="0" xfId="3" applyNumberFormat="1" applyFont="1"/>
    <xf numFmtId="218" fontId="32" fillId="0" borderId="0" xfId="3" applyNumberFormat="1" applyFont="1" applyAlignment="1">
      <alignment horizontal="right"/>
    </xf>
    <xf numFmtId="211" fontId="30" fillId="0" borderId="0" xfId="3" applyNumberFormat="1" applyFont="1"/>
    <xf numFmtId="0" fontId="36" fillId="0" borderId="0" xfId="3" applyFont="1"/>
    <xf numFmtId="218" fontId="36" fillId="0" borderId="0" xfId="3" applyNumberFormat="1" applyFont="1" applyAlignment="1">
      <alignment horizontal="right"/>
    </xf>
    <xf numFmtId="0" fontId="36" fillId="0" borderId="0" xfId="3" applyFont="1" applyBorder="1"/>
    <xf numFmtId="209" fontId="40" fillId="0" borderId="0" xfId="3" applyNumberFormat="1" applyFont="1"/>
    <xf numFmtId="171" fontId="40" fillId="0" borderId="0" xfId="3" applyNumberFormat="1" applyFont="1"/>
    <xf numFmtId="176" fontId="32" fillId="0" borderId="0" xfId="3" applyNumberFormat="1" applyFont="1" applyAlignment="1">
      <alignment horizontal="left"/>
    </xf>
    <xf numFmtId="176" fontId="32" fillId="0" borderId="0" xfId="3" applyNumberFormat="1" applyFont="1"/>
    <xf numFmtId="172" fontId="32" fillId="0" borderId="0" xfId="3" applyNumberFormat="1" applyFont="1"/>
    <xf numFmtId="0" fontId="36" fillId="0" borderId="0" xfId="3" applyFont="1" applyAlignment="1">
      <alignment horizontal="left"/>
    </xf>
    <xf numFmtId="210" fontId="57" fillId="0" borderId="22" xfId="3" applyNumberFormat="1" applyFont="1" applyBorder="1"/>
    <xf numFmtId="210" fontId="57" fillId="0" borderId="0" xfId="3" applyNumberFormat="1" applyFont="1"/>
    <xf numFmtId="165" fontId="57" fillId="0" borderId="0" xfId="3" applyNumberFormat="1" applyFont="1"/>
    <xf numFmtId="210" fontId="40" fillId="0" borderId="0" xfId="3" applyNumberFormat="1" applyFont="1"/>
    <xf numFmtId="165" fontId="40" fillId="0" borderId="0" xfId="3" applyNumberFormat="1" applyFont="1"/>
    <xf numFmtId="216" fontId="30" fillId="0" borderId="0" xfId="3" applyNumberFormat="1" applyFont="1"/>
    <xf numFmtId="216" fontId="40" fillId="0" borderId="0" xfId="3" applyNumberFormat="1" applyFont="1"/>
    <xf numFmtId="216" fontId="32" fillId="0" borderId="0" xfId="3" applyNumberFormat="1" applyFont="1"/>
    <xf numFmtId="180" fontId="32" fillId="0" borderId="0" xfId="3" applyNumberFormat="1" applyFont="1" applyAlignment="1">
      <alignment horizontal="right"/>
    </xf>
    <xf numFmtId="214" fontId="32" fillId="0" borderId="0" xfId="3" applyNumberFormat="1" applyFont="1" applyAlignment="1">
      <alignment horizontal="right"/>
    </xf>
    <xf numFmtId="0" fontId="32" fillId="0" borderId="0" xfId="3" applyFont="1" applyBorder="1" applyAlignment="1">
      <alignment horizontal="left"/>
    </xf>
    <xf numFmtId="172" fontId="32" fillId="0" borderId="0" xfId="3" applyNumberFormat="1" applyFont="1" applyBorder="1"/>
    <xf numFmtId="218" fontId="40" fillId="0" borderId="0" xfId="3" applyNumberFormat="1" applyFont="1"/>
    <xf numFmtId="175" fontId="32" fillId="0" borderId="0" xfId="3" applyNumberFormat="1" applyFont="1" applyAlignment="1">
      <alignment horizontal="right"/>
    </xf>
    <xf numFmtId="179" fontId="40" fillId="0" borderId="0" xfId="3" applyNumberFormat="1" applyFont="1"/>
    <xf numFmtId="218" fontId="40" fillId="0" borderId="0" xfId="3" quotePrefix="1" applyNumberFormat="1" applyFont="1" applyAlignment="1">
      <alignment horizontal="right"/>
    </xf>
    <xf numFmtId="0" fontId="32" fillId="0" borderId="0" xfId="3" applyFont="1" applyBorder="1" applyAlignment="1">
      <alignment horizontal="right"/>
    </xf>
    <xf numFmtId="0" fontId="50" fillId="0" borderId="8" xfId="3" applyFont="1" applyBorder="1"/>
    <xf numFmtId="0" fontId="32" fillId="0" borderId="20" xfId="3" applyFont="1" applyBorder="1"/>
    <xf numFmtId="0" fontId="32" fillId="0" borderId="0" xfId="3" applyFont="1" applyAlignment="1">
      <alignment horizontal="right"/>
    </xf>
    <xf numFmtId="0" fontId="59" fillId="0" borderId="7" xfId="3" applyFont="1" applyBorder="1" applyAlignment="1">
      <alignment horizontal="left"/>
    </xf>
    <xf numFmtId="0" fontId="60" fillId="0" borderId="0" xfId="3" applyFont="1" applyFill="1"/>
    <xf numFmtId="0" fontId="36" fillId="0" borderId="0" xfId="3" applyFont="1" applyFill="1"/>
    <xf numFmtId="179" fontId="30" fillId="0" borderId="0" xfId="3" applyNumberFormat="1" applyFont="1"/>
    <xf numFmtId="179" fontId="30" fillId="0" borderId="0" xfId="3" applyNumberFormat="1" applyFont="1" applyBorder="1"/>
    <xf numFmtId="0" fontId="37" fillId="0" borderId="0" xfId="3" applyFont="1"/>
    <xf numFmtId="218" fontId="48" fillId="0" borderId="0" xfId="3" applyNumberFormat="1" applyFont="1"/>
    <xf numFmtId="218" fontId="37" fillId="0" borderId="0" xfId="3" applyNumberFormat="1" applyFont="1"/>
    <xf numFmtId="211" fontId="32" fillId="0" borderId="2" xfId="3" applyNumberFormat="1" applyFont="1" applyBorder="1"/>
    <xf numFmtId="0" fontId="36" fillId="8" borderId="2" xfId="3" applyFont="1" applyFill="1" applyBorder="1" applyAlignment="1">
      <alignment horizontal="centerContinuous"/>
    </xf>
    <xf numFmtId="0" fontId="46" fillId="7" borderId="0" xfId="3" applyFont="1" applyFill="1" applyBorder="1" applyAlignment="1">
      <alignment horizontal="centerContinuous"/>
    </xf>
    <xf numFmtId="0" fontId="38" fillId="0" borderId="0" xfId="3" applyFont="1" applyFill="1"/>
    <xf numFmtId="0" fontId="61" fillId="0" borderId="0" xfId="3" applyFont="1" applyBorder="1"/>
    <xf numFmtId="0" fontId="61" fillId="0" borderId="0" xfId="3" applyFont="1" applyBorder="1" applyAlignment="1">
      <alignment horizontal="centerContinuous"/>
    </xf>
    <xf numFmtId="0" fontId="32" fillId="0" borderId="0" xfId="3" applyFont="1" applyBorder="1" applyAlignment="1"/>
    <xf numFmtId="0" fontId="54" fillId="8" borderId="2" xfId="3" applyFont="1" applyFill="1" applyBorder="1" applyAlignment="1">
      <alignment horizontal="centerContinuous"/>
    </xf>
    <xf numFmtId="0" fontId="39" fillId="0" borderId="8" xfId="3" applyFont="1" applyFill="1" applyBorder="1" applyAlignment="1">
      <alignment horizontal="centerContinuous"/>
    </xf>
    <xf numFmtId="0" fontId="39" fillId="0" borderId="0" xfId="3" applyFont="1" applyFill="1" applyBorder="1"/>
    <xf numFmtId="217" fontId="39" fillId="0" borderId="0" xfId="3" applyNumberFormat="1" applyFont="1" applyFill="1" applyBorder="1" applyAlignment="1">
      <alignment horizontal="centerContinuous"/>
    </xf>
    <xf numFmtId="0" fontId="63" fillId="0" borderId="0" xfId="3" applyFont="1"/>
    <xf numFmtId="0" fontId="32" fillId="0" borderId="21" xfId="3" applyFont="1" applyBorder="1"/>
    <xf numFmtId="0" fontId="32" fillId="0" borderId="19" xfId="3" applyFont="1" applyBorder="1"/>
    <xf numFmtId="0" fontId="32" fillId="0" borderId="23" xfId="3" applyFont="1" applyBorder="1"/>
    <xf numFmtId="0" fontId="32" fillId="0" borderId="23" xfId="3" applyFont="1" applyBorder="1" applyAlignment="1">
      <alignment horizontal="centerContinuous"/>
    </xf>
    <xf numFmtId="0" fontId="64" fillId="0" borderId="0" xfId="3" applyFont="1" applyBorder="1" applyAlignment="1">
      <alignment horizontal="centerContinuous"/>
    </xf>
    <xf numFmtId="171" fontId="49" fillId="0" borderId="0" xfId="3" applyNumberFormat="1" applyFont="1" applyBorder="1"/>
    <xf numFmtId="171" fontId="32" fillId="0" borderId="0" xfId="3" applyNumberFormat="1" applyFont="1" applyBorder="1"/>
    <xf numFmtId="172" fontId="49" fillId="0" borderId="0" xfId="3" applyNumberFormat="1" applyFont="1" applyBorder="1"/>
    <xf numFmtId="211" fontId="30" fillId="0" borderId="2" xfId="3" applyNumberFormat="1" applyFont="1" applyBorder="1"/>
    <xf numFmtId="209" fontId="32" fillId="0" borderId="9" xfId="3" applyNumberFormat="1" applyFont="1" applyBorder="1"/>
    <xf numFmtId="178" fontId="32" fillId="0" borderId="0" xfId="3" applyNumberFormat="1" applyFont="1"/>
    <xf numFmtId="178" fontId="32" fillId="0" borderId="0" xfId="3" applyNumberFormat="1" applyFont="1" applyBorder="1"/>
    <xf numFmtId="0" fontId="53" fillId="0" borderId="8" xfId="3" applyFont="1" applyBorder="1"/>
    <xf numFmtId="0" fontId="53" fillId="0" borderId="20" xfId="3" applyFont="1" applyBorder="1"/>
    <xf numFmtId="168" fontId="53" fillId="0" borderId="8" xfId="3" applyNumberFormat="1" applyFont="1" applyBorder="1"/>
    <xf numFmtId="168" fontId="32" fillId="0" borderId="0" xfId="3" applyNumberFormat="1" applyFont="1" applyBorder="1"/>
    <xf numFmtId="226" fontId="32" fillId="0" borderId="0" xfId="3" applyNumberFormat="1" applyFont="1" applyBorder="1"/>
    <xf numFmtId="0" fontId="32" fillId="0" borderId="0" xfId="3" applyFont="1" applyFill="1" applyAlignment="1">
      <alignment horizontal="left" indent="1"/>
    </xf>
    <xf numFmtId="179" fontId="32" fillId="0" borderId="0" xfId="3" applyNumberFormat="1" applyFont="1" applyBorder="1"/>
    <xf numFmtId="209" fontId="32" fillId="0" borderId="0" xfId="3" applyNumberFormat="1" applyFont="1" applyAlignment="1">
      <alignment horizontal="right"/>
    </xf>
    <xf numFmtId="0" fontId="32" fillId="0" borderId="2" xfId="3" applyFont="1" applyBorder="1" applyAlignment="1">
      <alignment horizontal="centerContinuous"/>
    </xf>
    <xf numFmtId="218" fontId="32" fillId="0" borderId="4" xfId="3" applyNumberFormat="1" applyFont="1" applyFill="1" applyBorder="1"/>
    <xf numFmtId="218" fontId="30" fillId="0" borderId="0" xfId="3" applyNumberFormat="1" applyFont="1"/>
    <xf numFmtId="0" fontId="38" fillId="0" borderId="0" xfId="3" applyFont="1" applyAlignment="1">
      <alignment horizontal="left"/>
    </xf>
    <xf numFmtId="0" fontId="45" fillId="7" borderId="0" xfId="3" applyFont="1" applyFill="1" applyBorder="1" applyAlignment="1">
      <alignment horizontal="left"/>
    </xf>
    <xf numFmtId="0" fontId="55" fillId="7" borderId="0" xfId="3" applyFont="1" applyFill="1" applyBorder="1" applyAlignment="1"/>
    <xf numFmtId="219" fontId="47" fillId="7" borderId="0" xfId="3" applyNumberFormat="1" applyFont="1" applyFill="1" applyBorder="1" applyAlignment="1"/>
    <xf numFmtId="0" fontId="56" fillId="11" borderId="0" xfId="3" applyFont="1" applyFill="1"/>
    <xf numFmtId="0" fontId="46" fillId="7" borderId="0" xfId="0" applyFont="1" applyFill="1" applyBorder="1"/>
    <xf numFmtId="0" fontId="45" fillId="7" borderId="0" xfId="3" applyFont="1" applyFill="1" applyBorder="1" applyAlignment="1">
      <alignment horizontal="centerContinuous"/>
    </xf>
    <xf numFmtId="0" fontId="62" fillId="7" borderId="0" xfId="3" applyFont="1" applyFill="1" applyBorder="1" applyAlignment="1">
      <alignment horizontal="centerContinuous"/>
    </xf>
    <xf numFmtId="0" fontId="65" fillId="7" borderId="0" xfId="3" applyFont="1" applyFill="1" applyBorder="1" applyAlignment="1">
      <alignment horizontal="right"/>
    </xf>
    <xf numFmtId="0" fontId="66" fillId="0" borderId="0" xfId="3" applyFont="1" applyFill="1" applyBorder="1"/>
    <xf numFmtId="211" fontId="36" fillId="0" borderId="12" xfId="3" applyNumberFormat="1" applyFont="1" applyBorder="1"/>
    <xf numFmtId="0" fontId="36" fillId="0" borderId="0" xfId="3" applyFont="1" applyFill="1" applyBorder="1"/>
    <xf numFmtId="211" fontId="30" fillId="0" borderId="0" xfId="3" applyNumberFormat="1" applyFont="1" applyFill="1"/>
    <xf numFmtId="211" fontId="32" fillId="0" borderId="0" xfId="3" applyNumberFormat="1" applyFont="1" applyFill="1" applyAlignment="1">
      <alignment horizontal="right"/>
    </xf>
    <xf numFmtId="209" fontId="49" fillId="0" borderId="0" xfId="3" applyNumberFormat="1" applyFont="1"/>
    <xf numFmtId="0" fontId="68" fillId="0" borderId="0" xfId="3" applyFont="1" applyBorder="1"/>
    <xf numFmtId="0" fontId="54" fillId="8" borderId="0" xfId="3" applyFont="1" applyFill="1" applyBorder="1"/>
    <xf numFmtId="9" fontId="32" fillId="0" borderId="0" xfId="3" applyNumberFormat="1" applyFont="1" applyBorder="1"/>
    <xf numFmtId="180" fontId="32" fillId="0" borderId="0" xfId="3" applyNumberFormat="1" applyFont="1"/>
    <xf numFmtId="0" fontId="69" fillId="0" borderId="0" xfId="3" applyFont="1" applyBorder="1" applyAlignment="1">
      <alignment horizontal="right" indent="1"/>
    </xf>
    <xf numFmtId="211" fontId="32" fillId="0" borderId="2" xfId="3" applyNumberFormat="1" applyFont="1" applyFill="1" applyBorder="1"/>
    <xf numFmtId="0" fontId="30" fillId="0" borderId="0" xfId="3" applyFont="1" applyAlignment="1">
      <alignment horizontal="left" indent="1"/>
    </xf>
    <xf numFmtId="0" fontId="30" fillId="0" borderId="0" xfId="3" applyFont="1" applyBorder="1" applyAlignment="1">
      <alignment horizontal="center"/>
    </xf>
    <xf numFmtId="223" fontId="30" fillId="0" borderId="0" xfId="3" applyNumberFormat="1" applyFont="1" applyBorder="1"/>
    <xf numFmtId="230" fontId="30" fillId="0" borderId="0" xfId="3" applyNumberFormat="1" applyFont="1" applyBorder="1"/>
    <xf numFmtId="0" fontId="34" fillId="9" borderId="15" xfId="3" applyFont="1" applyFill="1" applyBorder="1" applyAlignment="1">
      <alignment horizontal="left"/>
    </xf>
    <xf numFmtId="0" fontId="58" fillId="9" borderId="15" xfId="3" applyFont="1" applyFill="1" applyBorder="1" applyAlignment="1">
      <alignment horizontal="centerContinuous"/>
    </xf>
    <xf numFmtId="0" fontId="58" fillId="9" borderId="15" xfId="3" applyFont="1" applyFill="1" applyBorder="1"/>
    <xf numFmtId="211" fontId="32" fillId="0" borderId="0" xfId="3" applyNumberFormat="1" applyFont="1" applyBorder="1" applyAlignment="1">
      <alignment horizontal="right"/>
    </xf>
    <xf numFmtId="216" fontId="30" fillId="0" borderId="0" xfId="3" applyNumberFormat="1" applyFont="1" applyBorder="1"/>
    <xf numFmtId="209" fontId="32" fillId="0" borderId="0" xfId="3" applyNumberFormat="1" applyFont="1" applyFill="1"/>
    <xf numFmtId="218" fontId="32" fillId="0" borderId="0" xfId="3" applyNumberFormat="1" applyFont="1" applyFill="1"/>
    <xf numFmtId="220" fontId="54" fillId="8" borderId="0" xfId="3" applyNumberFormat="1" applyFont="1" applyFill="1" applyBorder="1" applyAlignment="1">
      <alignment horizontal="left"/>
    </xf>
    <xf numFmtId="218" fontId="39" fillId="0" borderId="0" xfId="3" applyNumberFormat="1" applyFont="1" applyAlignment="1">
      <alignment horizontal="right"/>
    </xf>
    <xf numFmtId="209" fontId="32" fillId="0" borderId="14" xfId="3" applyNumberFormat="1" applyFont="1" applyBorder="1"/>
    <xf numFmtId="209" fontId="32" fillId="0" borderId="13" xfId="3" applyNumberFormat="1" applyFont="1" applyBorder="1"/>
    <xf numFmtId="211" fontId="30" fillId="0" borderId="2" xfId="3" applyNumberFormat="1" applyFont="1" applyFill="1" applyBorder="1"/>
    <xf numFmtId="211" fontId="30" fillId="0" borderId="0" xfId="3" applyNumberFormat="1" applyFont="1" applyBorder="1" applyAlignment="1">
      <alignment horizontal="right"/>
    </xf>
    <xf numFmtId="211" fontId="32" fillId="0" borderId="17" xfId="3" applyNumberFormat="1" applyFont="1" applyBorder="1" applyAlignment="1">
      <alignment horizontal="right"/>
    </xf>
    <xf numFmtId="211" fontId="39" fillId="0" borderId="0" xfId="3" applyNumberFormat="1" applyFont="1" applyFill="1" applyBorder="1" applyAlignment="1">
      <alignment horizontal="right"/>
    </xf>
    <xf numFmtId="0" fontId="30" fillId="0" borderId="0" xfId="3" applyFont="1" applyBorder="1"/>
    <xf numFmtId="0" fontId="36" fillId="0" borderId="0" xfId="3" applyFont="1" applyAlignment="1">
      <alignment horizontal="left" indent="1"/>
    </xf>
    <xf numFmtId="164" fontId="39" fillId="0" borderId="0" xfId="3" applyNumberFormat="1" applyFont="1"/>
    <xf numFmtId="211" fontId="32" fillId="0" borderId="14" xfId="3" applyNumberFormat="1" applyFont="1" applyFill="1" applyBorder="1" applyAlignment="1">
      <alignment horizontal="right"/>
    </xf>
    <xf numFmtId="10" fontId="38" fillId="0" borderId="0" xfId="3" applyNumberFormat="1" applyFont="1" applyBorder="1" applyAlignment="1">
      <alignment horizontal="center"/>
    </xf>
    <xf numFmtId="227" fontId="54" fillId="8" borderId="0" xfId="3" applyNumberFormat="1" applyFont="1" applyFill="1" applyBorder="1" applyAlignment="1">
      <alignment horizontal="center"/>
    </xf>
    <xf numFmtId="225" fontId="54" fillId="8" borderId="0" xfId="3" applyNumberFormat="1" applyFont="1" applyFill="1" applyBorder="1" applyAlignment="1">
      <alignment horizontal="center"/>
    </xf>
    <xf numFmtId="178" fontId="32" fillId="0" borderId="0" xfId="3" applyNumberFormat="1" applyFont="1" applyFill="1" applyBorder="1" applyAlignment="1">
      <alignment horizontal="right"/>
    </xf>
    <xf numFmtId="209" fontId="49" fillId="0" borderId="0" xfId="3" applyNumberFormat="1" applyFont="1" applyFill="1"/>
    <xf numFmtId="209" fontId="30" fillId="0" borderId="0" xfId="3" applyNumberFormat="1" applyFont="1" applyFill="1"/>
    <xf numFmtId="213" fontId="32" fillId="0" borderId="0" xfId="3" applyNumberFormat="1" applyFont="1" applyFill="1" applyBorder="1" applyAlignment="1">
      <alignment horizontal="left"/>
    </xf>
    <xf numFmtId="0" fontId="37" fillId="0" borderId="0" xfId="3" applyFont="1" applyFill="1" applyBorder="1" applyAlignment="1">
      <alignment horizontal="right"/>
    </xf>
    <xf numFmtId="223" fontId="32" fillId="0" borderId="0" xfId="3" applyNumberFormat="1" applyFont="1" applyBorder="1"/>
    <xf numFmtId="216" fontId="30" fillId="0" borderId="0" xfId="3" applyNumberFormat="1" applyFont="1" applyFill="1" applyBorder="1"/>
    <xf numFmtId="218" fontId="49" fillId="0" borderId="0" xfId="3" applyNumberFormat="1" applyFont="1"/>
    <xf numFmtId="0" fontId="37" fillId="0" borderId="0" xfId="3" applyFont="1" applyAlignment="1">
      <alignment horizontal="left" indent="1"/>
    </xf>
    <xf numFmtId="0" fontId="32" fillId="0" borderId="0" xfId="3" quotePrefix="1" applyFont="1" applyBorder="1"/>
    <xf numFmtId="168" fontId="32" fillId="0" borderId="0" xfId="3" applyNumberFormat="1" applyFont="1" applyFill="1" applyBorder="1"/>
    <xf numFmtId="168" fontId="32" fillId="0" borderId="0" xfId="3" applyNumberFormat="1" applyFont="1"/>
    <xf numFmtId="211" fontId="32" fillId="0" borderId="14" xfId="3" applyNumberFormat="1" applyFont="1" applyBorder="1"/>
    <xf numFmtId="211" fontId="36" fillId="0" borderId="13" xfId="3" applyNumberFormat="1" applyFont="1" applyBorder="1"/>
    <xf numFmtId="211" fontId="36" fillId="0" borderId="14" xfId="3" applyNumberFormat="1" applyFont="1" applyFill="1" applyBorder="1"/>
    <xf numFmtId="178" fontId="30" fillId="0" borderId="0" xfId="3" applyNumberFormat="1" applyFont="1"/>
    <xf numFmtId="218" fontId="30" fillId="0" borderId="0" xfId="3" applyNumberFormat="1" applyFont="1" applyFill="1"/>
    <xf numFmtId="211" fontId="32" fillId="0" borderId="13" xfId="3" applyNumberFormat="1" applyFont="1" applyBorder="1"/>
    <xf numFmtId="178" fontId="30" fillId="0" borderId="0" xfId="3" applyNumberFormat="1" applyFont="1" applyBorder="1"/>
    <xf numFmtId="210" fontId="36" fillId="0" borderId="0" xfId="3" applyNumberFormat="1" applyFont="1" applyBorder="1"/>
    <xf numFmtId="216" fontId="49" fillId="0" borderId="0" xfId="3" applyNumberFormat="1" applyFont="1" applyFill="1" applyBorder="1"/>
    <xf numFmtId="220" fontId="54" fillId="8" borderId="0" xfId="3" applyNumberFormat="1" applyFont="1" applyFill="1" applyBorder="1" applyAlignment="1">
      <alignment horizontal="center"/>
    </xf>
    <xf numFmtId="227" fontId="54" fillId="8" borderId="16" xfId="3" applyNumberFormat="1" applyFont="1" applyFill="1" applyBorder="1" applyAlignment="1">
      <alignment horizontal="center"/>
    </xf>
    <xf numFmtId="224" fontId="54" fillId="8" borderId="0" xfId="3" applyNumberFormat="1" applyFont="1" applyFill="1" applyBorder="1" applyAlignment="1">
      <alignment horizontal="center"/>
    </xf>
    <xf numFmtId="172" fontId="30" fillId="0" borderId="0" xfId="3" applyNumberFormat="1" applyFont="1"/>
    <xf numFmtId="211" fontId="32" fillId="0" borderId="12" xfId="3" applyNumberFormat="1" applyFont="1" applyBorder="1"/>
    <xf numFmtId="0" fontId="36" fillId="0" borderId="0" xfId="3" applyFont="1" applyBorder="1" applyAlignment="1">
      <alignment horizontal="left" indent="1"/>
    </xf>
    <xf numFmtId="211" fontId="32" fillId="0" borderId="0" xfId="3" applyNumberFormat="1" applyFont="1" applyFill="1" applyBorder="1" applyAlignment="1">
      <alignment horizontal="center"/>
    </xf>
    <xf numFmtId="211" fontId="32" fillId="0" borderId="14" xfId="3" applyNumberFormat="1" applyFont="1" applyFill="1" applyBorder="1"/>
    <xf numFmtId="211" fontId="32" fillId="0" borderId="0" xfId="3" applyNumberFormat="1" applyFont="1" applyBorder="1" applyAlignment="1">
      <alignment horizontal="center"/>
    </xf>
    <xf numFmtId="209" fontId="30" fillId="0" borderId="0" xfId="3" applyNumberFormat="1" applyFont="1" applyBorder="1" applyAlignment="1">
      <alignment horizontal="center"/>
    </xf>
    <xf numFmtId="9" fontId="32" fillId="0" borderId="0" xfId="3" applyNumberFormat="1" applyFont="1" applyBorder="1" applyAlignment="1">
      <alignment horizontal="center"/>
    </xf>
    <xf numFmtId="211" fontId="32" fillId="0" borderId="27" xfId="3" applyNumberFormat="1" applyFont="1" applyBorder="1"/>
    <xf numFmtId="211" fontId="32" fillId="0" borderId="28" xfId="3" applyNumberFormat="1" applyFont="1" applyBorder="1"/>
    <xf numFmtId="211" fontId="32" fillId="0" borderId="29" xfId="3" applyNumberFormat="1" applyFont="1" applyBorder="1"/>
    <xf numFmtId="10" fontId="32" fillId="0" borderId="0" xfId="3" applyNumberFormat="1" applyFont="1" applyBorder="1"/>
    <xf numFmtId="230" fontId="32" fillId="0" borderId="21" xfId="3" applyNumberFormat="1" applyFont="1" applyBorder="1"/>
    <xf numFmtId="230" fontId="32" fillId="0" borderId="22" xfId="3" applyNumberFormat="1" applyFont="1" applyBorder="1"/>
    <xf numFmtId="230" fontId="32" fillId="0" borderId="23" xfId="3" applyNumberFormat="1" applyFont="1" applyBorder="1"/>
    <xf numFmtId="0" fontId="30" fillId="0" borderId="21" xfId="3" applyFont="1" applyBorder="1" applyAlignment="1">
      <alignment horizontal="center"/>
    </xf>
    <xf numFmtId="223" fontId="30" fillId="0" borderId="22" xfId="3" applyNumberFormat="1" applyFont="1" applyBorder="1"/>
    <xf numFmtId="230" fontId="30" fillId="0" borderId="22" xfId="3" applyNumberFormat="1" applyFont="1" applyBorder="1"/>
    <xf numFmtId="230" fontId="30" fillId="0" borderId="23" xfId="3" applyNumberFormat="1" applyFont="1" applyBorder="1"/>
    <xf numFmtId="213" fontId="30" fillId="0" borderId="0" xfId="3" applyNumberFormat="1" applyFont="1" applyFill="1" applyBorder="1" applyAlignment="1">
      <alignment horizontal="left"/>
    </xf>
    <xf numFmtId="168" fontId="33" fillId="0" borderId="0" xfId="3" applyNumberFormat="1" applyFont="1"/>
    <xf numFmtId="0" fontId="37" fillId="0" borderId="0" xfId="3" applyFont="1" applyAlignment="1">
      <alignment horizontal="left"/>
    </xf>
    <xf numFmtId="37" fontId="33" fillId="5" borderId="5" xfId="3" applyNumberFormat="1" applyFont="1" applyFill="1" applyBorder="1" applyAlignment="1">
      <alignment horizontal="centerContinuous"/>
    </xf>
    <xf numFmtId="224" fontId="36" fillId="0" borderId="0" xfId="3" applyNumberFormat="1" applyFont="1" applyFill="1" applyBorder="1" applyAlignment="1">
      <alignment horizontal="center"/>
    </xf>
    <xf numFmtId="225" fontId="36" fillId="0" borderId="0" xfId="3" applyNumberFormat="1" applyFont="1" applyFill="1" applyBorder="1" applyAlignment="1">
      <alignment horizontal="center"/>
    </xf>
    <xf numFmtId="0" fontId="36" fillId="0" borderId="0" xfId="3" applyFont="1" applyBorder="1" applyAlignment="1">
      <alignment horizontal="center"/>
    </xf>
    <xf numFmtId="0" fontId="60" fillId="0" borderId="0" xfId="3" applyFont="1"/>
    <xf numFmtId="37" fontId="36" fillId="0" borderId="5" xfId="3" applyNumberFormat="1" applyFont="1" applyBorder="1" applyAlignment="1">
      <alignment horizontal="centerContinuous"/>
    </xf>
    <xf numFmtId="218" fontId="32" fillId="0" borderId="11" xfId="3" applyNumberFormat="1" applyFont="1" applyBorder="1"/>
    <xf numFmtId="0" fontId="30" fillId="0" borderId="8" xfId="3" applyFont="1" applyBorder="1" applyAlignment="1">
      <alignment horizontal="center"/>
    </xf>
    <xf numFmtId="0" fontId="30" fillId="0" borderId="8" xfId="3" applyFont="1" applyBorder="1"/>
    <xf numFmtId="216" fontId="51" fillId="0" borderId="0" xfId="3" applyNumberFormat="1" applyFont="1" applyBorder="1" applyAlignment="1">
      <alignment horizontal="center"/>
    </xf>
    <xf numFmtId="216" fontId="41" fillId="0" borderId="0" xfId="3" applyNumberFormat="1" applyFont="1" applyAlignment="1">
      <alignment horizontal="center"/>
    </xf>
    <xf numFmtId="216" fontId="41" fillId="0" borderId="0" xfId="3" applyNumberFormat="1" applyFont="1" applyBorder="1" applyAlignment="1">
      <alignment horizontal="center"/>
    </xf>
    <xf numFmtId="211" fontId="36" fillId="0" borderId="0" xfId="3" applyNumberFormat="1" applyFont="1" applyFill="1" applyBorder="1"/>
    <xf numFmtId="0" fontId="39" fillId="0" borderId="0" xfId="3" applyFont="1" applyFill="1" applyBorder="1" applyAlignment="1">
      <alignment horizontal="centerContinuous"/>
    </xf>
    <xf numFmtId="229" fontId="32" fillId="0" borderId="0" xfId="3" applyNumberFormat="1" applyFont="1" applyBorder="1"/>
    <xf numFmtId="210" fontId="36" fillId="0" borderId="0" xfId="3" applyNumberFormat="1" applyFont="1" applyFill="1" applyBorder="1"/>
    <xf numFmtId="216" fontId="49" fillId="0" borderId="0" xfId="3" applyNumberFormat="1" applyFont="1" applyBorder="1"/>
    <xf numFmtId="221" fontId="36" fillId="0" borderId="0" xfId="3" applyNumberFormat="1" applyFont="1" applyFill="1" applyBorder="1" applyAlignment="1">
      <alignment horizontal="left"/>
    </xf>
    <xf numFmtId="221" fontId="36" fillId="0" borderId="0" xfId="3" applyNumberFormat="1" applyFont="1" applyFill="1" applyBorder="1" applyAlignment="1">
      <alignment horizontal="center"/>
    </xf>
    <xf numFmtId="220" fontId="36" fillId="0" borderId="8" xfId="3" applyNumberFormat="1" applyFont="1" applyFill="1" applyBorder="1" applyAlignment="1">
      <alignment horizontal="center"/>
    </xf>
    <xf numFmtId="220" fontId="36" fillId="0" borderId="4" xfId="3" applyNumberFormat="1" applyFont="1" applyFill="1" applyBorder="1" applyAlignment="1">
      <alignment horizontal="center"/>
    </xf>
    <xf numFmtId="221" fontId="36" fillId="0" borderId="4" xfId="3" applyNumberFormat="1" applyFont="1" applyFill="1" applyBorder="1" applyAlignment="1">
      <alignment horizontal="center"/>
    </xf>
    <xf numFmtId="222" fontId="36" fillId="0" borderId="4" xfId="3" applyNumberFormat="1" applyFont="1" applyFill="1" applyBorder="1" applyAlignment="1">
      <alignment horizontal="center"/>
    </xf>
    <xf numFmtId="0" fontId="60" fillId="0" borderId="0" xfId="3" applyFont="1" applyBorder="1"/>
    <xf numFmtId="37" fontId="36" fillId="0" borderId="5" xfId="3" applyNumberFormat="1" applyFont="1" applyBorder="1" applyAlignment="1">
      <alignment horizontal="center"/>
    </xf>
    <xf numFmtId="218" fontId="32" fillId="0" borderId="10" xfId="3" applyNumberFormat="1" applyFont="1" applyFill="1" applyBorder="1"/>
    <xf numFmtId="180" fontId="30" fillId="0" borderId="0" xfId="3" applyNumberFormat="1" applyFont="1" applyFill="1"/>
    <xf numFmtId="218" fontId="32" fillId="0" borderId="4" xfId="3" applyNumberFormat="1" applyFont="1" applyBorder="1"/>
    <xf numFmtId="0" fontId="70" fillId="0" borderId="0" xfId="3" applyFont="1" applyFill="1"/>
    <xf numFmtId="0" fontId="63" fillId="0" borderId="0" xfId="3" applyFont="1" applyBorder="1" applyAlignment="1">
      <alignment horizontal="left"/>
    </xf>
    <xf numFmtId="0" fontId="71" fillId="0" borderId="0" xfId="3" applyFont="1" applyFill="1" applyBorder="1" applyAlignment="1">
      <alignment horizontal="centerContinuous"/>
    </xf>
    <xf numFmtId="0" fontId="39" fillId="0" borderId="0" xfId="0" applyFont="1" applyFill="1"/>
    <xf numFmtId="0" fontId="72" fillId="0" borderId="0" xfId="3" applyFont="1" applyFill="1" applyAlignment="1">
      <alignment horizontal="right"/>
    </xf>
    <xf numFmtId="0" fontId="73" fillId="10" borderId="0" xfId="67" applyFont="1" applyFill="1"/>
    <xf numFmtId="0" fontId="73" fillId="0" borderId="0" xfId="67" applyFont="1" applyFill="1" applyBorder="1"/>
    <xf numFmtId="0" fontId="74" fillId="0" borderId="0" xfId="67" applyFont="1" applyFill="1" applyBorder="1" applyProtection="1">
      <protection locked="0"/>
    </xf>
    <xf numFmtId="0" fontId="67" fillId="0" borderId="0" xfId="67" applyFont="1" applyFill="1" applyBorder="1" applyAlignment="1">
      <alignment horizontal="right"/>
    </xf>
    <xf numFmtId="0" fontId="73" fillId="0" borderId="0" xfId="67" applyFont="1" applyFill="1" applyBorder="1" applyProtection="1">
      <protection locked="0"/>
    </xf>
    <xf numFmtId="0" fontId="76" fillId="0" borderId="0" xfId="68" applyFont="1" applyFill="1" applyBorder="1" applyProtection="1">
      <protection locked="0"/>
    </xf>
    <xf numFmtId="0" fontId="73" fillId="0" borderId="20" xfId="67" applyFont="1" applyFill="1" applyBorder="1"/>
    <xf numFmtId="0" fontId="77" fillId="0" borderId="0" xfId="69" applyFont="1" applyFill="1" applyBorder="1"/>
    <xf numFmtId="0" fontId="78" fillId="7" borderId="0" xfId="67" applyFont="1" applyFill="1" applyBorder="1"/>
    <xf numFmtId="0" fontId="73" fillId="7" borderId="0" xfId="67" applyFont="1" applyFill="1" applyBorder="1"/>
    <xf numFmtId="0" fontId="73" fillId="11" borderId="0" xfId="67" applyFont="1" applyFill="1"/>
    <xf numFmtId="0" fontId="78" fillId="7" borderId="0" xfId="67" applyFont="1" applyFill="1"/>
    <xf numFmtId="218" fontId="32" fillId="0" borderId="18" xfId="3" applyNumberFormat="1" applyFont="1" applyBorder="1" applyAlignment="1">
      <alignment horizontal="right"/>
    </xf>
    <xf numFmtId="0" fontId="67" fillId="0" borderId="2" xfId="67" applyFont="1" applyFill="1" applyBorder="1" applyProtection="1">
      <protection locked="0"/>
    </xf>
    <xf numFmtId="211" fontId="30" fillId="0" borderId="17" xfId="3" applyNumberFormat="1" applyFont="1" applyBorder="1" applyAlignment="1">
      <alignment horizontal="right"/>
    </xf>
    <xf numFmtId="209" fontId="39" fillId="0" borderId="0" xfId="3" applyNumberFormat="1" applyFont="1" applyFill="1"/>
    <xf numFmtId="0" fontId="36" fillId="0" borderId="26" xfId="3" applyFont="1" applyFill="1" applyBorder="1"/>
    <xf numFmtId="0" fontId="32" fillId="0" borderId="20" xfId="3" applyFont="1" applyFill="1" applyBorder="1"/>
    <xf numFmtId="0" fontId="32" fillId="0" borderId="24" xfId="3" applyFont="1" applyFill="1" applyBorder="1"/>
    <xf numFmtId="0" fontId="32" fillId="0" borderId="11" xfId="3" applyFont="1" applyFill="1" applyBorder="1"/>
    <xf numFmtId="0" fontId="32" fillId="0" borderId="4" xfId="3" applyFont="1" applyFill="1" applyBorder="1"/>
    <xf numFmtId="216" fontId="32" fillId="0" borderId="10" xfId="3" applyNumberFormat="1" applyFont="1" applyFill="1" applyBorder="1"/>
    <xf numFmtId="211" fontId="32" fillId="0" borderId="25" xfId="3" applyNumberFormat="1" applyFont="1" applyBorder="1"/>
    <xf numFmtId="211" fontId="32" fillId="0" borderId="22" xfId="3" applyNumberFormat="1" applyFont="1" applyBorder="1"/>
    <xf numFmtId="211" fontId="32" fillId="0" borderId="23" xfId="3" applyNumberFormat="1" applyFont="1" applyBorder="1"/>
    <xf numFmtId="209" fontId="40" fillId="0" borderId="22" xfId="3" applyNumberFormat="1" applyFont="1" applyBorder="1"/>
    <xf numFmtId="0" fontId="30" fillId="0" borderId="0" xfId="3" quotePrefix="1" applyFont="1" applyAlignment="1">
      <alignment horizontal="left" indent="1"/>
    </xf>
    <xf numFmtId="209" fontId="32" fillId="0" borderId="25" xfId="3" applyNumberFormat="1" applyFont="1" applyBorder="1"/>
    <xf numFmtId="209" fontId="32" fillId="0" borderId="22" xfId="3" applyNumberFormat="1" applyFont="1" applyBorder="1"/>
    <xf numFmtId="0" fontId="32" fillId="0" borderId="0" xfId="3" applyFont="1" applyBorder="1" applyAlignment="1">
      <alignment horizontal="left" indent="1"/>
    </xf>
    <xf numFmtId="9" fontId="30" fillId="0" borderId="5" xfId="3" applyNumberFormat="1" applyFont="1" applyBorder="1"/>
    <xf numFmtId="9" fontId="38" fillId="0" borderId="0" xfId="3" applyNumberFormat="1" applyFont="1" applyBorder="1" applyAlignment="1">
      <alignment horizontal="center"/>
    </xf>
    <xf numFmtId="0" fontId="0" fillId="0" borderId="2" xfId="0" applyBorder="1"/>
    <xf numFmtId="0" fontId="0" fillId="0" borderId="0" xfId="0" applyBorder="1"/>
    <xf numFmtId="0" fontId="48" fillId="0" borderId="0" xfId="3" quotePrefix="1" applyFont="1" applyAlignment="1">
      <alignment horizontal="left" indent="1"/>
    </xf>
    <xf numFmtId="0" fontId="31" fillId="0" borderId="0" xfId="3" applyFont="1"/>
    <xf numFmtId="0" fontId="44" fillId="0" borderId="0" xfId="3" applyFont="1"/>
    <xf numFmtId="0" fontId="39" fillId="0" borderId="0" xfId="3" applyFont="1" applyAlignment="1">
      <alignment horizontal="centerContinuous"/>
    </xf>
    <xf numFmtId="217" fontId="39" fillId="0" borderId="0" xfId="3" applyNumberFormat="1" applyFont="1" applyAlignment="1">
      <alignment horizontal="center"/>
    </xf>
    <xf numFmtId="0" fontId="45" fillId="7" borderId="0" xfId="3" applyFont="1" applyFill="1" applyAlignment="1">
      <alignment horizontal="left"/>
    </xf>
    <xf numFmtId="0" fontId="46" fillId="7" borderId="0" xfId="3" applyFont="1" applyFill="1" applyAlignment="1">
      <alignment horizontal="centerContinuous"/>
    </xf>
    <xf numFmtId="217" fontId="32" fillId="0" borderId="0" xfId="3" applyNumberFormat="1" applyFont="1" applyAlignment="1">
      <alignment horizontal="center"/>
    </xf>
    <xf numFmtId="209" fontId="30" fillId="0" borderId="22" xfId="3" applyNumberFormat="1" applyFont="1" applyBorder="1"/>
    <xf numFmtId="218" fontId="32" fillId="0" borderId="20" xfId="3" applyNumberFormat="1" applyFont="1" applyBorder="1" applyAlignment="1">
      <alignment horizontal="right"/>
    </xf>
    <xf numFmtId="211" fontId="40" fillId="0" borderId="22" xfId="3" applyNumberFormat="1" applyFont="1" applyBorder="1"/>
    <xf numFmtId="211" fontId="40" fillId="0" borderId="23" xfId="3" applyNumberFormat="1" applyFont="1" applyBorder="1"/>
    <xf numFmtId="211" fontId="40" fillId="0" borderId="25" xfId="3" applyNumberFormat="1" applyFont="1" applyBorder="1"/>
    <xf numFmtId="0" fontId="40" fillId="0" borderId="0" xfId="3" applyFont="1"/>
    <xf numFmtId="177" fontId="58" fillId="0" borderId="0" xfId="3" applyNumberFormat="1" applyFont="1"/>
    <xf numFmtId="0" fontId="32" fillId="0" borderId="20" xfId="3" applyFont="1" applyBorder="1" applyAlignment="1">
      <alignment horizontal="right"/>
    </xf>
    <xf numFmtId="0" fontId="36" fillId="0" borderId="2" xfId="3" applyFont="1" applyBorder="1" applyAlignment="1">
      <alignment horizontal="centerContinuous"/>
    </xf>
    <xf numFmtId="0" fontId="36" fillId="0" borderId="0" xfId="3" applyFont="1" applyAlignment="1">
      <alignment horizontal="centerContinuous"/>
    </xf>
    <xf numFmtId="217" fontId="36" fillId="0" borderId="2" xfId="3" applyNumberFormat="1" applyFont="1" applyBorder="1" applyAlignment="1">
      <alignment horizontal="center"/>
    </xf>
    <xf numFmtId="217" fontId="36" fillId="0" borderId="0" xfId="3" applyNumberFormat="1" applyFont="1" applyAlignment="1">
      <alignment horizontal="center"/>
    </xf>
    <xf numFmtId="211" fontId="32" fillId="0" borderId="20" xfId="3" applyNumberFormat="1" applyFont="1" applyBorder="1"/>
    <xf numFmtId="209" fontId="32" fillId="0" borderId="23" xfId="3" applyNumberFormat="1" applyFont="1" applyBorder="1"/>
    <xf numFmtId="0" fontId="3" fillId="0" borderId="0" xfId="0" applyFont="1" applyBorder="1"/>
    <xf numFmtId="210" fontId="36" fillId="0" borderId="22" xfId="3" applyNumberFormat="1" applyFont="1" applyBorder="1"/>
    <xf numFmtId="0" fontId="51" fillId="0" borderId="8" xfId="3" applyFont="1" applyBorder="1"/>
    <xf numFmtId="211" fontId="92" fillId="0" borderId="0" xfId="3" applyNumberFormat="1" applyFont="1" applyBorder="1"/>
    <xf numFmtId="211" fontId="32" fillId="0" borderId="0" xfId="0" applyNumberFormat="1" applyFont="1"/>
    <xf numFmtId="216" fontId="39" fillId="0" borderId="0" xfId="3" applyNumberFormat="1" applyFont="1" applyBorder="1"/>
    <xf numFmtId="218" fontId="39" fillId="0" borderId="0" xfId="3" applyNumberFormat="1" applyFont="1" applyBorder="1"/>
    <xf numFmtId="180" fontId="30" fillId="0" borderId="5" xfId="3" applyNumberFormat="1" applyFont="1" applyBorder="1"/>
    <xf numFmtId="216" fontId="32" fillId="0" borderId="0" xfId="3" applyNumberFormat="1" applyFont="1" applyFill="1" applyBorder="1"/>
    <xf numFmtId="218" fontId="32" fillId="0" borderId="0" xfId="3" applyNumberFormat="1" applyFont="1" applyFill="1" applyBorder="1"/>
    <xf numFmtId="231" fontId="32" fillId="0" borderId="0" xfId="3" applyNumberFormat="1" applyFont="1" applyBorder="1"/>
    <xf numFmtId="231" fontId="32" fillId="0" borderId="0" xfId="3" applyNumberFormat="1" applyFont="1" applyFill="1" applyBorder="1"/>
    <xf numFmtId="218" fontId="32" fillId="15" borderId="5" xfId="3" applyNumberFormat="1" applyFont="1" applyFill="1" applyBorder="1"/>
    <xf numFmtId="216" fontId="32" fillId="15" borderId="5" xfId="3" applyNumberFormat="1" applyFont="1" applyFill="1" applyBorder="1"/>
    <xf numFmtId="0" fontId="0" fillId="0" borderId="0" xfId="0" applyFill="1"/>
    <xf numFmtId="209" fontId="30" fillId="0" borderId="0" xfId="3" applyNumberFormat="1" applyFont="1" applyBorder="1"/>
    <xf numFmtId="210" fontId="30" fillId="0" borderId="0" xfId="3" applyNumberFormat="1" applyFont="1" applyBorder="1"/>
    <xf numFmtId="210" fontId="32" fillId="0" borderId="14" xfId="3" applyNumberFormat="1" applyFont="1" applyBorder="1"/>
    <xf numFmtId="232" fontId="32" fillId="0" borderId="0" xfId="3" applyNumberFormat="1" applyFont="1" applyBorder="1"/>
    <xf numFmtId="39" fontId="32" fillId="0" borderId="0" xfId="3" applyNumberFormat="1" applyFont="1"/>
    <xf numFmtId="164" fontId="32" fillId="0" borderId="0" xfId="3" applyNumberFormat="1" applyFont="1"/>
    <xf numFmtId="209" fontId="40" fillId="0" borderId="23" xfId="3" applyNumberFormat="1" applyFont="1" applyBorder="1"/>
    <xf numFmtId="209" fontId="40" fillId="0" borderId="25" xfId="3" applyNumberFormat="1" applyFont="1" applyBorder="1"/>
    <xf numFmtId="209" fontId="40" fillId="0" borderId="0" xfId="3" applyNumberFormat="1" applyFont="1" applyBorder="1"/>
    <xf numFmtId="209" fontId="40" fillId="0" borderId="20" xfId="3" applyNumberFormat="1" applyFont="1" applyBorder="1"/>
    <xf numFmtId="211" fontId="40" fillId="0" borderId="0" xfId="3" applyNumberFormat="1" applyFont="1" applyBorder="1"/>
    <xf numFmtId="210" fontId="57" fillId="0" borderId="0" xfId="3" applyNumberFormat="1" applyFont="1" applyBorder="1"/>
    <xf numFmtId="209" fontId="57" fillId="0" borderId="0" xfId="3" applyNumberFormat="1" applyFont="1" applyBorder="1"/>
    <xf numFmtId="172" fontId="57" fillId="0" borderId="0" xfId="3" applyNumberFormat="1" applyFont="1"/>
    <xf numFmtId="0" fontId="32" fillId="0" borderId="2" xfId="0" applyFont="1" applyBorder="1"/>
    <xf numFmtId="210" fontId="32" fillId="0" borderId="0" xfId="3" applyNumberFormat="1" applyFont="1" applyFill="1"/>
    <xf numFmtId="210" fontId="30" fillId="0" borderId="0" xfId="3" applyNumberFormat="1" applyFont="1" applyFill="1"/>
    <xf numFmtId="0" fontId="94" fillId="0" borderId="0" xfId="3" applyFont="1"/>
    <xf numFmtId="0" fontId="94" fillId="0" borderId="0" xfId="3" applyFont="1" applyBorder="1"/>
    <xf numFmtId="0" fontId="96" fillId="0" borderId="0" xfId="3" applyFont="1" applyBorder="1" applyAlignment="1">
      <alignment horizontal="right"/>
    </xf>
    <xf numFmtId="0" fontId="97" fillId="7" borderId="4" xfId="3" applyFont="1" applyFill="1" applyBorder="1" applyAlignment="1">
      <alignment horizontal="centerContinuous"/>
    </xf>
    <xf numFmtId="0" fontId="97" fillId="7" borderId="10" xfId="3" applyFont="1" applyFill="1" applyBorder="1" applyAlignment="1">
      <alignment horizontal="centerContinuous"/>
    </xf>
    <xf numFmtId="0" fontId="46" fillId="7" borderId="0" xfId="3" applyFont="1" applyFill="1"/>
    <xf numFmtId="0" fontId="98" fillId="16" borderId="2" xfId="3" applyFont="1" applyFill="1" applyBorder="1" applyAlignment="1">
      <alignment horizontal="centerContinuous"/>
    </xf>
    <xf numFmtId="226" fontId="30" fillId="0" borderId="20" xfId="3" applyNumberFormat="1" applyFont="1" applyBorder="1"/>
    <xf numFmtId="222" fontId="32" fillId="0" borderId="0" xfId="3" applyNumberFormat="1" applyFont="1" applyFill="1" applyBorder="1" applyAlignment="1">
      <alignment horizontal="center"/>
    </xf>
    <xf numFmtId="218" fontId="30" fillId="0" borderId="0" xfId="3" applyNumberFormat="1" applyFont="1" applyBorder="1"/>
    <xf numFmtId="209" fontId="39" fillId="0" borderId="27" xfId="3" applyNumberFormat="1" applyFont="1" applyBorder="1"/>
    <xf numFmtId="209" fontId="39" fillId="0" borderId="28" xfId="3" applyNumberFormat="1" applyFont="1" applyBorder="1"/>
    <xf numFmtId="209" fontId="39" fillId="0" borderId="29" xfId="3" applyNumberFormat="1" applyFont="1" applyBorder="1"/>
    <xf numFmtId="209" fontId="39" fillId="0" borderId="20" xfId="3" applyNumberFormat="1" applyFont="1" applyBorder="1"/>
    <xf numFmtId="218" fontId="56" fillId="0" borderId="0" xfId="3" quotePrefix="1" applyNumberFormat="1" applyFont="1" applyAlignment="1">
      <alignment horizontal="right"/>
    </xf>
    <xf numFmtId="218" fontId="56" fillId="0" borderId="0" xfId="3" quotePrefix="1" applyNumberFormat="1" applyFont="1" applyBorder="1" applyAlignment="1">
      <alignment horizontal="right"/>
    </xf>
    <xf numFmtId="218" fontId="37" fillId="0" borderId="0" xfId="3" applyNumberFormat="1" applyFont="1" applyBorder="1"/>
    <xf numFmtId="168" fontId="39" fillId="0" borderId="0" xfId="3" applyNumberFormat="1" applyFont="1"/>
    <xf numFmtId="168" fontId="49" fillId="0" borderId="0" xfId="3" applyNumberFormat="1" applyFont="1"/>
    <xf numFmtId="209" fontId="32" fillId="0" borderId="27" xfId="3" applyNumberFormat="1" applyFont="1" applyBorder="1"/>
    <xf numFmtId="209" fontId="32" fillId="0" borderId="20" xfId="3" applyNumberFormat="1" applyFont="1" applyBorder="1"/>
    <xf numFmtId="211" fontId="48" fillId="0" borderId="0" xfId="3" quotePrefix="1" applyNumberFormat="1" applyFont="1" applyAlignment="1">
      <alignment horizontal="right"/>
    </xf>
    <xf numFmtId="218" fontId="37" fillId="0" borderId="0" xfId="3" applyNumberFormat="1" applyFont="1" applyAlignment="1">
      <alignment horizontal="right"/>
    </xf>
    <xf numFmtId="173" fontId="98" fillId="0" borderId="0" xfId="3" applyNumberFormat="1" applyFont="1" applyAlignment="1">
      <alignment horizontal="centerContinuous"/>
    </xf>
    <xf numFmtId="173" fontId="36" fillId="0" borderId="0" xfId="3" applyNumberFormat="1" applyFont="1" applyAlignment="1">
      <alignment horizontal="centerContinuous"/>
    </xf>
    <xf numFmtId="218" fontId="32" fillId="0" borderId="11" xfId="3" applyNumberFormat="1" applyFont="1" applyBorder="1" applyAlignment="1">
      <alignment horizontal="center"/>
    </xf>
    <xf numFmtId="218" fontId="32" fillId="0" borderId="4" xfId="3" applyNumberFormat="1" applyFont="1" applyBorder="1" applyAlignment="1">
      <alignment horizontal="center"/>
    </xf>
    <xf numFmtId="218" fontId="32" fillId="0" borderId="10" xfId="3" applyNumberFormat="1" applyFont="1" applyBorder="1" applyAlignment="1">
      <alignment horizontal="center"/>
    </xf>
    <xf numFmtId="209" fontId="32" fillId="0" borderId="31" xfId="3" applyNumberFormat="1" applyFont="1" applyBorder="1"/>
    <xf numFmtId="209" fontId="32" fillId="0" borderId="32" xfId="3" applyNumberFormat="1" applyFont="1" applyBorder="1"/>
    <xf numFmtId="211" fontId="38" fillId="0" borderId="31" xfId="3" applyNumberFormat="1" applyFont="1" applyBorder="1"/>
    <xf numFmtId="211" fontId="38" fillId="0" borderId="0" xfId="3" applyNumberFormat="1" applyFont="1" applyBorder="1"/>
    <xf numFmtId="211" fontId="38" fillId="0" borderId="32" xfId="3" applyNumberFormat="1" applyFont="1" applyBorder="1"/>
    <xf numFmtId="211" fontId="99" fillId="0" borderId="31" xfId="3" applyNumberFormat="1" applyFont="1" applyBorder="1"/>
    <xf numFmtId="210" fontId="36" fillId="0" borderId="31" xfId="3" applyNumberFormat="1" applyFont="1" applyBorder="1"/>
    <xf numFmtId="210" fontId="36" fillId="0" borderId="32" xfId="3" applyNumberFormat="1" applyFont="1" applyBorder="1"/>
    <xf numFmtId="218" fontId="32" fillId="0" borderId="31" xfId="3" applyNumberFormat="1" applyFont="1" applyBorder="1"/>
    <xf numFmtId="218" fontId="32" fillId="0" borderId="0" xfId="3" applyNumberFormat="1" applyFont="1" applyBorder="1"/>
    <xf numFmtId="218" fontId="32" fillId="0" borderId="32" xfId="3" applyNumberFormat="1" applyFont="1" applyBorder="1"/>
    <xf numFmtId="218" fontId="32" fillId="0" borderId="3" xfId="3" applyNumberFormat="1" applyFont="1" applyBorder="1"/>
    <xf numFmtId="218" fontId="32" fillId="0" borderId="2" xfId="3" applyNumberFormat="1" applyFont="1" applyBorder="1"/>
    <xf numFmtId="218" fontId="32" fillId="0" borderId="33" xfId="3" applyNumberFormat="1" applyFont="1" applyBorder="1"/>
    <xf numFmtId="0" fontId="32" fillId="0" borderId="0" xfId="3" applyNumberFormat="1" applyFont="1" applyBorder="1"/>
    <xf numFmtId="182" fontId="98" fillId="0" borderId="0" xfId="3" applyNumberFormat="1" applyFont="1" applyAlignment="1">
      <alignment horizontal="center"/>
    </xf>
    <xf numFmtId="182" fontId="36" fillId="0" borderId="0" xfId="3" applyNumberFormat="1" applyFont="1" applyAlignment="1">
      <alignment horizontal="center"/>
    </xf>
    <xf numFmtId="226" fontId="32" fillId="0" borderId="3" xfId="3" applyNumberFormat="1" applyFont="1" applyFill="1" applyBorder="1"/>
    <xf numFmtId="226" fontId="32" fillId="0" borderId="2" xfId="3" applyNumberFormat="1" applyFont="1" applyFill="1" applyBorder="1"/>
    <xf numFmtId="226" fontId="32" fillId="0" borderId="33" xfId="3" applyNumberFormat="1" applyFont="1" applyFill="1" applyBorder="1"/>
    <xf numFmtId="0" fontId="41" fillId="0" borderId="20" xfId="3" applyFont="1" applyBorder="1"/>
    <xf numFmtId="0" fontId="50" fillId="0" borderId="0" xfId="3" applyFont="1" applyBorder="1"/>
    <xf numFmtId="0" fontId="53" fillId="0" borderId="0" xfId="3" applyFont="1" applyBorder="1"/>
    <xf numFmtId="0" fontId="32" fillId="0" borderId="11" xfId="3" applyFont="1" applyBorder="1"/>
    <xf numFmtId="215" fontId="39" fillId="0" borderId="10" xfId="3" applyNumberFormat="1" applyFont="1" applyFill="1" applyBorder="1" applyAlignment="1">
      <alignment horizontal="right"/>
    </xf>
    <xf numFmtId="0" fontId="33" fillId="0" borderId="5" xfId="3" applyFont="1" applyBorder="1" applyAlignment="1">
      <alignment horizontal="center"/>
    </xf>
    <xf numFmtId="0" fontId="32" fillId="0" borderId="4" xfId="3" applyFont="1" applyBorder="1"/>
    <xf numFmtId="0" fontId="32" fillId="0" borderId="10" xfId="3" applyFont="1" applyBorder="1"/>
    <xf numFmtId="215" fontId="32" fillId="0" borderId="11" xfId="3" applyNumberFormat="1" applyFont="1" applyFill="1" applyBorder="1" applyAlignment="1">
      <alignment horizontal="right"/>
    </xf>
    <xf numFmtId="215" fontId="32" fillId="0" borderId="4" xfId="3" applyNumberFormat="1" applyFont="1" applyFill="1" applyBorder="1" applyAlignment="1">
      <alignment horizontal="right"/>
    </xf>
    <xf numFmtId="215" fontId="32" fillId="0" borderId="10" xfId="3" applyNumberFormat="1" applyFont="1" applyFill="1" applyBorder="1" applyAlignment="1">
      <alignment horizontal="right"/>
    </xf>
    <xf numFmtId="0" fontId="38" fillId="0" borderId="26" xfId="3" applyFont="1" applyBorder="1"/>
    <xf numFmtId="211" fontId="32" fillId="0" borderId="24" xfId="3" applyNumberFormat="1" applyFont="1" applyBorder="1"/>
    <xf numFmtId="215" fontId="39" fillId="0" borderId="0" xfId="3" applyNumberFormat="1" applyFont="1" applyFill="1" applyBorder="1" applyAlignment="1">
      <alignment horizontal="right"/>
    </xf>
    <xf numFmtId="215" fontId="32" fillId="0" borderId="0" xfId="3" applyNumberFormat="1" applyFont="1" applyFill="1" applyBorder="1" applyAlignment="1">
      <alignment horizontal="right"/>
    </xf>
    <xf numFmtId="0" fontId="32" fillId="0" borderId="31" xfId="3" applyFont="1" applyBorder="1" applyAlignment="1">
      <alignment horizontal="left" indent="1"/>
    </xf>
    <xf numFmtId="211" fontId="32" fillId="0" borderId="32" xfId="3" applyNumberFormat="1" applyFont="1" applyBorder="1"/>
    <xf numFmtId="0" fontId="32" fillId="0" borderId="3" xfId="3" applyFont="1" applyBorder="1" applyAlignment="1">
      <alignment horizontal="left" indent="1"/>
    </xf>
    <xf numFmtId="0" fontId="32" fillId="0" borderId="2" xfId="3" applyFont="1" applyBorder="1"/>
    <xf numFmtId="211" fontId="32" fillId="0" borderId="33" xfId="3" applyNumberFormat="1" applyFont="1" applyBorder="1"/>
    <xf numFmtId="0" fontId="41" fillId="0" borderId="0" xfId="3" applyFont="1" applyBorder="1"/>
    <xf numFmtId="217" fontId="49" fillId="0" borderId="0" xfId="3" applyNumberFormat="1" applyFont="1" applyAlignment="1">
      <alignment horizontal="right"/>
    </xf>
    <xf numFmtId="0" fontId="53" fillId="0" borderId="2" xfId="3" applyFont="1" applyBorder="1"/>
    <xf numFmtId="0" fontId="41" fillId="0" borderId="2" xfId="3" applyFont="1" applyBorder="1"/>
    <xf numFmtId="171" fontId="53" fillId="0" borderId="2" xfId="3" applyNumberFormat="1" applyFont="1" applyBorder="1"/>
    <xf numFmtId="171" fontId="32" fillId="0" borderId="2" xfId="3" applyNumberFormat="1" applyFont="1" applyBorder="1"/>
    <xf numFmtId="171" fontId="41" fillId="0" borderId="0" xfId="3" applyNumberFormat="1" applyFont="1" applyBorder="1" applyAlignment="1">
      <alignment horizontal="center"/>
    </xf>
    <xf numFmtId="210" fontId="41" fillId="0" borderId="0" xfId="3" applyNumberFormat="1" applyFont="1" applyBorder="1" applyAlignment="1">
      <alignment horizontal="center"/>
    </xf>
    <xf numFmtId="211" fontId="50" fillId="0" borderId="20" xfId="3" applyNumberFormat="1" applyFont="1" applyBorder="1" applyAlignment="1">
      <alignment horizontal="right" indent="1"/>
    </xf>
    <xf numFmtId="210" fontId="50" fillId="0" borderId="20" xfId="3" applyNumberFormat="1" applyFont="1" applyBorder="1"/>
    <xf numFmtId="216" fontId="41" fillId="0" borderId="0" xfId="3" applyNumberFormat="1" applyFont="1" applyBorder="1"/>
    <xf numFmtId="211" fontId="41" fillId="0" borderId="20" xfId="3" applyNumberFormat="1" applyFont="1" applyBorder="1" applyAlignment="1">
      <alignment horizontal="right" indent="1"/>
    </xf>
    <xf numFmtId="211" fontId="41" fillId="0" borderId="0" xfId="3" applyNumberFormat="1" applyFont="1" applyBorder="1" applyAlignment="1">
      <alignment horizontal="right" indent="1"/>
    </xf>
    <xf numFmtId="211" fontId="50" fillId="0" borderId="0" xfId="3" applyNumberFormat="1" applyFont="1" applyBorder="1" applyAlignment="1">
      <alignment horizontal="right" indent="1"/>
    </xf>
    <xf numFmtId="213" fontId="50" fillId="0" borderId="0" xfId="3" applyNumberFormat="1" applyFont="1" applyBorder="1"/>
    <xf numFmtId="210" fontId="41" fillId="0" borderId="20" xfId="3" applyNumberFormat="1" applyFont="1" applyBorder="1"/>
    <xf numFmtId="213" fontId="41" fillId="0" borderId="0" xfId="3" applyNumberFormat="1" applyFont="1" applyBorder="1"/>
    <xf numFmtId="0" fontId="98" fillId="7" borderId="11" xfId="3" applyFont="1" applyFill="1" applyBorder="1" applyAlignment="1">
      <alignment horizontal="centerContinuous"/>
    </xf>
    <xf numFmtId="0" fontId="95" fillId="0" borderId="0" xfId="3" applyFont="1" applyBorder="1" applyAlignment="1">
      <alignment horizontal="right"/>
    </xf>
    <xf numFmtId="0" fontId="100" fillId="7" borderId="30" xfId="3" applyFont="1" applyFill="1" applyBorder="1" applyAlignment="1">
      <alignment horizontal="left"/>
    </xf>
    <xf numFmtId="0" fontId="62" fillId="7" borderId="30" xfId="3" applyFont="1" applyFill="1" applyBorder="1" applyAlignment="1">
      <alignment horizontal="centerContinuous"/>
    </xf>
    <xf numFmtId="0" fontId="65" fillId="7" borderId="30" xfId="3" applyFont="1" applyFill="1" applyBorder="1" applyAlignment="1">
      <alignment horizontal="right"/>
    </xf>
    <xf numFmtId="0" fontId="45" fillId="7" borderId="30" xfId="3" applyFont="1" applyFill="1" applyBorder="1" applyAlignment="1">
      <alignment horizontal="left"/>
    </xf>
    <xf numFmtId="0" fontId="98" fillId="10" borderId="0" xfId="3" applyFont="1" applyFill="1" applyBorder="1"/>
    <xf numFmtId="0" fontId="46" fillId="10" borderId="0" xfId="3" applyFont="1" applyFill="1" applyBorder="1"/>
    <xf numFmtId="0" fontId="44" fillId="11" borderId="0" xfId="3" applyFont="1" applyFill="1" applyBorder="1"/>
  </cellXfs>
  <cellStyles count="89">
    <cellStyle name="$0.0;($0.0)" xfId="1" xr:uid="{00000000-0005-0000-0000-000000000000}"/>
    <cellStyle name="$0.00;($0.00)" xfId="2" xr:uid="{00000000-0005-0000-0000-000001000000}"/>
    <cellStyle name="******************************************" xfId="3" xr:uid="{00000000-0005-0000-0000-000002000000}"/>
    <cellStyle name="0000" xfId="4" xr:uid="{00000000-0005-0000-0000-000003000000}"/>
    <cellStyle name="000000" xfId="5" xr:uid="{00000000-0005-0000-0000-000004000000}"/>
    <cellStyle name="After Percent" xfId="6" xr:uid="{00000000-0005-0000-0000-000005000000}"/>
    <cellStyle name="after_multiple" xfId="7" xr:uid="{00000000-0005-0000-0000-000006000000}"/>
    <cellStyle name="blank" xfId="8" xr:uid="{00000000-0005-0000-0000-000007000000}"/>
    <cellStyle name="Body_$Dollars" xfId="9" xr:uid="{00000000-0005-0000-0000-000008000000}"/>
    <cellStyle name="Center" xfId="10" xr:uid="{00000000-0005-0000-0000-000009000000}"/>
    <cellStyle name="ChartingText" xfId="70" xr:uid="{00000000-0005-0000-0000-00000A000000}"/>
    <cellStyle name="CHPTop" xfId="71" xr:uid="{00000000-0005-0000-0000-00000B000000}"/>
    <cellStyle name="ColumnHeaderNormal" xfId="72" xr:uid="{00000000-0005-0000-0000-00000C000000}"/>
    <cellStyle name="Comma" xfId="11" builtinId="3"/>
    <cellStyle name="Comma [1]" xfId="12" xr:uid="{00000000-0005-0000-0000-00000E000000}"/>
    <cellStyle name="Comma 1 (show zero)" xfId="13" xr:uid="{00000000-0005-0000-0000-00000F000000}"/>
    <cellStyle name="Comma 2" xfId="73" xr:uid="{00000000-0005-0000-0000-000010000000}"/>
    <cellStyle name="Comma 3" xfId="74" xr:uid="{00000000-0005-0000-0000-000011000000}"/>
    <cellStyle name="Currency [1]" xfId="14" xr:uid="{00000000-0005-0000-0000-000012000000}"/>
    <cellStyle name="Currency0" xfId="15" xr:uid="{00000000-0005-0000-0000-000013000000}"/>
    <cellStyle name="Currency1" xfId="16" xr:uid="{00000000-0005-0000-0000-000014000000}"/>
    <cellStyle name="Currency2" xfId="17" xr:uid="{00000000-0005-0000-0000-000015000000}"/>
    <cellStyle name="Date" xfId="18" xr:uid="{00000000-0005-0000-0000-000016000000}"/>
    <cellStyle name="Dollar [1]" xfId="19" xr:uid="{00000000-0005-0000-0000-000017000000}"/>
    <cellStyle name="Dollars" xfId="20" xr:uid="{00000000-0005-0000-0000-000018000000}"/>
    <cellStyle name="ExchangeRatio" xfId="21" xr:uid="{00000000-0005-0000-0000-000019000000}"/>
    <cellStyle name="EY%colcalc" xfId="22" xr:uid="{00000000-0005-0000-0000-00001A000000}"/>
    <cellStyle name="EY%input" xfId="23" xr:uid="{00000000-0005-0000-0000-00001B000000}"/>
    <cellStyle name="EY%rowcalc" xfId="24" xr:uid="{00000000-0005-0000-0000-00001C000000}"/>
    <cellStyle name="EY0dp" xfId="25" xr:uid="{00000000-0005-0000-0000-00001D000000}"/>
    <cellStyle name="EY1dp" xfId="26" xr:uid="{00000000-0005-0000-0000-00001E000000}"/>
    <cellStyle name="EY2dp" xfId="27" xr:uid="{00000000-0005-0000-0000-00001F000000}"/>
    <cellStyle name="EY3dp" xfId="28" xr:uid="{00000000-0005-0000-0000-000020000000}"/>
    <cellStyle name="EYColumnHeading" xfId="29" xr:uid="{00000000-0005-0000-0000-000021000000}"/>
    <cellStyle name="EYHeading1" xfId="30" xr:uid="{00000000-0005-0000-0000-000022000000}"/>
    <cellStyle name="EYheading2" xfId="31" xr:uid="{00000000-0005-0000-0000-000023000000}"/>
    <cellStyle name="EYheading3" xfId="32" xr:uid="{00000000-0005-0000-0000-000024000000}"/>
    <cellStyle name="EYnumber" xfId="33" xr:uid="{00000000-0005-0000-0000-000025000000}"/>
    <cellStyle name="EYSheetHeader1" xfId="34" xr:uid="{00000000-0005-0000-0000-000026000000}"/>
    <cellStyle name="EYtext" xfId="35" xr:uid="{00000000-0005-0000-0000-000027000000}"/>
    <cellStyle name="Grey" xfId="36" xr:uid="{00000000-0005-0000-0000-000028000000}"/>
    <cellStyle name="Header" xfId="37" xr:uid="{00000000-0005-0000-0000-000029000000}"/>
    <cellStyle name="Header1" xfId="38" xr:uid="{00000000-0005-0000-0000-00002A000000}"/>
    <cellStyle name="Header2" xfId="39" xr:uid="{00000000-0005-0000-0000-00002B000000}"/>
    <cellStyle name="Hyperlink" xfId="68" builtinId="8"/>
    <cellStyle name="Hyperlink 2 2" xfId="69" xr:uid="{00000000-0005-0000-0000-00002D000000}"/>
    <cellStyle name="Input" xfId="40" builtinId="20" customBuiltin="1"/>
    <cellStyle name="Input [yellow]" xfId="41" xr:uid="{00000000-0005-0000-0000-00002F000000}"/>
    <cellStyle name="integer" xfId="42" xr:uid="{00000000-0005-0000-0000-000030000000}"/>
    <cellStyle name="Invisible" xfId="75" xr:uid="{00000000-0005-0000-0000-000031000000}"/>
    <cellStyle name="MonthDate" xfId="43" xr:uid="{00000000-0005-0000-0000-000032000000}"/>
    <cellStyle name="Multiple" xfId="44" xr:uid="{00000000-0005-0000-0000-000033000000}"/>
    <cellStyle name="NewColumnHeaderNormal" xfId="76" xr:uid="{00000000-0005-0000-0000-000034000000}"/>
    <cellStyle name="NewSectionHeaderNormal" xfId="77" xr:uid="{00000000-0005-0000-0000-000035000000}"/>
    <cellStyle name="NewTitleNormal" xfId="78" xr:uid="{00000000-0005-0000-0000-000036000000}"/>
    <cellStyle name="Normal" xfId="0" builtinId="0"/>
    <cellStyle name="Normal - Style1" xfId="45" xr:uid="{00000000-0005-0000-0000-000038000000}"/>
    <cellStyle name="Normal 2" xfId="66" xr:uid="{00000000-0005-0000-0000-000039000000}"/>
    <cellStyle name="Normal 2 2" xfId="67" xr:uid="{00000000-0005-0000-0000-00003A000000}"/>
    <cellStyle name="Normal 3" xfId="79" xr:uid="{00000000-0005-0000-0000-00003B000000}"/>
    <cellStyle name="Number0" xfId="46" xr:uid="{00000000-0005-0000-0000-00003C000000}"/>
    <cellStyle name="Number1" xfId="47" xr:uid="{00000000-0005-0000-0000-00003D000000}"/>
    <cellStyle name="Number2" xfId="48" xr:uid="{00000000-0005-0000-0000-00003E000000}"/>
    <cellStyle name="Percent (0)" xfId="49" xr:uid="{00000000-0005-0000-0000-00003F000000}"/>
    <cellStyle name="Percent [2]" xfId="50" xr:uid="{00000000-0005-0000-0000-000040000000}"/>
    <cellStyle name="Percent 2" xfId="80" xr:uid="{00000000-0005-0000-0000-000041000000}"/>
    <cellStyle name="Percent 3" xfId="81" xr:uid="{00000000-0005-0000-0000-000042000000}"/>
    <cellStyle name="PSChar" xfId="51" xr:uid="{00000000-0005-0000-0000-000043000000}"/>
    <cellStyle name="PSDate" xfId="52" xr:uid="{00000000-0005-0000-0000-000044000000}"/>
    <cellStyle name="PSDec" xfId="53" xr:uid="{00000000-0005-0000-0000-000045000000}"/>
    <cellStyle name="PSHeading" xfId="54" xr:uid="{00000000-0005-0000-0000-000046000000}"/>
    <cellStyle name="PSInt" xfId="55" xr:uid="{00000000-0005-0000-0000-000047000000}"/>
    <cellStyle name="PSSpacer" xfId="56" xr:uid="{00000000-0005-0000-0000-000048000000}"/>
    <cellStyle name="Regular" xfId="57" xr:uid="{00000000-0005-0000-0000-000049000000}"/>
    <cellStyle name="SectionHeaderNormal" xfId="82" xr:uid="{00000000-0005-0000-0000-00004A000000}"/>
    <cellStyle name="Short Date" xfId="58" xr:uid="{00000000-0005-0000-0000-00004B000000}"/>
    <cellStyle name="SubScript" xfId="83" xr:uid="{00000000-0005-0000-0000-00004C000000}"/>
    <cellStyle name="SuperScript" xfId="84" xr:uid="{00000000-0005-0000-0000-00004D000000}"/>
    <cellStyle name="t" xfId="59" xr:uid="{00000000-0005-0000-0000-00004E000000}"/>
    <cellStyle name="Table_Header" xfId="60" xr:uid="{00000000-0005-0000-0000-00004F000000}"/>
    <cellStyle name="taples Plaza" xfId="61" xr:uid="{00000000-0005-0000-0000-000050000000}"/>
    <cellStyle name="TextBold" xfId="85" xr:uid="{00000000-0005-0000-0000-000051000000}"/>
    <cellStyle name="TextItalic" xfId="86" xr:uid="{00000000-0005-0000-0000-000052000000}"/>
    <cellStyle name="TextNormal" xfId="87" xr:uid="{00000000-0005-0000-0000-000053000000}"/>
    <cellStyle name="TitleNormal" xfId="88" xr:uid="{00000000-0005-0000-0000-000054000000}"/>
    <cellStyle name="Underline_Double" xfId="62" xr:uid="{00000000-0005-0000-0000-000055000000}"/>
    <cellStyle name="Validation" xfId="63" xr:uid="{00000000-0005-0000-0000-000056000000}"/>
    <cellStyle name="WhiteCells" xfId="64" xr:uid="{00000000-0005-0000-0000-000057000000}"/>
    <cellStyle name="WingDing" xfId="65" xr:uid="{00000000-0005-0000-0000-000058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40000"/>
      <rgbColor rgb="0000FF00"/>
      <rgbColor rgb="000000FF"/>
      <rgbColor rgb="00FFFF00"/>
      <rgbColor rgb="00FF00FF"/>
      <rgbColor rgb="0000FFFF"/>
      <rgbColor rgb="00800000"/>
      <rgbColor rgb="00008000"/>
      <rgbColor rgb="00001C5C"/>
      <rgbColor rgb="00461A3E"/>
      <rgbColor rgb="00461A3E"/>
      <rgbColor rgb="00008080"/>
      <rgbColor rgb="00C0C0C0"/>
      <rgbColor rgb="00808080"/>
      <rgbColor rgb="00294C7B"/>
      <rgbColor rgb="006490CB"/>
      <rgbColor rgb="005FA364"/>
      <rgbColor rgb="00F0BB46"/>
      <rgbColor rgb="009579A1"/>
      <rgbColor rgb="00D58B46"/>
      <rgbColor rgb="005BA5A3"/>
      <rgbColor rgb="00AB8341"/>
      <rgbColor rgb="00294C7B"/>
      <rgbColor rgb="006490CB"/>
      <rgbColor rgb="005FA364"/>
      <rgbColor rgb="00F0BB46"/>
      <rgbColor rgb="009579A1"/>
      <rgbColor rgb="00D58B46"/>
      <rgbColor rgb="005BA5A3"/>
      <rgbColor rgb="00AB8341"/>
      <rgbColor rgb="004F83B3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B6760"/>
      <rgbColor rgb="00B3AEA4"/>
      <rgbColor rgb="00032043"/>
      <rgbColor rgb="00339966"/>
      <rgbColor rgb="003E862E"/>
      <rgbColor rgb="00CC0000"/>
      <rgbColor rgb="00EDAD1D"/>
      <rgbColor rgb="00993366"/>
      <rgbColor rgb="004F83B3"/>
      <rgbColor rgb="00333333"/>
    </indexedColors>
    <mruColors>
      <color rgb="FFED942D"/>
      <color rgb="FF132E57"/>
      <color rgb="FF0000FF"/>
      <color rgb="FFE6E7E8"/>
      <color rgb="FFED9423"/>
      <color rgb="FFFA621C"/>
      <color rgb="FFFFFF66"/>
      <color rgb="FFFFFF00"/>
      <color rgb="FF17375E"/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5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corporatefinanceinstitute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714374</xdr:colOff>
      <xdr:row>3</xdr:row>
      <xdr:rowOff>19050</xdr:rowOff>
    </xdr:from>
    <xdr:to>
      <xdr:col>4</xdr:col>
      <xdr:colOff>659287</xdr:colOff>
      <xdr:row>9</xdr:row>
      <xdr:rowOff>114300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23AAFE5-1D2B-445D-A422-7ECC1F9970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7799" y="762000"/>
          <a:ext cx="3354863" cy="158115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ug%20Allen\Presentations\creative%203_8_99%20excel%20suppor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ug%2520Allen\Presentations\creative%25203_8_99%2520excel%2520support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karivalis/Downloads/TMT%20Model%20Template%20v4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mzi/Downloads/FIG%20Model%20Template%206.30.19_EQR%20(2)%20(3)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karivalis/Documents/Graphite/Corporate%20Finance%20Institute/Financial%20Model%20and%20LBO%20Template%20vF%205.24.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 Fcst"/>
      <sheetName val="J_N slide (2)"/>
      <sheetName val="A (2)"/>
      <sheetName val="J_N slide"/>
      <sheetName val="Order taking _fulfillment (2)"/>
      <sheetName val="Sheet1"/>
      <sheetName val="A"/>
      <sheetName val="Order taking _fulfillment"/>
      <sheetName val="Net Sales Graph"/>
      <sheetName val="Op inc graph"/>
      <sheetName val="op inc as pct t"/>
      <sheetName val="Fall Plan"/>
      <sheetName val="Balance Sheet"/>
      <sheetName val="Fiscal Year"/>
      <sheetName val="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11">
          <cell r="K11">
            <v>2.572728592865095E-2</v>
          </cell>
        </row>
        <row r="12">
          <cell r="K12">
            <v>2.7652109685162959E-2</v>
          </cell>
        </row>
        <row r="13">
          <cell r="K13">
            <v>5.1020408163265307E-2</v>
          </cell>
        </row>
        <row r="14">
          <cell r="K14">
            <v>4.4298773461705888E-2</v>
          </cell>
        </row>
        <row r="15">
          <cell r="K15">
            <v>6.1410836189762938E-2</v>
          </cell>
        </row>
        <row r="16">
          <cell r="K16">
            <v>6.0866833074412194E-2</v>
          </cell>
        </row>
        <row r="17">
          <cell r="K17">
            <v>6.4106534530814496E-2</v>
          </cell>
        </row>
      </sheetData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 inc as pct t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Page"/>
      <sheetName val="Inputs"/>
      <sheetName val="Spread Cover"/>
      <sheetName val="Income Statement"/>
      <sheetName val="Balance Sheet"/>
      <sheetName val="Cash Flow"/>
      <sheetName val="Proj"/>
      <sheetName val="DCF"/>
    </sheetNames>
    <sheetDataSet>
      <sheetData sheetId="0" refreshError="1"/>
      <sheetData sheetId="1" refreshError="1">
        <row r="2">
          <cell r="B2" t="str">
            <v>TMT Model</v>
          </cell>
        </row>
        <row r="5">
          <cell r="E5">
            <v>43643</v>
          </cell>
        </row>
        <row r="9">
          <cell r="C9" t="str">
            <v>COLEMAN MEDIA</v>
          </cell>
          <cell r="G9">
            <v>133.24</v>
          </cell>
        </row>
        <row r="13">
          <cell r="C13">
            <v>2018</v>
          </cell>
          <cell r="G13">
            <v>136.007689</v>
          </cell>
          <cell r="H13">
            <v>136.007689</v>
          </cell>
        </row>
        <row r="14">
          <cell r="C14">
            <v>43465</v>
          </cell>
          <cell r="G14">
            <v>1.2170000000000001</v>
          </cell>
        </row>
        <row r="15">
          <cell r="G15">
            <v>23</v>
          </cell>
        </row>
        <row r="16">
          <cell r="C16">
            <v>43555</v>
          </cell>
        </row>
        <row r="20">
          <cell r="C20">
            <v>0.25</v>
          </cell>
        </row>
        <row r="21">
          <cell r="C21">
            <v>0.16118412072514832</v>
          </cell>
        </row>
        <row r="45">
          <cell r="D45">
            <v>1</v>
          </cell>
        </row>
      </sheetData>
      <sheetData sheetId="2" refreshError="1">
        <row r="42">
          <cell r="E42">
            <v>1110</v>
          </cell>
        </row>
      </sheetData>
      <sheetData sheetId="3" refreshError="1"/>
      <sheetData sheetId="4" refreshError="1"/>
      <sheetData sheetId="5" refreshError="1"/>
      <sheetData sheetId="6" refreshError="1">
        <row r="237">
          <cell r="C237">
            <v>1</v>
          </cell>
          <cell r="D237" t="str">
            <v>Wall street consensus</v>
          </cell>
        </row>
      </sheetData>
      <sheetData sheetId="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Page"/>
      <sheetName val="Inputs"/>
      <sheetName val="Spread Cover"/>
      <sheetName val="Income Statement"/>
      <sheetName val="Income Statement (10K)"/>
      <sheetName val="Income Statement (10Q)"/>
      <sheetName val="Balance Sheet"/>
      <sheetName val="Balance Sheet (10K)"/>
      <sheetName val="Balance Sheet (10Q)"/>
      <sheetName val="Cash Flow"/>
      <sheetName val="Cash Flow Statement (10K)"/>
      <sheetName val="Cash Flow Statement (10Q)"/>
      <sheetName val="Sheet7"/>
      <sheetName val="Sheet2"/>
      <sheetName val="Proj"/>
    </sheetNames>
    <sheetDataSet>
      <sheetData sheetId="0" refreshError="1"/>
      <sheetData sheetId="1" refreshError="1">
        <row r="2">
          <cell r="B2" t="str">
            <v>Project MODEL</v>
          </cell>
        </row>
        <row r="5">
          <cell r="E5">
            <v>43643</v>
          </cell>
        </row>
        <row r="9">
          <cell r="C9" t="str">
            <v>EQUITY RESIDENTIAL</v>
          </cell>
          <cell r="G9">
            <v>79.290000000000006</v>
          </cell>
        </row>
        <row r="13">
          <cell r="C13">
            <v>2018</v>
          </cell>
          <cell r="G13">
            <v>50.7</v>
          </cell>
          <cell r="H13">
            <v>50.7</v>
          </cell>
        </row>
        <row r="14">
          <cell r="C14">
            <v>43465</v>
          </cell>
          <cell r="G14">
            <v>1.2170000000000001</v>
          </cell>
        </row>
        <row r="15">
          <cell r="G15">
            <v>23</v>
          </cell>
        </row>
        <row r="16">
          <cell r="C16">
            <v>43555</v>
          </cell>
        </row>
        <row r="20">
          <cell r="C20">
            <v>0.25</v>
          </cell>
        </row>
        <row r="21">
          <cell r="C21">
            <v>0.1</v>
          </cell>
        </row>
        <row r="44">
          <cell r="D44">
            <v>1</v>
          </cell>
        </row>
      </sheetData>
      <sheetData sheetId="2" refreshError="1">
        <row r="4">
          <cell r="B4" t="str">
            <v>(Amounts in Millions, Except Per Share Data)</v>
          </cell>
        </row>
        <row r="42">
          <cell r="E42">
            <v>403.17099999999999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>
        <row r="217">
          <cell r="C217">
            <v>1</v>
          </cell>
          <cell r="D217" t="str">
            <v>Wall street consensus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Page"/>
      <sheetName val="Inputs"/>
      <sheetName val="Acq ~&gt;"/>
      <sheetName val="Acq Spread Cover"/>
      <sheetName val="Acq Income Statement"/>
      <sheetName val="Acq Balance Sheet"/>
      <sheetName val="Acq Working Capital"/>
      <sheetName val="Acq Cash Flow"/>
      <sheetName val="Acq Sum Financials"/>
      <sheetName val="Acq Cap Summary"/>
      <sheetName val="Acq DCF"/>
      <sheetName val="Tar ~&gt;"/>
      <sheetName val="Tar Spread Cover"/>
      <sheetName val="Tar Income Statement"/>
      <sheetName val="Tar Balance Sheet"/>
      <sheetName val="Tar Working Capital"/>
      <sheetName val="Tar Cash Flow"/>
      <sheetName val="Tar Sum Financials"/>
      <sheetName val="Tar Cap Summary"/>
      <sheetName val="Tar DCF"/>
      <sheetName val="Models ~&gt;"/>
      <sheetName val="Acq Proj"/>
      <sheetName val="Tar Proj"/>
      <sheetName val="Acq LBO"/>
      <sheetName val="Tar LBO"/>
      <sheetName val="Merger"/>
      <sheetName val="Acq LBO Tables"/>
      <sheetName val="Tar LBO Tables"/>
      <sheetName val="Merger Tables"/>
      <sheetName val="Merger Check"/>
      <sheetName val="Merger Sensitivities"/>
      <sheetName val="Merger Outputs ~&gt;"/>
      <sheetName val="Merger Summary"/>
      <sheetName val="Side by Side"/>
      <sheetName val="Hist Contrib"/>
      <sheetName val="Proj Contrib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>
        <row r="7">
          <cell r="L7">
            <v>2019</v>
          </cell>
        </row>
      </sheetData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corporatefinanceinstitute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O50"/>
  <sheetViews>
    <sheetView showGridLines="0" tabSelected="1" workbookViewId="0"/>
  </sheetViews>
  <sheetFormatPr defaultColWidth="10.69921875" defaultRowHeight="14"/>
  <cols>
    <col min="1" max="2" width="12.796875" style="340" customWidth="1"/>
    <col min="3" max="3" width="34" style="340" customWidth="1"/>
    <col min="4" max="22" width="12.796875" style="340" customWidth="1"/>
    <col min="23" max="25" width="10.69921875" style="340"/>
    <col min="26" max="26" width="10.69921875" style="340" customWidth="1"/>
    <col min="27" max="16384" width="10.69921875" style="340"/>
  </cols>
  <sheetData>
    <row r="1" spans="2:15" ht="19.5" customHeight="1"/>
    <row r="2" spans="2:15" ht="19.5" customHeight="1"/>
    <row r="3" spans="2:15" ht="19.5" customHeight="1">
      <c r="B3" s="341"/>
      <c r="C3" s="341"/>
      <c r="D3" s="341"/>
      <c r="E3" s="341"/>
      <c r="F3" s="341"/>
      <c r="G3" s="341"/>
      <c r="H3" s="341"/>
      <c r="I3" s="341"/>
      <c r="J3" s="341"/>
      <c r="K3" s="341"/>
      <c r="L3" s="341"/>
      <c r="M3" s="341"/>
      <c r="N3" s="341"/>
      <c r="O3" s="341"/>
    </row>
    <row r="4" spans="2:15" ht="19.5" customHeight="1">
      <c r="B4" s="341"/>
      <c r="C4" s="341"/>
      <c r="D4" s="341"/>
      <c r="E4" s="341"/>
      <c r="F4" s="341"/>
      <c r="G4" s="341"/>
      <c r="H4" s="341"/>
      <c r="I4" s="341"/>
      <c r="J4" s="341"/>
      <c r="K4" s="341"/>
      <c r="L4" s="341"/>
      <c r="M4" s="341"/>
      <c r="N4" s="341"/>
      <c r="O4" s="341"/>
    </row>
    <row r="5" spans="2:15" ht="19.5" customHeight="1">
      <c r="B5" s="341"/>
      <c r="C5" s="341"/>
      <c r="D5" s="341"/>
      <c r="E5" s="341"/>
      <c r="F5" s="341"/>
      <c r="G5" s="341"/>
      <c r="H5" s="341"/>
      <c r="I5" s="341"/>
      <c r="J5" s="341"/>
      <c r="K5" s="341"/>
      <c r="L5" s="341"/>
      <c r="M5" s="341"/>
      <c r="N5" s="341"/>
      <c r="O5" s="341"/>
    </row>
    <row r="6" spans="2:15" ht="19.5" customHeight="1">
      <c r="B6" s="341"/>
      <c r="C6" s="341"/>
      <c r="D6" s="341"/>
      <c r="E6" s="341"/>
      <c r="F6" s="341"/>
      <c r="G6" s="341"/>
      <c r="H6" s="341"/>
      <c r="I6" s="341"/>
      <c r="J6" s="341"/>
      <c r="K6" s="341"/>
      <c r="L6" s="341"/>
      <c r="M6" s="341"/>
      <c r="N6" s="341"/>
      <c r="O6" s="341"/>
    </row>
    <row r="7" spans="2:15" ht="19.5" customHeight="1">
      <c r="B7" s="341"/>
      <c r="C7" s="341"/>
      <c r="D7" s="341"/>
      <c r="E7" s="341"/>
      <c r="F7" s="341"/>
      <c r="G7" s="341"/>
      <c r="H7" s="341"/>
      <c r="I7" s="341"/>
      <c r="J7" s="341"/>
      <c r="K7" s="341"/>
      <c r="L7" s="341"/>
      <c r="M7" s="341"/>
      <c r="N7" s="341"/>
      <c r="O7" s="341"/>
    </row>
    <row r="8" spans="2:15" ht="19.5" customHeight="1">
      <c r="B8" s="341"/>
      <c r="C8" s="341"/>
      <c r="D8" s="341"/>
      <c r="E8" s="341"/>
      <c r="F8" s="341"/>
      <c r="G8" s="341"/>
      <c r="H8" s="341"/>
      <c r="I8" s="341"/>
      <c r="J8" s="341"/>
      <c r="K8" s="341"/>
      <c r="L8" s="341"/>
      <c r="M8" s="341"/>
      <c r="N8" s="341"/>
      <c r="O8" s="341"/>
    </row>
    <row r="9" spans="2:15" ht="19.5" customHeight="1">
      <c r="B9" s="341"/>
      <c r="C9" s="341"/>
      <c r="D9" s="341"/>
      <c r="E9" s="341"/>
      <c r="F9" s="341"/>
      <c r="G9" s="341"/>
      <c r="H9" s="341"/>
      <c r="I9" s="341"/>
      <c r="J9" s="341"/>
      <c r="K9" s="341"/>
      <c r="L9" s="341"/>
      <c r="M9" s="341"/>
      <c r="N9" s="341"/>
      <c r="O9" s="341"/>
    </row>
    <row r="10" spans="2:15" ht="19.5" customHeight="1">
      <c r="B10" s="341"/>
      <c r="C10" s="341"/>
      <c r="D10" s="341"/>
      <c r="E10" s="341"/>
      <c r="F10" s="341"/>
      <c r="G10" s="341"/>
      <c r="H10" s="341"/>
      <c r="I10" s="341"/>
      <c r="J10" s="341"/>
      <c r="K10" s="341"/>
      <c r="L10" s="341"/>
      <c r="M10" s="341"/>
      <c r="N10" s="341"/>
      <c r="O10" s="341"/>
    </row>
    <row r="11" spans="2:15" ht="19.5" customHeight="1">
      <c r="B11" s="341"/>
      <c r="C11" s="341"/>
      <c r="D11" s="341"/>
      <c r="E11" s="341"/>
      <c r="F11" s="341"/>
      <c r="G11" s="341"/>
      <c r="H11" s="341"/>
      <c r="I11" s="341"/>
      <c r="J11" s="341"/>
      <c r="K11" s="341"/>
      <c r="L11" s="341"/>
      <c r="M11" s="341"/>
      <c r="N11" s="341"/>
      <c r="O11" s="341"/>
    </row>
    <row r="12" spans="2:15" ht="27">
      <c r="B12" s="341"/>
      <c r="C12" s="342" t="s">
        <v>394</v>
      </c>
      <c r="D12" s="341"/>
      <c r="E12" s="341"/>
      <c r="F12" s="341"/>
      <c r="G12" s="341"/>
      <c r="H12" s="341"/>
      <c r="I12" s="341"/>
      <c r="J12" s="341"/>
      <c r="K12" s="341"/>
      <c r="L12" s="341"/>
      <c r="M12" s="341"/>
      <c r="N12" s="343" t="s">
        <v>199</v>
      </c>
      <c r="O12" s="341"/>
    </row>
    <row r="13" spans="2:15" ht="19.5" customHeight="1">
      <c r="B13" s="341"/>
      <c r="C13" s="344"/>
      <c r="D13" s="341"/>
      <c r="E13" s="341"/>
      <c r="F13" s="341"/>
      <c r="G13" s="341"/>
      <c r="H13" s="341"/>
      <c r="I13" s="341"/>
      <c r="J13" s="341"/>
      <c r="K13" s="341"/>
      <c r="L13" s="341"/>
      <c r="M13" s="341"/>
      <c r="N13" s="341"/>
      <c r="O13" s="341"/>
    </row>
    <row r="14" spans="2:15" ht="19.5" customHeight="1">
      <c r="B14" s="341"/>
      <c r="C14" s="353" t="s">
        <v>200</v>
      </c>
      <c r="D14" s="341"/>
      <c r="E14" s="341"/>
      <c r="F14" s="341"/>
      <c r="G14" s="341"/>
      <c r="H14" s="341"/>
      <c r="I14" s="341"/>
      <c r="J14" s="341"/>
      <c r="K14" s="341"/>
      <c r="L14" s="341"/>
      <c r="M14" s="341"/>
      <c r="N14" s="341"/>
      <c r="O14" s="341"/>
    </row>
    <row r="15" spans="2:15" ht="19.5" customHeight="1">
      <c r="B15" s="341"/>
      <c r="C15" s="345" t="s">
        <v>180</v>
      </c>
      <c r="D15" s="341"/>
      <c r="E15" s="341"/>
      <c r="F15" s="341"/>
      <c r="G15" s="341"/>
      <c r="H15" s="341"/>
      <c r="I15" s="341"/>
      <c r="J15" s="341"/>
      <c r="K15" s="341"/>
      <c r="L15" s="341"/>
      <c r="M15" s="341"/>
      <c r="N15" s="341"/>
      <c r="O15" s="341"/>
    </row>
    <row r="16" spans="2:15" ht="19.5" customHeight="1">
      <c r="B16" s="341"/>
      <c r="C16" s="345" t="s">
        <v>348</v>
      </c>
      <c r="D16" s="341"/>
      <c r="E16" s="341"/>
      <c r="F16" s="341"/>
      <c r="G16" s="341"/>
      <c r="H16" s="341"/>
      <c r="I16" s="341"/>
      <c r="J16" s="341"/>
      <c r="K16" s="341"/>
      <c r="L16" s="341"/>
      <c r="M16" s="341"/>
      <c r="N16" s="341"/>
      <c r="O16" s="341"/>
    </row>
    <row r="17" spans="2:15" ht="19.5" customHeight="1">
      <c r="B17" s="341"/>
      <c r="C17" s="345" t="s">
        <v>39</v>
      </c>
      <c r="D17" s="341"/>
      <c r="E17" s="341"/>
      <c r="F17" s="341"/>
      <c r="G17" s="341"/>
      <c r="H17" s="341"/>
      <c r="I17" s="341"/>
      <c r="J17" s="341"/>
      <c r="K17" s="341"/>
      <c r="L17" s="341"/>
      <c r="M17" s="341"/>
      <c r="N17" s="341"/>
      <c r="O17" s="341"/>
    </row>
    <row r="18" spans="2:15" ht="19.5" customHeight="1">
      <c r="B18" s="341"/>
      <c r="C18" s="345" t="s">
        <v>40</v>
      </c>
      <c r="D18" s="341"/>
      <c r="E18" s="341"/>
      <c r="F18" s="341"/>
      <c r="G18" s="341"/>
      <c r="H18" s="341"/>
      <c r="I18" s="341"/>
      <c r="J18" s="341"/>
      <c r="K18" s="341"/>
      <c r="L18" s="341"/>
      <c r="M18" s="341"/>
      <c r="N18" s="341"/>
      <c r="O18" s="341"/>
    </row>
    <row r="19" spans="2:15" ht="19.5" customHeight="1">
      <c r="B19" s="341"/>
      <c r="C19" s="345" t="s">
        <v>41</v>
      </c>
      <c r="D19" s="341"/>
      <c r="E19" s="341"/>
      <c r="F19" s="341"/>
      <c r="G19" s="341"/>
      <c r="H19" s="341"/>
      <c r="I19" s="341"/>
      <c r="J19" s="341"/>
      <c r="K19" s="341"/>
      <c r="L19" s="341"/>
      <c r="M19" s="341"/>
      <c r="N19" s="341"/>
      <c r="O19" s="341"/>
    </row>
    <row r="20" spans="2:15" ht="19.5" customHeight="1">
      <c r="B20" s="341"/>
      <c r="C20" s="345" t="s">
        <v>349</v>
      </c>
      <c r="D20" s="341"/>
      <c r="E20" s="341"/>
      <c r="F20" s="341"/>
      <c r="G20" s="341"/>
      <c r="H20" s="341"/>
      <c r="I20" s="341"/>
      <c r="J20" s="341"/>
      <c r="K20" s="341"/>
      <c r="L20" s="341"/>
      <c r="M20" s="341"/>
      <c r="N20" s="341"/>
      <c r="O20" s="341"/>
    </row>
    <row r="21" spans="2:15" ht="19.5" customHeight="1">
      <c r="B21" s="341"/>
      <c r="C21" s="345" t="s">
        <v>350</v>
      </c>
      <c r="D21" s="341"/>
      <c r="E21" s="341"/>
      <c r="F21" s="341"/>
      <c r="G21" s="341"/>
      <c r="H21" s="341"/>
      <c r="I21" s="341"/>
      <c r="J21" s="341"/>
      <c r="K21" s="341"/>
      <c r="L21" s="341"/>
      <c r="M21" s="341"/>
      <c r="N21" s="341"/>
      <c r="O21" s="341"/>
    </row>
    <row r="22" spans="2:15" ht="19.5" customHeight="1">
      <c r="B22" s="341"/>
      <c r="C22" s="345"/>
      <c r="D22" s="341"/>
      <c r="E22" s="341"/>
      <c r="F22" s="341"/>
      <c r="G22" s="341"/>
      <c r="H22" s="341"/>
      <c r="I22" s="341"/>
      <c r="J22" s="341"/>
      <c r="K22" s="341"/>
      <c r="L22" s="341"/>
      <c r="M22" s="341"/>
      <c r="N22" s="341"/>
      <c r="O22" s="341"/>
    </row>
    <row r="23" spans="2:15" ht="19.5" customHeight="1">
      <c r="B23" s="341"/>
      <c r="C23" s="341" t="s">
        <v>201</v>
      </c>
      <c r="D23" s="341"/>
      <c r="E23" s="341"/>
      <c r="F23" s="341"/>
      <c r="G23" s="341"/>
      <c r="H23" s="341"/>
      <c r="I23" s="341"/>
      <c r="J23" s="341"/>
      <c r="K23" s="341"/>
      <c r="L23" s="341"/>
      <c r="M23" s="341"/>
      <c r="N23" s="341"/>
      <c r="O23" s="341"/>
    </row>
    <row r="24" spans="2:15" ht="19.5" customHeight="1">
      <c r="B24" s="341"/>
      <c r="C24" s="346" t="s">
        <v>202</v>
      </c>
      <c r="D24" s="346"/>
      <c r="E24" s="346"/>
      <c r="F24" s="346"/>
      <c r="G24" s="346"/>
      <c r="H24" s="346"/>
      <c r="I24" s="346"/>
      <c r="J24" s="346"/>
      <c r="K24" s="346"/>
      <c r="L24" s="346"/>
      <c r="M24" s="346"/>
      <c r="N24" s="346"/>
      <c r="O24" s="341"/>
    </row>
    <row r="25" spans="2:15" ht="19.5" customHeight="1">
      <c r="B25" s="341"/>
      <c r="C25" s="341" t="s">
        <v>203</v>
      </c>
      <c r="D25" s="341"/>
      <c r="E25" s="341"/>
      <c r="F25" s="341"/>
      <c r="G25" s="341"/>
      <c r="H25" s="341"/>
      <c r="I25" s="341"/>
      <c r="J25" s="341"/>
      <c r="K25" s="341"/>
      <c r="L25" s="341"/>
      <c r="M25" s="341"/>
      <c r="N25" s="341"/>
      <c r="O25" s="341"/>
    </row>
    <row r="26" spans="2:15" ht="19.5" customHeight="1">
      <c r="B26" s="341"/>
      <c r="C26" s="347" t="s">
        <v>204</v>
      </c>
      <c r="D26" s="341"/>
      <c r="E26" s="341"/>
      <c r="F26" s="341"/>
      <c r="G26" s="341"/>
      <c r="H26" s="341"/>
      <c r="I26" s="341"/>
      <c r="J26" s="341"/>
      <c r="K26" s="341"/>
      <c r="L26" s="341"/>
      <c r="M26" s="341"/>
      <c r="N26" s="341"/>
      <c r="O26" s="341"/>
    </row>
    <row r="27" spans="2:15" ht="19.5" customHeight="1">
      <c r="B27" s="341"/>
      <c r="C27" s="347"/>
      <c r="D27" s="341"/>
      <c r="E27" s="341"/>
      <c r="F27" s="341"/>
      <c r="G27" s="341"/>
      <c r="H27" s="341"/>
      <c r="I27" s="341"/>
      <c r="J27" s="341"/>
      <c r="K27" s="341"/>
      <c r="L27" s="341"/>
      <c r="M27" s="341"/>
      <c r="N27" s="341"/>
      <c r="O27" s="341"/>
    </row>
    <row r="28" spans="2:15" ht="19.5" customHeight="1">
      <c r="B28" s="341"/>
      <c r="C28" s="348" t="s">
        <v>205</v>
      </c>
      <c r="D28" s="349"/>
      <c r="E28" s="349"/>
      <c r="F28" s="349"/>
      <c r="G28" s="349"/>
      <c r="H28" s="349"/>
      <c r="I28" s="349"/>
      <c r="J28" s="349"/>
      <c r="K28" s="349"/>
      <c r="L28" s="349"/>
      <c r="M28" s="349"/>
      <c r="N28" s="349"/>
      <c r="O28" s="341"/>
    </row>
    <row r="29" spans="2:15" ht="19.5" customHeight="1">
      <c r="B29" s="350"/>
      <c r="C29" s="351" t="s">
        <v>206</v>
      </c>
      <c r="D29" s="351"/>
      <c r="E29" s="351"/>
      <c r="F29" s="351"/>
      <c r="G29" s="351"/>
      <c r="H29" s="351"/>
      <c r="I29" s="351"/>
      <c r="J29" s="351"/>
      <c r="K29" s="351"/>
      <c r="L29" s="351"/>
      <c r="M29" s="351"/>
      <c r="N29" s="351"/>
      <c r="O29" s="350"/>
    </row>
    <row r="30" spans="2:15" ht="19.5" customHeight="1">
      <c r="B30" s="350"/>
      <c r="C30" s="351" t="s">
        <v>207</v>
      </c>
      <c r="D30" s="351"/>
      <c r="E30" s="351"/>
      <c r="F30" s="351"/>
      <c r="G30" s="351"/>
      <c r="H30" s="351"/>
      <c r="I30" s="351"/>
      <c r="J30" s="351"/>
      <c r="K30" s="351"/>
      <c r="L30" s="351"/>
      <c r="M30" s="351"/>
      <c r="N30" s="351"/>
      <c r="O30" s="350"/>
    </row>
    <row r="31" spans="2:15" ht="19.5" customHeight="1">
      <c r="B31" s="350"/>
      <c r="C31" s="351" t="s">
        <v>208</v>
      </c>
      <c r="D31" s="351"/>
      <c r="E31" s="351"/>
      <c r="F31" s="351"/>
      <c r="G31" s="351"/>
      <c r="H31" s="351"/>
      <c r="I31" s="351"/>
      <c r="J31" s="351"/>
      <c r="K31" s="351"/>
      <c r="L31" s="351"/>
      <c r="M31" s="351"/>
      <c r="N31" s="351"/>
      <c r="O31" s="350"/>
    </row>
    <row r="32" spans="2:15" ht="19.5" customHeight="1">
      <c r="B32" s="350"/>
      <c r="C32" s="351"/>
      <c r="D32" s="351"/>
      <c r="E32" s="351"/>
      <c r="F32" s="351"/>
      <c r="G32" s="351"/>
      <c r="H32" s="351"/>
      <c r="I32" s="351"/>
      <c r="J32" s="351"/>
      <c r="K32" s="351"/>
      <c r="L32" s="351"/>
      <c r="M32" s="351"/>
      <c r="N32" s="351"/>
      <c r="O32" s="350"/>
    </row>
    <row r="33" spans="2:15" ht="19.5" customHeight="1">
      <c r="B33" s="350"/>
      <c r="C33" s="350"/>
      <c r="D33" s="350"/>
      <c r="E33" s="350"/>
      <c r="F33" s="350"/>
      <c r="G33" s="350"/>
      <c r="H33" s="350"/>
      <c r="I33" s="350"/>
      <c r="J33" s="350"/>
      <c r="K33" s="350"/>
      <c r="L33" s="350"/>
      <c r="M33" s="350"/>
      <c r="N33" s="350"/>
      <c r="O33" s="350"/>
    </row>
    <row r="34" spans="2:15" ht="19.5" customHeight="1"/>
    <row r="35" spans="2:15" ht="19.5" customHeight="1"/>
    <row r="36" spans="2:15" ht="19.5" customHeight="1"/>
    <row r="37" spans="2:15" ht="19.5" customHeight="1"/>
    <row r="38" spans="2:15" ht="19.5" customHeight="1"/>
    <row r="39" spans="2:15" ht="19.5" customHeight="1"/>
    <row r="40" spans="2:15" ht="19.5" customHeight="1"/>
    <row r="41" spans="2:15" ht="19.5" customHeight="1"/>
    <row r="42" spans="2:15" ht="19.5" customHeight="1"/>
    <row r="43" spans="2:15" ht="19.5" customHeight="1"/>
    <row r="44" spans="2:15" ht="19.5" customHeight="1"/>
    <row r="45" spans="2:15" ht="19.5" customHeight="1"/>
    <row r="46" spans="2:15" ht="19.5" customHeight="1"/>
    <row r="47" spans="2:15" ht="19.5" customHeight="1"/>
    <row r="48" spans="2:15" ht="19.5" customHeight="1"/>
    <row r="49" ht="19.5" customHeight="1"/>
    <row r="50" ht="19.5" customHeight="1"/>
  </sheetData>
  <hyperlinks>
    <hyperlink ref="C26" r:id="rId1" xr:uid="{00000000-0004-0000-0000-000000000000}"/>
  </hyperlinks>
  <pageMargins left="0.7" right="0.7" top="0.75" bottom="0.75" header="0.3" footer="0.3"/>
  <pageSetup scale="64" orientation="landscape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H54"/>
  <sheetViews>
    <sheetView showGridLines="0" zoomScale="130" zoomScaleNormal="130" zoomScaleSheetLayoutView="130" workbookViewId="0"/>
  </sheetViews>
  <sheetFormatPr defaultColWidth="9" defaultRowHeight="13"/>
  <cols>
    <col min="1" max="1" width="2.796875" style="9" customWidth="1"/>
    <col min="2" max="8" width="13.296875" style="9" customWidth="1"/>
    <col min="9" max="16384" width="9" style="9"/>
  </cols>
  <sheetData>
    <row r="1" spans="1:8">
      <c r="A1" s="8"/>
      <c r="B1" s="14"/>
    </row>
    <row r="2" spans="1:8" ht="22.5">
      <c r="B2" s="521" t="s">
        <v>391</v>
      </c>
      <c r="C2" s="218"/>
      <c r="D2" s="218"/>
      <c r="E2" s="218"/>
      <c r="F2" s="218"/>
      <c r="G2" s="218"/>
      <c r="H2" s="218"/>
    </row>
    <row r="3" spans="1:8" s="10" customFormat="1" ht="20.149999999999999" customHeight="1">
      <c r="A3" s="9"/>
      <c r="B3" s="215" t="s">
        <v>28</v>
      </c>
      <c r="C3" s="216"/>
      <c r="D3" s="216"/>
      <c r="E3" s="216"/>
      <c r="F3" s="216"/>
      <c r="G3" s="216"/>
      <c r="H3" s="216"/>
    </row>
    <row r="5" spans="1:8">
      <c r="B5" s="9" t="s">
        <v>44</v>
      </c>
      <c r="E5" s="11">
        <v>43675</v>
      </c>
    </row>
    <row r="6" spans="1:8">
      <c r="B6" s="9" t="s">
        <v>90</v>
      </c>
      <c r="E6" s="11">
        <v>43830</v>
      </c>
      <c r="F6" s="12"/>
      <c r="G6" s="13"/>
      <c r="H6" s="13"/>
    </row>
    <row r="7" spans="1:8">
      <c r="G7" s="14"/>
      <c r="H7" s="14"/>
    </row>
    <row r="8" spans="1:8" s="14" customFormat="1" ht="15.5">
      <c r="B8" s="126" t="s">
        <v>29</v>
      </c>
      <c r="C8" s="127"/>
      <c r="D8" s="127"/>
      <c r="E8" s="127"/>
      <c r="F8" s="127"/>
      <c r="G8" s="127"/>
      <c r="H8" s="127"/>
    </row>
    <row r="9" spans="1:8" s="14" customFormat="1">
      <c r="B9" s="14" t="s">
        <v>145</v>
      </c>
      <c r="C9" s="16" t="s">
        <v>296</v>
      </c>
      <c r="E9" s="14" t="s">
        <v>30</v>
      </c>
      <c r="G9" s="17">
        <v>79.290000000000006</v>
      </c>
      <c r="H9" s="17"/>
    </row>
    <row r="10" spans="1:8" s="14" customFormat="1">
      <c r="B10" s="14" t="s">
        <v>189</v>
      </c>
      <c r="C10" s="16" t="s">
        <v>228</v>
      </c>
      <c r="G10" s="17"/>
      <c r="H10" s="17"/>
    </row>
    <row r="11" spans="1:8" s="14" customFormat="1">
      <c r="B11" s="14" t="s">
        <v>190</v>
      </c>
      <c r="C11" s="16" t="s">
        <v>229</v>
      </c>
      <c r="G11" s="18" t="s">
        <v>66</v>
      </c>
      <c r="H11" s="18"/>
    </row>
    <row r="12" spans="1:8" s="14" customFormat="1">
      <c r="G12" s="19" t="str">
        <f>TEXT(C17,"m/d/yy")</f>
        <v>3/1/19</v>
      </c>
      <c r="H12" s="19" t="str">
        <f>TEXT(C15,"m/d/yy")</f>
        <v>3/1/19</v>
      </c>
    </row>
    <row r="13" spans="1:8" s="14" customFormat="1">
      <c r="B13" s="14" t="s">
        <v>144</v>
      </c>
      <c r="C13" s="20">
        <v>2018</v>
      </c>
      <c r="E13" s="14" t="s">
        <v>35</v>
      </c>
      <c r="G13" s="21">
        <v>370.53563000000003</v>
      </c>
      <c r="H13" s="22">
        <f>+ashares</f>
        <v>370.53563000000003</v>
      </c>
    </row>
    <row r="14" spans="1:8" s="14" customFormat="1">
      <c r="B14" s="14" t="s">
        <v>141</v>
      </c>
      <c r="C14" s="11">
        <v>43465</v>
      </c>
      <c r="E14" s="14" t="s">
        <v>31</v>
      </c>
      <c r="G14" s="23">
        <f>D31</f>
        <v>1.2170000000000001</v>
      </c>
      <c r="H14" s="23"/>
    </row>
    <row r="15" spans="1:8" s="14" customFormat="1">
      <c r="B15" s="14" t="s">
        <v>198</v>
      </c>
      <c r="C15" s="11">
        <v>43525</v>
      </c>
      <c r="E15" s="14" t="s">
        <v>113</v>
      </c>
      <c r="G15" s="24">
        <f>E31</f>
        <v>75</v>
      </c>
      <c r="H15" s="24"/>
    </row>
    <row r="16" spans="1:8" s="14" customFormat="1">
      <c r="B16" s="14" t="s">
        <v>95</v>
      </c>
      <c r="C16" s="11">
        <v>43555</v>
      </c>
      <c r="E16" s="14" t="s">
        <v>32</v>
      </c>
      <c r="G16" s="23">
        <f>IF(aprice&gt;aexercise,aoptions*(aprice-aexercise)/aprice,0)</f>
        <v>6.584600832387448E-2</v>
      </c>
      <c r="H16" s="23"/>
    </row>
    <row r="17" spans="2:8" s="14" customFormat="1">
      <c r="B17" s="14" t="s">
        <v>198</v>
      </c>
      <c r="C17" s="11">
        <v>43525</v>
      </c>
      <c r="E17" s="14" t="s">
        <v>61</v>
      </c>
      <c r="G17" s="25">
        <f>ashares+G16</f>
        <v>370.60147600832391</v>
      </c>
      <c r="H17" s="23"/>
    </row>
    <row r="18" spans="2:8" s="14" customFormat="1">
      <c r="B18" s="14" t="s">
        <v>96</v>
      </c>
      <c r="C18" s="11">
        <v>43525</v>
      </c>
    </row>
    <row r="19" spans="2:8" s="14" customFormat="1">
      <c r="E19" s="14" t="s">
        <v>143</v>
      </c>
      <c r="G19" s="26">
        <v>0.2</v>
      </c>
      <c r="H19" s="26"/>
    </row>
    <row r="20" spans="2:8" s="14" customFormat="1">
      <c r="B20" s="14" t="s">
        <v>53</v>
      </c>
      <c r="C20" s="27">
        <v>2E-3</v>
      </c>
      <c r="G20" s="28"/>
      <c r="H20" s="28"/>
    </row>
    <row r="21" spans="2:8" s="14" customFormat="1">
      <c r="B21" s="14" t="s">
        <v>142</v>
      </c>
      <c r="C21" s="27">
        <v>0.1</v>
      </c>
    </row>
    <row r="22" spans="2:8" s="14" customFormat="1">
      <c r="B22" s="29"/>
      <c r="D22" s="30"/>
    </row>
    <row r="23" spans="2:8">
      <c r="B23" s="124" t="s">
        <v>31</v>
      </c>
      <c r="C23" s="125"/>
      <c r="D23" s="125"/>
      <c r="E23" s="125"/>
    </row>
    <row r="24" spans="2:8" s="14" customFormat="1">
      <c r="B24" s="32" t="s">
        <v>55</v>
      </c>
      <c r="C24" s="32" t="s">
        <v>101</v>
      </c>
      <c r="D24" s="32" t="s">
        <v>55</v>
      </c>
      <c r="E24" s="32" t="s">
        <v>101</v>
      </c>
    </row>
    <row r="25" spans="2:8" s="14" customFormat="1">
      <c r="B25" s="33">
        <v>1.2170000000000001</v>
      </c>
      <c r="C25" s="34">
        <v>75</v>
      </c>
      <c r="D25" s="35">
        <f t="shared" ref="D25:D30" si="0">IF(aprice&gt;C25,B25,0)</f>
        <v>1.2170000000000001</v>
      </c>
      <c r="E25" s="36">
        <f t="shared" ref="E25:E30" si="1">IF(aprice&gt;C25,C25,0)</f>
        <v>75</v>
      </c>
    </row>
    <row r="26" spans="2:8" s="14" customFormat="1">
      <c r="B26" s="37">
        <v>0</v>
      </c>
      <c r="C26" s="38">
        <v>0</v>
      </c>
      <c r="D26" s="39">
        <f t="shared" si="0"/>
        <v>0</v>
      </c>
      <c r="E26" s="39">
        <f t="shared" si="1"/>
        <v>0</v>
      </c>
    </row>
    <row r="27" spans="2:8" s="14" customFormat="1">
      <c r="B27" s="37">
        <v>0</v>
      </c>
      <c r="C27" s="38">
        <v>0</v>
      </c>
      <c r="D27" s="39">
        <f t="shared" si="0"/>
        <v>0</v>
      </c>
      <c r="E27" s="39">
        <f t="shared" si="1"/>
        <v>0</v>
      </c>
    </row>
    <row r="28" spans="2:8" s="14" customFormat="1">
      <c r="B28" s="37">
        <v>0</v>
      </c>
      <c r="C28" s="38">
        <v>0</v>
      </c>
      <c r="D28" s="39">
        <f t="shared" si="0"/>
        <v>0</v>
      </c>
      <c r="E28" s="39">
        <f t="shared" si="1"/>
        <v>0</v>
      </c>
    </row>
    <row r="29" spans="2:8" s="14" customFormat="1">
      <c r="B29" s="37">
        <v>0</v>
      </c>
      <c r="C29" s="38">
        <v>0</v>
      </c>
      <c r="D29" s="39">
        <f t="shared" si="0"/>
        <v>0</v>
      </c>
      <c r="E29" s="39">
        <f t="shared" si="1"/>
        <v>0</v>
      </c>
    </row>
    <row r="30" spans="2:8" s="14" customFormat="1">
      <c r="B30" s="37">
        <v>0</v>
      </c>
      <c r="C30" s="38">
        <v>0</v>
      </c>
      <c r="D30" s="39">
        <f t="shared" si="0"/>
        <v>0</v>
      </c>
      <c r="E30" s="39">
        <f t="shared" si="1"/>
        <v>0</v>
      </c>
    </row>
    <row r="31" spans="2:8" s="14" customFormat="1">
      <c r="B31" s="40">
        <f>SUM(B25:B30)</f>
        <v>1.2170000000000001</v>
      </c>
      <c r="C31" s="41">
        <f>IF(B31=0,0,SUMPRODUCT(B25:B30,C25:C30)/B31)</f>
        <v>75</v>
      </c>
      <c r="D31" s="35">
        <f>SUM(D25:D30)</f>
        <v>1.2170000000000001</v>
      </c>
      <c r="E31" s="41">
        <f>IF(D31=0,0,SUMPRODUCT(D25:D30,E25:E30)/D31)</f>
        <v>75</v>
      </c>
    </row>
    <row r="32" spans="2:8" s="14" customFormat="1"/>
    <row r="33" spans="2:8" s="14" customFormat="1">
      <c r="B33" s="42"/>
      <c r="D33" s="128" t="s">
        <v>181</v>
      </c>
      <c r="E33" s="128"/>
      <c r="F33" s="128"/>
      <c r="G33" s="128"/>
      <c r="H33" s="43"/>
    </row>
    <row r="34" spans="2:8" s="14" customFormat="1">
      <c r="B34" s="44" t="str">
        <f>"FY Ended "&amp;TEXT(afye,"mmmm d")&amp;","</f>
        <v>FY Ended December 31,</v>
      </c>
      <c r="D34" s="45" t="str">
        <f>TEXT(afye+365,"mmm-yy")</f>
        <v>Dec-19</v>
      </c>
      <c r="E34" s="45" t="str">
        <f>TEXT(afye+365*2,"mmm-yy")</f>
        <v>Dec-20</v>
      </c>
      <c r="F34" s="45" t="str">
        <f>TEXT(afye+365*3,"mmm-yy")</f>
        <v>Dec-21</v>
      </c>
      <c r="G34" s="45" t="str">
        <f>TEXT(afye+365*4,"mmm-yy")</f>
        <v>Dec-22</v>
      </c>
      <c r="H34" s="46"/>
    </row>
    <row r="35" spans="2:8" s="14" customFormat="1">
      <c r="B35" s="3" t="s">
        <v>282</v>
      </c>
      <c r="C35" s="3"/>
      <c r="D35" s="47">
        <v>2677.23</v>
      </c>
      <c r="E35" s="47">
        <v>2757.87</v>
      </c>
      <c r="F35" s="47">
        <v>2800.64</v>
      </c>
      <c r="G35" s="47">
        <v>2818.93</v>
      </c>
      <c r="H35" s="48"/>
    </row>
    <row r="36" spans="2:8" s="14" customFormat="1">
      <c r="B36" s="3" t="s">
        <v>304</v>
      </c>
      <c r="C36" s="3"/>
      <c r="D36" s="28">
        <v>910.84</v>
      </c>
      <c r="E36" s="28">
        <v>954.55</v>
      </c>
      <c r="F36" s="28">
        <v>1004.6</v>
      </c>
      <c r="G36" s="51"/>
      <c r="H36" s="51"/>
    </row>
    <row r="37" spans="2:8" s="14" customFormat="1">
      <c r="B37" s="3" t="s">
        <v>9</v>
      </c>
      <c r="C37" s="3"/>
      <c r="D37" s="28">
        <v>1700.48</v>
      </c>
      <c r="E37" s="28">
        <v>1761.61</v>
      </c>
      <c r="F37" s="28">
        <v>1822.68</v>
      </c>
      <c r="G37" s="51"/>
      <c r="H37" s="51"/>
    </row>
    <row r="38" spans="2:8" s="14" customFormat="1">
      <c r="B38" s="3" t="s">
        <v>323</v>
      </c>
      <c r="C38" s="3"/>
      <c r="D38" s="15">
        <f>+D37-D36</f>
        <v>789.64</v>
      </c>
      <c r="E38" s="15">
        <f t="shared" ref="E38:F38" si="2">+E37-E36</f>
        <v>807.06</v>
      </c>
      <c r="F38" s="15">
        <f t="shared" si="2"/>
        <v>818.08</v>
      </c>
      <c r="G38" s="51"/>
      <c r="H38" s="51"/>
    </row>
    <row r="39" spans="2:8">
      <c r="B39" s="3" t="s">
        <v>319</v>
      </c>
      <c r="C39" s="3"/>
      <c r="D39" s="411">
        <v>1310.85</v>
      </c>
      <c r="E39" s="411">
        <v>1369.53</v>
      </c>
      <c r="F39" s="47">
        <v>1427.82</v>
      </c>
      <c r="G39" s="47">
        <f>+F39*(1+F39/E39-1)</f>
        <v>1488.5909417099297</v>
      </c>
      <c r="H39" s="14"/>
    </row>
    <row r="40" spans="2:8">
      <c r="B40" s="3" t="s">
        <v>92</v>
      </c>
      <c r="C40" s="3"/>
      <c r="D40" s="54">
        <f>+D39/D41</f>
        <v>385.54411764705878</v>
      </c>
      <c r="E40" s="54">
        <f>+E39/E41</f>
        <v>384.69943820224717</v>
      </c>
      <c r="F40" s="54">
        <f>+F39/F41</f>
        <v>386.9430894308943</v>
      </c>
      <c r="G40" s="54">
        <f>+G39/G41</f>
        <v>389.19982612402606</v>
      </c>
      <c r="H40" s="15"/>
    </row>
    <row r="41" spans="2:8">
      <c r="B41" s="3" t="s">
        <v>320</v>
      </c>
      <c r="C41" s="3"/>
      <c r="D41" s="412">
        <v>3.4</v>
      </c>
      <c r="E41" s="412">
        <v>3.56</v>
      </c>
      <c r="F41" s="412">
        <v>3.69</v>
      </c>
      <c r="G41" s="53">
        <f>+F41*(1+F41/E41-1)</f>
        <v>3.8247471910112347</v>
      </c>
      <c r="H41" s="14"/>
    </row>
    <row r="42" spans="2:8" s="14" customFormat="1">
      <c r="B42" s="3"/>
      <c r="C42" s="3"/>
      <c r="D42" s="4"/>
      <c r="E42" s="55"/>
    </row>
    <row r="43" spans="2:8" s="14" customFormat="1"/>
    <row r="44" spans="2:8" s="14" customFormat="1">
      <c r="B44" s="356" t="s">
        <v>139</v>
      </c>
      <c r="C44" s="357"/>
      <c r="D44" s="358"/>
    </row>
    <row r="45" spans="2:8" s="14" customFormat="1">
      <c r="B45" s="359" t="str">
        <f>acq&amp;" Current Quarter"</f>
        <v>REIT Corporation Current Quarter</v>
      </c>
      <c r="C45" s="360"/>
      <c r="D45" s="361">
        <f>IF(altmdate=afye,4,ROUND((altmdate-afye)/90,0))</f>
        <v>1</v>
      </c>
    </row>
    <row r="46" spans="2:8" s="14" customFormat="1">
      <c r="B46"/>
      <c r="C46"/>
      <c r="D46"/>
    </row>
    <row r="47" spans="2:8" s="14" customFormat="1">
      <c r="B47"/>
      <c r="C47"/>
      <c r="D47"/>
      <c r="E47" s="15"/>
    </row>
    <row r="48" spans="2:8" s="14" customFormat="1">
      <c r="B48"/>
      <c r="C48"/>
      <c r="D48"/>
    </row>
    <row r="49" spans="2:8" s="14" customFormat="1">
      <c r="B49"/>
      <c r="C49"/>
      <c r="D49"/>
      <c r="E49" s="56"/>
      <c r="F49" s="57"/>
      <c r="G49" s="58"/>
      <c r="H49" s="58"/>
    </row>
    <row r="50" spans="2:8" s="14" customFormat="1">
      <c r="E50" s="49"/>
      <c r="F50" s="49"/>
      <c r="G50" s="49"/>
      <c r="H50" s="49"/>
    </row>
    <row r="51" spans="2:8" s="14" customFormat="1">
      <c r="E51" s="15"/>
      <c r="F51" s="49"/>
      <c r="G51" s="49"/>
      <c r="H51" s="49"/>
    </row>
    <row r="52" spans="2:8" s="14" customFormat="1"/>
    <row r="53" spans="2:8" s="14" customFormat="1"/>
    <row r="54" spans="2:8" s="14" customFormat="1"/>
  </sheetData>
  <customSheetViews>
    <customSheetView guid="{9AE38660-BF5A-49A3-9FC0-AD5890AFC019}" scale="85" showPageBreaks="1" showGridLines="0" fitToPage="1" printArea="1" view="pageBreakPreview" showRuler="0">
      <selection activeCell="J17" sqref="J17"/>
      <pageMargins left="0.35" right="0.35" top="0.35" bottom="0.35" header="0.15" footer="0.15"/>
      <printOptions horizontalCentered="1"/>
      <pageSetup scale="84" orientation="landscape" r:id="rId1"/>
      <headerFooter alignWithMargins="0">
        <oddFooter>&amp;L&amp;"Arial,Regular"&amp;8
Peter J. Solomon Company, LP&amp;R&amp;"Arial,Regular"&amp;8
&amp;D at &amp;T</oddFooter>
      </headerFooter>
    </customSheetView>
  </customSheetViews>
  <phoneticPr fontId="0" type="noConversion"/>
  <printOptions horizontalCentered="1"/>
  <pageMargins left="0.35" right="0.35" top="0.35" bottom="0.35" header="0.15" footer="0.15"/>
  <pageSetup scale="77" orientation="landscape" r:id="rId2"/>
  <headerFooter alignWithMargins="0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indexed="41"/>
  </sheetPr>
  <dimension ref="A1:V53"/>
  <sheetViews>
    <sheetView showGridLines="0" zoomScale="125" zoomScaleNormal="125" zoomScaleSheetLayoutView="125" zoomScalePageLayoutView="125" workbookViewId="0">
      <selection activeCell="B1" sqref="B1"/>
    </sheetView>
  </sheetViews>
  <sheetFormatPr defaultColWidth="10.296875" defaultRowHeight="13"/>
  <cols>
    <col min="1" max="1" width="2.796875" style="4" customWidth="1"/>
    <col min="2" max="5" width="11.19921875" style="3" customWidth="1"/>
    <col min="6" max="6" width="4.296875" style="3" customWidth="1"/>
    <col min="7" max="8" width="11.19921875" style="3" customWidth="1"/>
    <col min="9" max="9" width="4.296875" style="60" customWidth="1"/>
    <col min="10" max="10" width="11.19921875" style="3" customWidth="1"/>
    <col min="11" max="11" width="4.296875" style="3" customWidth="1"/>
    <col min="12" max="15" width="11.19921875" style="3" customWidth="1"/>
    <col min="16" max="16" width="10.296875" style="4"/>
    <col min="17" max="20" width="11.19921875" style="4" customWidth="1"/>
    <col min="21" max="16384" width="10.296875" style="4"/>
  </cols>
  <sheetData>
    <row r="1" spans="1:22">
      <c r="A1" s="2"/>
      <c r="B1" s="59"/>
    </row>
    <row r="2" spans="1:22" ht="23.25" customHeight="1">
      <c r="B2" s="61" t="str">
        <f>proj</f>
        <v>REIT Model</v>
      </c>
      <c r="C2" s="320"/>
      <c r="D2" s="320"/>
      <c r="E2" s="320"/>
      <c r="F2" s="320"/>
      <c r="G2" s="320"/>
      <c r="H2" s="320"/>
      <c r="I2" s="338"/>
      <c r="J2" s="320"/>
      <c r="K2" s="320"/>
      <c r="L2" s="320"/>
      <c r="M2" s="320"/>
      <c r="N2" s="320"/>
      <c r="O2" s="339"/>
    </row>
    <row r="3" spans="1:22" ht="20.149999999999999" customHeight="1">
      <c r="B3" s="215" t="str">
        <f>acq&amp;" - Summary Capitalization and Valuation Data"</f>
        <v>REIT Corporation - Summary Capitalization and Valuation Data</v>
      </c>
      <c r="C3" s="181"/>
      <c r="D3" s="181"/>
      <c r="E3" s="181"/>
      <c r="F3" s="181"/>
      <c r="G3" s="181"/>
      <c r="H3" s="181"/>
      <c r="I3" s="219"/>
      <c r="J3" s="181"/>
      <c r="K3" s="181"/>
      <c r="L3" s="181"/>
      <c r="M3" s="181"/>
      <c r="N3" s="181"/>
      <c r="O3" s="217"/>
    </row>
    <row r="4" spans="1:22" ht="12.75" customHeight="1">
      <c r="B4" s="62" t="s">
        <v>43</v>
      </c>
      <c r="C4" s="7"/>
      <c r="D4" s="7"/>
      <c r="E4" s="7"/>
      <c r="F4" s="7"/>
      <c r="G4" s="7"/>
      <c r="H4" s="7"/>
      <c r="J4" s="7"/>
      <c r="K4" s="7"/>
      <c r="L4" s="7"/>
      <c r="M4" s="7"/>
      <c r="N4" s="7"/>
      <c r="O4" s="7"/>
    </row>
    <row r="5" spans="1:22" ht="12.75" customHeight="1"/>
    <row r="6" spans="1:22" ht="15" customHeight="1">
      <c r="B6" s="123" t="s">
        <v>75</v>
      </c>
      <c r="C6" s="123"/>
      <c r="D6" s="123"/>
      <c r="E6" s="123"/>
      <c r="F6" s="63"/>
      <c r="G6" s="123" t="s">
        <v>191</v>
      </c>
      <c r="H6" s="123"/>
      <c r="I6" s="123"/>
      <c r="J6" s="123"/>
      <c r="K6" s="63"/>
      <c r="L6" s="123" t="s">
        <v>104</v>
      </c>
      <c r="M6" s="123"/>
      <c r="N6" s="123"/>
      <c r="O6" s="123"/>
      <c r="Q6"/>
      <c r="R6"/>
      <c r="S6"/>
      <c r="T6"/>
      <c r="U6"/>
      <c r="V6"/>
    </row>
    <row r="7" spans="1:22">
      <c r="B7" s="64" t="s">
        <v>76</v>
      </c>
      <c r="E7" s="65" t="s">
        <v>295</v>
      </c>
      <c r="G7" s="3" t="s">
        <v>87</v>
      </c>
      <c r="I7" s="3"/>
      <c r="J7" s="59">
        <f>afye</f>
        <v>43465</v>
      </c>
      <c r="O7" s="7" t="s">
        <v>77</v>
      </c>
      <c r="Q7"/>
      <c r="R7"/>
      <c r="S7"/>
      <c r="T7"/>
      <c r="U7"/>
      <c r="V7"/>
    </row>
    <row r="8" spans="1:22">
      <c r="B8" s="64" t="s">
        <v>78</v>
      </c>
      <c r="E8" s="65" t="s">
        <v>229</v>
      </c>
      <c r="G8" s="3" t="s">
        <v>95</v>
      </c>
      <c r="I8" s="3"/>
      <c r="J8" s="59">
        <f>altmdate</f>
        <v>43555</v>
      </c>
      <c r="O8" s="67">
        <f>altmdate</f>
        <v>43555</v>
      </c>
      <c r="Q8"/>
      <c r="R8"/>
      <c r="S8"/>
      <c r="T8"/>
      <c r="U8"/>
      <c r="V8"/>
    </row>
    <row r="9" spans="1:22" ht="12.75" customHeight="1">
      <c r="B9" s="68" t="str">
        <f>"Stock Price as of "&amp;TEXT(tdate,"m/d/yy")</f>
        <v>Stock Price as of 7/29/19</v>
      </c>
      <c r="E9" s="69">
        <v>79.290000000000006</v>
      </c>
      <c r="I9" s="3"/>
      <c r="J9" s="70"/>
      <c r="L9" s="1" t="s">
        <v>212</v>
      </c>
      <c r="O9" s="74">
        <f>+E29/J11</f>
        <v>5.2057489216556201</v>
      </c>
      <c r="P9" s="71"/>
      <c r="U9" s="3"/>
      <c r="V9" s="72"/>
    </row>
    <row r="10" spans="1:22">
      <c r="G10" s="3" t="s">
        <v>103</v>
      </c>
      <c r="I10" s="3"/>
      <c r="J10" s="73">
        <f>+'Income Statement'!N7</f>
        <v>2607.9120000000003</v>
      </c>
      <c r="L10" s="1" t="s">
        <v>105</v>
      </c>
      <c r="O10" s="74">
        <f>+(E29+E32)/J11</f>
        <v>5.1886588059073153</v>
      </c>
      <c r="P10" s="71"/>
    </row>
    <row r="11" spans="1:22">
      <c r="B11" s="3" t="s">
        <v>79</v>
      </c>
      <c r="E11" s="1"/>
      <c r="G11" s="3" t="s">
        <v>335</v>
      </c>
      <c r="I11" s="3"/>
      <c r="J11" s="75">
        <f>+'Income Statement'!N34</f>
        <v>1719.7660000000001</v>
      </c>
      <c r="L11" s="3" t="s">
        <v>347</v>
      </c>
      <c r="O11" s="108">
        <f>+-J11/'Income Statement'!N17</f>
        <v>4.3877961846492992</v>
      </c>
    </row>
    <row r="12" spans="1:22">
      <c r="C12" s="3" t="s">
        <v>60</v>
      </c>
      <c r="D12" s="76">
        <v>43281</v>
      </c>
      <c r="E12" s="77">
        <v>81</v>
      </c>
      <c r="G12" s="3" t="s">
        <v>336</v>
      </c>
      <c r="I12" s="3"/>
      <c r="J12" s="75">
        <f>+'Income Statement'!N39</f>
        <v>1344.3729800000001</v>
      </c>
    </row>
    <row r="13" spans="1:22">
      <c r="C13" s="78" t="s">
        <v>59</v>
      </c>
      <c r="D13" s="79">
        <v>43373</v>
      </c>
      <c r="E13" s="80">
        <v>68.03</v>
      </c>
      <c r="G13" s="3" t="s">
        <v>33</v>
      </c>
      <c r="I13" s="3"/>
      <c r="J13" s="69">
        <f>+'Income Statement'!N48</f>
        <v>1.2937106659768332</v>
      </c>
      <c r="L13" s="3" t="s">
        <v>8</v>
      </c>
      <c r="O13" s="85">
        <f>+'Balance Sheet'!K21/('Balance Sheet'!K21+'Balance Sheet'!K23+'Balance Sheet'!K25)</f>
        <v>0.45556634510221666</v>
      </c>
    </row>
    <row r="14" spans="1:22">
      <c r="C14" s="78"/>
      <c r="D14" s="79"/>
      <c r="E14" s="80"/>
      <c r="I14" s="3"/>
      <c r="J14" s="81"/>
      <c r="L14" s="3" t="s">
        <v>217</v>
      </c>
      <c r="O14" s="101">
        <f>+'Balance Sheet'!K21/'Balance Sheet'!K25</f>
        <v>0.83634413060116886</v>
      </c>
    </row>
    <row r="15" spans="1:22">
      <c r="B15" s="3" t="s">
        <v>131</v>
      </c>
      <c r="D15" s="82"/>
      <c r="E15" s="83"/>
      <c r="G15" s="3" t="s">
        <v>339</v>
      </c>
      <c r="I15" s="3"/>
      <c r="J15" s="84">
        <f>+'Income Statement'!N40</f>
        <v>3.4988164320672297</v>
      </c>
    </row>
    <row r="16" spans="1:22" ht="12.75" customHeight="1">
      <c r="C16" s="3" t="s">
        <v>60</v>
      </c>
      <c r="D16" s="76">
        <v>42880</v>
      </c>
      <c r="E16" s="77">
        <v>81.28</v>
      </c>
      <c r="G16" s="70" t="s">
        <v>340</v>
      </c>
      <c r="I16" s="3"/>
      <c r="J16" s="86">
        <f>+Inputs!D41</f>
        <v>3.4</v>
      </c>
      <c r="L16" s="3" t="s">
        <v>133</v>
      </c>
      <c r="N16" s="3" t="s">
        <v>134</v>
      </c>
      <c r="O16" s="88" t="s">
        <v>345</v>
      </c>
    </row>
    <row r="17" spans="2:15">
      <c r="C17" s="3" t="s">
        <v>59</v>
      </c>
      <c r="D17" s="76">
        <v>42388</v>
      </c>
      <c r="E17" s="80">
        <v>55.44</v>
      </c>
      <c r="G17" s="70" t="s">
        <v>341</v>
      </c>
      <c r="I17" s="3"/>
      <c r="J17" s="86">
        <f>+Inputs!E41</f>
        <v>3.56</v>
      </c>
      <c r="N17" s="3" t="s">
        <v>135</v>
      </c>
      <c r="O17" s="88" t="s">
        <v>346</v>
      </c>
    </row>
    <row r="18" spans="2:15">
      <c r="G18" s="78" t="s">
        <v>197</v>
      </c>
      <c r="H18" s="78"/>
      <c r="I18" s="78"/>
      <c r="J18" s="87">
        <f>Inputs!C21</f>
        <v>0.1</v>
      </c>
      <c r="K18" s="78"/>
    </row>
    <row r="19" spans="2:15">
      <c r="G19" s="4"/>
      <c r="H19" s="4"/>
      <c r="I19" s="4"/>
      <c r="J19" s="90"/>
      <c r="K19" s="4"/>
    </row>
    <row r="20" spans="2:15">
      <c r="B20" s="4" t="s">
        <v>192</v>
      </c>
      <c r="C20" s="4"/>
      <c r="D20" s="4"/>
      <c r="E20" s="89">
        <v>76</v>
      </c>
      <c r="G20" s="3" t="s">
        <v>80</v>
      </c>
      <c r="I20" s="3"/>
      <c r="J20" s="77">
        <f>0.568*4</f>
        <v>2.2719999999999998</v>
      </c>
    </row>
    <row r="21" spans="2:15">
      <c r="B21" s="3" t="s">
        <v>182</v>
      </c>
      <c r="D21" s="76"/>
      <c r="E21" s="89">
        <v>22.5</v>
      </c>
      <c r="G21" s="3" t="s">
        <v>81</v>
      </c>
      <c r="I21" s="3"/>
      <c r="J21" s="92">
        <f>J20/E9</f>
        <v>2.8654306974397775E-2</v>
      </c>
      <c r="K21" s="64"/>
    </row>
    <row r="22" spans="2:15">
      <c r="B22" s="3" t="s">
        <v>183</v>
      </c>
      <c r="D22" s="76"/>
      <c r="E22" s="91">
        <f>E21/E26</f>
        <v>6.0722905378897025E-2</v>
      </c>
      <c r="G22" s="3" t="s">
        <v>82</v>
      </c>
      <c r="I22" s="3"/>
      <c r="J22" s="93">
        <f>IF(J15&lt;=0,"NM",J20/J15*100)</f>
        <v>64.936244701972498</v>
      </c>
      <c r="K22" s="3" t="s">
        <v>52</v>
      </c>
    </row>
    <row r="23" spans="2:15">
      <c r="D23" s="94"/>
      <c r="E23" s="95"/>
      <c r="I23" s="3"/>
      <c r="J23" s="96"/>
    </row>
    <row r="24" spans="2:15" ht="15" customHeight="1">
      <c r="B24" s="123" t="s">
        <v>83</v>
      </c>
      <c r="C24" s="123"/>
      <c r="D24" s="123"/>
      <c r="E24" s="123"/>
      <c r="F24" s="63"/>
      <c r="G24" s="123" t="s">
        <v>84</v>
      </c>
      <c r="H24" s="123"/>
      <c r="I24" s="123"/>
      <c r="J24" s="123"/>
      <c r="K24" s="63"/>
      <c r="L24" s="123" t="s">
        <v>222</v>
      </c>
      <c r="M24" s="123"/>
      <c r="N24" s="123"/>
      <c r="O24" s="123"/>
    </row>
    <row r="25" spans="2:15">
      <c r="B25" s="97" t="str">
        <f>B9</f>
        <v>Stock Price as of 7/29/19</v>
      </c>
      <c r="E25" s="98">
        <f>E9</f>
        <v>79.290000000000006</v>
      </c>
      <c r="G25" s="99" t="s">
        <v>51</v>
      </c>
      <c r="N25" s="66" t="s">
        <v>88</v>
      </c>
      <c r="O25" s="66" t="s">
        <v>85</v>
      </c>
    </row>
    <row r="26" spans="2:15">
      <c r="B26" s="64" t="s">
        <v>220</v>
      </c>
      <c r="E26" s="100">
        <f>ashares</f>
        <v>370.53563000000003</v>
      </c>
      <c r="G26" s="3" t="str">
        <f>G10</f>
        <v>LTM Net Sales</v>
      </c>
      <c r="J26" s="108">
        <f>$E$33/J10</f>
        <v>14.687155100593886</v>
      </c>
      <c r="N26" s="102" t="s">
        <v>27</v>
      </c>
      <c r="O26" s="102" t="s">
        <v>11</v>
      </c>
    </row>
    <row r="27" spans="2:15">
      <c r="B27" s="64" t="s">
        <v>221</v>
      </c>
      <c r="E27" s="103">
        <f>Inputs!G16</f>
        <v>6.584600832387448E-2</v>
      </c>
      <c r="G27" s="3" t="s">
        <v>335</v>
      </c>
      <c r="J27" s="108">
        <f>+E33/J11</f>
        <v>22.272104479737362</v>
      </c>
      <c r="L27" s="1" t="s">
        <v>209</v>
      </c>
      <c r="N27" s="354">
        <v>1</v>
      </c>
      <c r="O27" s="352">
        <f>+N27/$N$31</f>
        <v>2.6987957946176455E-3</v>
      </c>
    </row>
    <row r="28" spans="2:15">
      <c r="B28" s="105" t="s">
        <v>47</v>
      </c>
      <c r="E28" s="106">
        <f>E25*(E26+E27)</f>
        <v>29384.991032700007</v>
      </c>
      <c r="G28" s="4"/>
      <c r="H28" s="4"/>
      <c r="I28" s="4"/>
      <c r="J28" s="4"/>
      <c r="L28" s="3" t="s">
        <v>89</v>
      </c>
      <c r="N28" s="251">
        <v>0.2</v>
      </c>
      <c r="O28" s="140">
        <f t="shared" ref="O28:O31" si="0">+N28/$N$31</f>
        <v>5.3975915892352918E-4</v>
      </c>
    </row>
    <row r="29" spans="2:15">
      <c r="B29" s="3" t="s">
        <v>97</v>
      </c>
      <c r="E29" s="100">
        <f>+'Balance Sheet'!K21</f>
        <v>8952.67</v>
      </c>
      <c r="G29" s="4" t="s">
        <v>343</v>
      </c>
      <c r="H29" s="4"/>
      <c r="I29" s="4"/>
      <c r="J29" s="207">
        <f>+E9/J13</f>
        <v>61.288819892453354</v>
      </c>
      <c r="L29" s="3" t="s">
        <v>121</v>
      </c>
      <c r="N29" s="251">
        <v>79</v>
      </c>
      <c r="O29" s="140">
        <f t="shared" si="0"/>
        <v>0.213204867774794</v>
      </c>
    </row>
    <row r="30" spans="2:15">
      <c r="B30" s="3" t="s">
        <v>98</v>
      </c>
      <c r="E30" s="100">
        <f>+'Balance Sheet'!K23</f>
        <v>-5.4619999999999997</v>
      </c>
      <c r="F30" s="107"/>
      <c r="G30" s="4"/>
      <c r="H30" s="4"/>
      <c r="I30" s="4"/>
      <c r="J30" s="207"/>
      <c r="L30" s="64" t="s">
        <v>86</v>
      </c>
      <c r="N30" s="242">
        <f>+N31-N29-N28-N27</f>
        <v>290.33563000000004</v>
      </c>
      <c r="O30" s="137">
        <f t="shared" si="0"/>
        <v>0.78355657727166483</v>
      </c>
    </row>
    <row r="31" spans="2:15">
      <c r="B31" s="3" t="s">
        <v>99</v>
      </c>
      <c r="E31" s="100">
        <v>0</v>
      </c>
      <c r="F31" s="107"/>
      <c r="G31" s="99" t="s">
        <v>342</v>
      </c>
      <c r="H31" s="109"/>
      <c r="J31" s="104"/>
      <c r="L31" s="110" t="s">
        <v>11</v>
      </c>
      <c r="N31" s="252">
        <v>370.53563000000003</v>
      </c>
      <c r="O31" s="352">
        <f t="shared" si="0"/>
        <v>1</v>
      </c>
    </row>
    <row r="32" spans="2:15">
      <c r="B32" s="3" t="s">
        <v>100</v>
      </c>
      <c r="E32" s="103">
        <f>+-'Balance Sheet'!K8</f>
        <v>-29.390999999999998</v>
      </c>
      <c r="G32" s="3" t="s">
        <v>339</v>
      </c>
      <c r="J32" s="108">
        <f>+E9/J15</f>
        <v>22.661949130367081</v>
      </c>
    </row>
    <row r="33" spans="2:15">
      <c r="B33" s="110" t="s">
        <v>0</v>
      </c>
      <c r="E33" s="111">
        <f>SUM(E28:E32)</f>
        <v>38302.808032700006</v>
      </c>
      <c r="G33" s="3" t="str">
        <f>G$16</f>
        <v>FY19 FFO / Share (a)</v>
      </c>
      <c r="J33" s="104">
        <f>IF(J16&lt;=0,"NM",$E$9/J16)</f>
        <v>23.320588235294121</v>
      </c>
    </row>
    <row r="34" spans="2:15">
      <c r="B34" s="110"/>
      <c r="E34" s="111"/>
      <c r="G34" s="3" t="str">
        <f>G$17</f>
        <v>FY20 FFO / Share (b)</v>
      </c>
      <c r="J34" s="104">
        <f>IF(J17&lt;=0,"NM",$E$9/J17)</f>
        <v>22.272471910112362</v>
      </c>
    </row>
    <row r="35" spans="2:15">
      <c r="B35" s="110"/>
      <c r="E35" s="111"/>
    </row>
    <row r="36" spans="2:15">
      <c r="G36" s="3" t="s">
        <v>344</v>
      </c>
      <c r="J36" s="108">
        <f>+E28/'Balance Sheet'!K25</f>
        <v>2.7450989233342264</v>
      </c>
    </row>
    <row r="37" spans="2:15">
      <c r="B37" s="4"/>
      <c r="C37" s="4"/>
      <c r="D37" s="4"/>
      <c r="E37" s="4"/>
      <c r="F37" s="4"/>
      <c r="I37" s="425"/>
      <c r="J37" s="104"/>
      <c r="K37" s="4"/>
      <c r="L37" s="4"/>
      <c r="M37" s="4"/>
      <c r="N37" s="4"/>
      <c r="O37" s="4"/>
    </row>
    <row r="38" spans="2:15" ht="12.75" customHeight="1">
      <c r="B38" s="112" t="str">
        <f>"(a) Source: Mean of Wall Street analysts' estimates as reported by ThomsonONE on "&amp;TEXT(tdate,"mmmm d, yyyy")&amp;"."</f>
        <v>(a) Source: Mean of Wall Street analysts' estimates as reported by ThomsonONE on July 29, 2019.</v>
      </c>
      <c r="C38" s="113"/>
      <c r="D38" s="113"/>
      <c r="E38" s="113"/>
      <c r="F38" s="113"/>
      <c r="G38" s="113"/>
      <c r="H38" s="113"/>
      <c r="I38" s="4"/>
      <c r="J38" s="113"/>
      <c r="K38" s="113"/>
      <c r="L38" s="113"/>
      <c r="M38" s="113"/>
      <c r="N38" s="113"/>
      <c r="O38" s="113"/>
    </row>
    <row r="39" spans="2:15" ht="12.75" customHeight="1">
      <c r="B39" s="115" t="str">
        <f>"(b) Shares outstanding as of "&amp;TEXT(Inputs!C17,"mmmm d, yyyy")&amp;". Source: Company's "&amp;IF(aquarter&lt;&gt;4,"Form 10-Q for the period ended "&amp;TEXT(altmdate,"mmmm d, yyyy")&amp;".",YEAR(afye)&amp;" Form 10-K.")</f>
        <v>(b) Shares outstanding as of March 1, 2019. Source: Company's Form 10-Q for the period ended March 31, 2019.</v>
      </c>
      <c r="I39" s="4"/>
    </row>
    <row r="40" spans="2:15" ht="12.75" customHeight="1">
      <c r="B40" s="115" t="str">
        <f>"(c) Assumes the treasury stock method with "&amp;FIXED(aoptions,1)&amp;" million in-the-money options outstanding at a weighted average exercise price of $"&amp;FIXED(aexercise,2)&amp;" per share."</f>
        <v>(c) Assumes the treasury stock method with 1.2 million in-the-money options outstanding at a weighted average exercise price of $75.00 per share.</v>
      </c>
      <c r="I40" s="4"/>
    </row>
    <row r="41" spans="2:15" ht="12.75" customHeight="1">
      <c r="B41" s="116" t="str">
        <f>"(d) Includes exercisable options held by directors and executive officers. Source: Company's Proxy Statement dated "&amp;TEXT(Inputs!C18,"mmmm d, yyyy")&amp;" and Bloomberg."</f>
        <v>(d) Includes exercisable options held by directors and executive officers. Source: Company's Proxy Statement dated March 1, 2019 and Bloomberg.</v>
      </c>
      <c r="I41" s="4"/>
    </row>
    <row r="42" spans="2:15">
      <c r="B42" s="117"/>
      <c r="I42" s="4"/>
    </row>
    <row r="43" spans="2:15">
      <c r="B43" s="117"/>
      <c r="E43" s="118"/>
      <c r="G43" s="119"/>
      <c r="I43" s="4"/>
    </row>
    <row r="44" spans="2:15">
      <c r="B44" s="117"/>
      <c r="I44" s="4"/>
    </row>
    <row r="45" spans="2:15">
      <c r="B45" s="120"/>
      <c r="I45" s="4"/>
    </row>
    <row r="46" spans="2:15">
      <c r="B46" s="117"/>
      <c r="I46" s="4"/>
    </row>
    <row r="48" spans="2:15">
      <c r="I48" s="4"/>
    </row>
    <row r="51" spans="2:15">
      <c r="B51" s="4"/>
      <c r="C51" s="4"/>
      <c r="D51" s="4"/>
      <c r="E51" s="4"/>
      <c r="F51" s="4"/>
      <c r="G51" s="4"/>
      <c r="H51" s="4"/>
      <c r="I51" s="4"/>
      <c r="J51" s="121"/>
      <c r="K51" s="4"/>
      <c r="L51" s="4"/>
      <c r="M51" s="4"/>
      <c r="N51" s="4"/>
      <c r="O51" s="4"/>
    </row>
    <row r="52" spans="2:15">
      <c r="B52" s="4"/>
      <c r="C52" s="4"/>
      <c r="D52" s="4"/>
      <c r="E52" s="4"/>
      <c r="F52" s="4"/>
      <c r="G52" s="4"/>
      <c r="H52" s="4"/>
      <c r="I52" s="4"/>
      <c r="J52" s="122"/>
      <c r="K52" s="4"/>
      <c r="L52" s="4"/>
      <c r="M52" s="4"/>
      <c r="N52" s="4"/>
      <c r="O52" s="4"/>
    </row>
    <row r="53" spans="2:15">
      <c r="B53" s="4"/>
      <c r="C53" s="4"/>
      <c r="D53" s="4"/>
      <c r="E53" s="4"/>
      <c r="F53" s="4"/>
      <c r="G53" s="4"/>
      <c r="H53" s="4"/>
      <c r="I53" s="4"/>
      <c r="J53" s="122"/>
      <c r="K53" s="4"/>
      <c r="L53" s="4"/>
      <c r="M53" s="4"/>
      <c r="N53" s="4"/>
      <c r="O53" s="4"/>
    </row>
  </sheetData>
  <customSheetViews>
    <customSheetView guid="{9AE38660-BF5A-49A3-9FC0-AD5890AFC019}" showPageBreaks="1" showGridLines="0" printArea="1" view="pageBreakPreview" showRuler="0">
      <pageMargins left="0.35" right="0.35" top="0.35" bottom="0.35" header="0.15" footer="0.15"/>
      <printOptions horizontalCentered="1"/>
      <pageSetup orientation="landscape" r:id="rId1"/>
      <headerFooter alignWithMargins="0">
        <oddFooter>&amp;L&amp;"Arial,Regular"&amp;8
Peter J. Solomon Company, LP&amp;R&amp;"Arial,Regular"&amp;8
&amp;D at &amp;T</oddFooter>
      </headerFooter>
    </customSheetView>
  </customSheetViews>
  <phoneticPr fontId="0" type="noConversion"/>
  <printOptions horizontalCentered="1"/>
  <pageMargins left="0.35" right="0.35" top="0.35" bottom="0.35" header="0.15" footer="0.15"/>
  <pageSetup orientation="landscape" r:id="rId2"/>
  <headerFooter alignWithMargins="0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indexed="41"/>
  </sheetPr>
  <dimension ref="A1:Q103"/>
  <sheetViews>
    <sheetView showGridLines="0" zoomScale="125" zoomScaleNormal="125" zoomScaleSheetLayoutView="125" zoomScalePageLayoutView="125" workbookViewId="0"/>
  </sheetViews>
  <sheetFormatPr defaultColWidth="10.296875" defaultRowHeight="13"/>
  <cols>
    <col min="1" max="1" width="2.796875" style="3" customWidth="1"/>
    <col min="2" max="6" width="10.796875" style="3" customWidth="1"/>
    <col min="7" max="9" width="11.796875" style="3" customWidth="1"/>
    <col min="10" max="10" width="2.796875" style="3" customWidth="1"/>
    <col min="11" max="12" width="11.796875" style="3" customWidth="1"/>
    <col min="13" max="13" width="2.796875" style="3" customWidth="1"/>
    <col min="14" max="14" width="11.796875" style="3" customWidth="1"/>
    <col min="15" max="15" width="2.796875" style="3" customWidth="1"/>
    <col min="16" max="16" width="11.796875" style="3" customWidth="1"/>
    <col min="17" max="17" width="2.796875" style="3" customWidth="1"/>
    <col min="18" max="16384" width="10.296875" style="3"/>
  </cols>
  <sheetData>
    <row r="1" spans="1:16">
      <c r="A1" s="375"/>
    </row>
    <row r="2" spans="1:16" ht="22.5">
      <c r="B2" s="376" t="str">
        <f>+aspread</f>
        <v>REIT Model</v>
      </c>
      <c r="C2" s="377"/>
      <c r="D2" s="377"/>
      <c r="E2" s="377"/>
      <c r="F2" s="377"/>
      <c r="G2" s="377"/>
      <c r="H2" s="377"/>
      <c r="I2" s="377"/>
      <c r="J2" s="377"/>
      <c r="K2" s="377"/>
      <c r="L2" s="378"/>
      <c r="M2" s="377"/>
      <c r="N2" s="377"/>
      <c r="O2" s="377"/>
      <c r="P2" s="377"/>
    </row>
    <row r="3" spans="1:16" ht="20.149999999999999" customHeight="1">
      <c r="B3" s="379" t="str">
        <f>acq&amp;" - Historical Income Statement"</f>
        <v>EQUITY RESIDENTIAL - Historical Income Statement</v>
      </c>
      <c r="C3" s="380"/>
      <c r="D3" s="380"/>
      <c r="E3" s="380"/>
      <c r="F3" s="380"/>
      <c r="G3" s="380"/>
      <c r="H3" s="380"/>
      <c r="I3" s="380"/>
      <c r="J3" s="380"/>
      <c r="K3" s="380"/>
      <c r="L3" s="380"/>
      <c r="M3" s="380"/>
      <c r="N3" s="380"/>
      <c r="O3" s="380"/>
      <c r="P3" s="380"/>
    </row>
    <row r="4" spans="1:16" ht="12.75" customHeight="1">
      <c r="B4" s="129" t="str">
        <f>'[4]Spread Cover'!B4</f>
        <v>(Amounts in Millions, Except Per Share Data)</v>
      </c>
      <c r="C4" s="7"/>
      <c r="D4" s="7"/>
      <c r="E4" s="7"/>
      <c r="F4" s="7"/>
      <c r="G4" s="130"/>
      <c r="H4" s="130"/>
      <c r="I4" s="130"/>
      <c r="J4" s="7"/>
      <c r="K4" s="130"/>
      <c r="L4" s="130"/>
      <c r="M4" s="7"/>
      <c r="N4" s="7"/>
      <c r="O4" s="7"/>
      <c r="P4" s="7"/>
    </row>
    <row r="5" spans="1:16" ht="12.75" customHeight="1">
      <c r="G5" s="180" t="str">
        <f>"Fiscal Year Ended "&amp;TEXT(afye,"mmmm d,")</f>
        <v>Fiscal Year Ended December 31,</v>
      </c>
      <c r="H5" s="180"/>
      <c r="I5" s="180"/>
      <c r="K5" s="180" t="str">
        <f>CHOOSE(aquarter,"Three","Six","Nine","")&amp;" Months Ended"</f>
        <v>Three Months Ended</v>
      </c>
      <c r="L5" s="180"/>
      <c r="N5" s="180" t="s">
        <v>34</v>
      </c>
      <c r="P5" s="180" t="s">
        <v>64</v>
      </c>
    </row>
    <row r="6" spans="1:16" ht="15" customHeight="1">
      <c r="B6" s="99" t="s">
        <v>193</v>
      </c>
      <c r="G6" s="7">
        <f>H6-1</f>
        <v>2016</v>
      </c>
      <c r="H6" s="7">
        <f>I6-1</f>
        <v>2017</v>
      </c>
      <c r="I6" s="377">
        <f>afy</f>
        <v>2018</v>
      </c>
      <c r="K6" s="381">
        <f>DATE(YEAR(L6)-1,MONTH(L6),DAY(L6))</f>
        <v>43190</v>
      </c>
      <c r="L6" s="378">
        <f>altmdate</f>
        <v>43555</v>
      </c>
      <c r="N6" s="381">
        <f>+L6</f>
        <v>43555</v>
      </c>
      <c r="P6" s="7" t="str">
        <f>"FY"&amp;TEXT(G6-2000,"00")&amp;"-FY"&amp;TEXT(I6-2000,"00")</f>
        <v>FY16-FY18</v>
      </c>
    </row>
    <row r="7" spans="1:16" ht="12.75" customHeight="1">
      <c r="B7" s="3" t="s">
        <v>282</v>
      </c>
      <c r="G7" s="382">
        <v>2425.8000000000002</v>
      </c>
      <c r="H7" s="382">
        <v>2471.4059999999999</v>
      </c>
      <c r="I7" s="133">
        <v>2578.4340000000002</v>
      </c>
      <c r="J7" s="134"/>
      <c r="K7" s="133">
        <v>633.01599999999996</v>
      </c>
      <c r="L7" s="133">
        <v>662.49400000000003</v>
      </c>
      <c r="M7" s="134"/>
      <c r="N7" s="395">
        <f>I7-K7+L7</f>
        <v>2607.9120000000003</v>
      </c>
      <c r="O7" s="135"/>
      <c r="P7" s="383">
        <f t="shared" ref="P7:P26" si="0">IF(OR(G7&lt;=0,I7&lt;=0),"NM",(I7/G7)^(1/(I$6-G$6))-1)</f>
        <v>3.0980648797255705E-2</v>
      </c>
    </row>
    <row r="8" spans="1:16" ht="12.75" customHeight="1">
      <c r="B8" s="99" t="s">
        <v>281</v>
      </c>
      <c r="G8" s="373"/>
      <c r="H8" s="373"/>
      <c r="I8" s="373"/>
      <c r="J8" s="373"/>
      <c r="K8" s="373"/>
      <c r="L8" s="373"/>
      <c r="M8" s="373"/>
      <c r="N8" s="396"/>
      <c r="O8" s="373"/>
      <c r="P8" s="373"/>
    </row>
    <row r="9" spans="1:16" ht="12.75" customHeight="1">
      <c r="B9" s="110" t="s">
        <v>283</v>
      </c>
      <c r="G9" s="136">
        <v>406.82299999999998</v>
      </c>
      <c r="H9" s="136">
        <v>405.28100000000001</v>
      </c>
      <c r="I9" s="136">
        <v>429.33499999999998</v>
      </c>
      <c r="J9" s="138"/>
      <c r="K9" s="136">
        <v>108.202</v>
      </c>
      <c r="L9" s="136">
        <v>115.07</v>
      </c>
      <c r="M9" s="138"/>
      <c r="N9" s="54">
        <f t="shared" ref="N9:N24" si="1">I9-K9+L9</f>
        <v>436.20299999999997</v>
      </c>
      <c r="O9" s="139"/>
      <c r="P9" s="140">
        <f t="shared" si="0"/>
        <v>2.729552924132328E-2</v>
      </c>
    </row>
    <row r="10" spans="1:16" ht="12.75" customHeight="1">
      <c r="B10" s="110" t="s">
        <v>251</v>
      </c>
      <c r="G10" s="136">
        <v>317.387</v>
      </c>
      <c r="H10" s="136">
        <v>335.495</v>
      </c>
      <c r="I10" s="136">
        <v>357.81400000000002</v>
      </c>
      <c r="J10" s="141"/>
      <c r="K10" s="136">
        <v>91.914000000000001</v>
      </c>
      <c r="L10" s="136">
        <v>91.441999999999993</v>
      </c>
      <c r="M10" s="138"/>
      <c r="N10" s="54">
        <f t="shared" si="1"/>
        <v>357.34200000000004</v>
      </c>
      <c r="O10" s="139"/>
      <c r="P10" s="140">
        <f t="shared" si="0"/>
        <v>6.1778916316002519E-2</v>
      </c>
    </row>
    <row r="11" spans="1:16" ht="12.75" customHeight="1">
      <c r="B11" s="110" t="s">
        <v>252</v>
      </c>
      <c r="G11" s="136">
        <v>82.015000000000001</v>
      </c>
      <c r="H11" s="136">
        <v>85.492999999999995</v>
      </c>
      <c r="I11" s="136">
        <v>92.484999999999999</v>
      </c>
      <c r="J11" s="141"/>
      <c r="K11" s="136">
        <v>23.443999999999999</v>
      </c>
      <c r="L11" s="136">
        <v>26.396000000000001</v>
      </c>
      <c r="M11" s="138"/>
      <c r="N11" s="54">
        <f t="shared" si="1"/>
        <v>95.436999999999998</v>
      </c>
      <c r="O11" s="139"/>
      <c r="P11" s="140">
        <f t="shared" si="0"/>
        <v>6.1913167103640809E-2</v>
      </c>
    </row>
    <row r="12" spans="1:16" ht="12.75" customHeight="1">
      <c r="B12" s="110" t="s">
        <v>253</v>
      </c>
      <c r="G12" s="136">
        <v>57.84</v>
      </c>
      <c r="H12" s="136">
        <v>52.223999999999997</v>
      </c>
      <c r="I12" s="136">
        <v>53.813000000000002</v>
      </c>
      <c r="J12" s="141"/>
      <c r="K12" s="136">
        <v>16.277999999999999</v>
      </c>
      <c r="L12" s="136">
        <v>15.381</v>
      </c>
      <c r="M12" s="138"/>
      <c r="N12" s="54">
        <f t="shared" si="1"/>
        <v>52.916000000000004</v>
      </c>
      <c r="O12" s="139"/>
      <c r="P12" s="140">
        <f t="shared" si="0"/>
        <v>-3.5439529216512167E-2</v>
      </c>
    </row>
    <row r="13" spans="1:16" ht="12.75" customHeight="1">
      <c r="B13" s="110" t="s">
        <v>230</v>
      </c>
      <c r="G13" s="136">
        <v>705.649</v>
      </c>
      <c r="H13" s="136">
        <v>743.74900000000002</v>
      </c>
      <c r="I13" s="136">
        <v>785.72500000000002</v>
      </c>
      <c r="J13" s="141"/>
      <c r="K13" s="136">
        <v>196.309</v>
      </c>
      <c r="L13" s="136">
        <v>204.215</v>
      </c>
      <c r="M13" s="138"/>
      <c r="N13" s="54">
        <f t="shared" si="1"/>
        <v>793.63100000000009</v>
      </c>
      <c r="O13" s="139"/>
      <c r="P13" s="140">
        <f t="shared" si="0"/>
        <v>5.5214913705001978E-2</v>
      </c>
    </row>
    <row r="14" spans="1:16" ht="12.75" customHeight="1">
      <c r="B14" s="110" t="s">
        <v>284</v>
      </c>
      <c r="G14" s="136">
        <v>0</v>
      </c>
      <c r="H14" s="136">
        <v>1.6930000000000001</v>
      </c>
      <c r="I14" s="136">
        <v>0.70199999999999996</v>
      </c>
      <c r="J14" s="138"/>
      <c r="K14" s="136">
        <v>0</v>
      </c>
      <c r="L14" s="136">
        <v>0</v>
      </c>
      <c r="M14" s="118"/>
      <c r="N14" s="54">
        <f t="shared" si="1"/>
        <v>0.70199999999999996</v>
      </c>
      <c r="O14" s="139"/>
      <c r="P14" s="140" t="str">
        <f t="shared" si="0"/>
        <v>NM</v>
      </c>
    </row>
    <row r="15" spans="1:16" ht="12.75" customHeight="1">
      <c r="B15" s="3" t="s">
        <v>285</v>
      </c>
      <c r="G15" s="362">
        <f>SUM(G9:G14)</f>
        <v>1569.7139999999999</v>
      </c>
      <c r="H15" s="363">
        <f t="shared" ref="H15:K15" si="2">SUM(H9:H14)</f>
        <v>1623.9350000000002</v>
      </c>
      <c r="I15" s="364">
        <f t="shared" si="2"/>
        <v>1719.874</v>
      </c>
      <c r="J15" s="141"/>
      <c r="K15" s="364">
        <f t="shared" si="2"/>
        <v>436.14699999999993</v>
      </c>
      <c r="L15" s="364">
        <f t="shared" ref="L15" si="3">SUM(L9:L14)</f>
        <v>452.50400000000002</v>
      </c>
      <c r="M15" s="138"/>
      <c r="N15" s="364">
        <f t="shared" si="1"/>
        <v>1736.2310000000002</v>
      </c>
      <c r="O15" s="139"/>
      <c r="P15" s="140">
        <f t="shared" si="0"/>
        <v>4.6738142134014726E-2</v>
      </c>
    </row>
    <row r="16" spans="1:16" ht="12.75" customHeight="1">
      <c r="B16" s="3" t="s">
        <v>304</v>
      </c>
      <c r="G16" s="362">
        <f>G7-G15</f>
        <v>856.08600000000024</v>
      </c>
      <c r="H16" s="363">
        <f t="shared" ref="H16:K16" si="4">H7-H15</f>
        <v>847.47099999999978</v>
      </c>
      <c r="I16" s="364">
        <f t="shared" si="4"/>
        <v>858.56000000000017</v>
      </c>
      <c r="J16" s="118"/>
      <c r="K16" s="362">
        <f t="shared" si="4"/>
        <v>196.86900000000003</v>
      </c>
      <c r="L16" s="364">
        <f t="shared" ref="L16" si="5">L7-L15</f>
        <v>209.99</v>
      </c>
      <c r="M16" s="118"/>
      <c r="N16" s="394">
        <f t="shared" si="1"/>
        <v>871.68100000000015</v>
      </c>
      <c r="O16" s="139"/>
      <c r="P16" s="140">
        <f t="shared" si="0"/>
        <v>1.4439058558453066E-3</v>
      </c>
    </row>
    <row r="17" spans="2:17" ht="12.75" customHeight="1">
      <c r="B17" s="3" t="s">
        <v>12</v>
      </c>
      <c r="G17" s="141">
        <v>-429.10599999999999</v>
      </c>
      <c r="H17" s="141">
        <v>-386.28</v>
      </c>
      <c r="I17" s="141">
        <v>-409.35300000000001</v>
      </c>
      <c r="J17" s="141"/>
      <c r="K17" s="141">
        <v>-113.90300000000001</v>
      </c>
      <c r="L17" s="141">
        <v>-96.492999999999995</v>
      </c>
      <c r="M17" s="138"/>
      <c r="N17" s="118">
        <f t="shared" si="1"/>
        <v>-391.94299999999998</v>
      </c>
      <c r="O17" s="139"/>
      <c r="P17" s="140" t="str">
        <f t="shared" si="0"/>
        <v>NM</v>
      </c>
    </row>
    <row r="18" spans="2:17" ht="12.75" customHeight="1">
      <c r="B18" s="3" t="s">
        <v>284</v>
      </c>
      <c r="G18" s="141">
        <v>4054.7370000000001</v>
      </c>
      <c r="H18" s="141">
        <v>167.66799999999998</v>
      </c>
      <c r="I18" s="141">
        <v>236.863</v>
      </c>
      <c r="J18" s="141"/>
      <c r="K18" s="141">
        <v>-4.4180000000000001</v>
      </c>
      <c r="L18" s="141">
        <v>-3.9809999999999999</v>
      </c>
      <c r="M18" s="138"/>
      <c r="N18" s="118">
        <f t="shared" si="1"/>
        <v>237.3</v>
      </c>
      <c r="O18" s="139"/>
      <c r="P18" s="140">
        <f t="shared" si="0"/>
        <v>-0.75830522172443127</v>
      </c>
    </row>
    <row r="19" spans="2:17" ht="12.75" customHeight="1">
      <c r="B19" s="3" t="s">
        <v>13</v>
      </c>
      <c r="G19" s="384">
        <f>SUM(G16:G18)</f>
        <v>4481.7170000000006</v>
      </c>
      <c r="H19" s="384">
        <f t="shared" ref="H19:K19" si="6">SUM(H16:H18)</f>
        <v>628.85899999999981</v>
      </c>
      <c r="I19" s="384">
        <f t="shared" si="6"/>
        <v>686.07000000000016</v>
      </c>
      <c r="J19" s="138"/>
      <c r="K19" s="384">
        <f t="shared" si="6"/>
        <v>78.548000000000016</v>
      </c>
      <c r="L19" s="384">
        <f t="shared" ref="L19" si="7">SUM(L16:L18)</f>
        <v>109.51600000000002</v>
      </c>
      <c r="M19" s="138"/>
      <c r="N19" s="363">
        <f t="shared" si="1"/>
        <v>717.03800000000024</v>
      </c>
      <c r="O19" s="139"/>
      <c r="P19" s="140">
        <f t="shared" si="0"/>
        <v>-0.60874310872017467</v>
      </c>
    </row>
    <row r="20" spans="2:17" ht="12.75" customHeight="1">
      <c r="B20" s="3" t="s">
        <v>45</v>
      </c>
      <c r="G20" s="141">
        <v>-1.613</v>
      </c>
      <c r="H20" s="141">
        <v>-0.47799999999999998</v>
      </c>
      <c r="I20" s="141">
        <v>-0.878</v>
      </c>
      <c r="J20" s="141"/>
      <c r="K20" s="141">
        <v>-0.21299999999999999</v>
      </c>
      <c r="L20" s="141">
        <v>-0.23799999999999999</v>
      </c>
      <c r="M20" s="138"/>
      <c r="N20" s="118">
        <f t="shared" si="1"/>
        <v>-0.90300000000000002</v>
      </c>
      <c r="O20" s="285"/>
      <c r="P20" s="140" t="str">
        <f t="shared" si="0"/>
        <v>NM</v>
      </c>
    </row>
    <row r="21" spans="2:17" ht="12.75" customHeight="1">
      <c r="B21" s="64" t="s">
        <v>10</v>
      </c>
      <c r="G21" s="386">
        <f>SUM(G19:G20)</f>
        <v>4480.1040000000003</v>
      </c>
      <c r="H21" s="386">
        <f t="shared" ref="H21:K21" si="8">SUM(H19:H20)</f>
        <v>628.38099999999986</v>
      </c>
      <c r="I21" s="386">
        <f t="shared" si="8"/>
        <v>685.19200000000012</v>
      </c>
      <c r="J21" s="138"/>
      <c r="K21" s="386">
        <f t="shared" si="8"/>
        <v>78.335000000000022</v>
      </c>
      <c r="L21" s="386">
        <f t="shared" ref="L21" si="9">SUM(L19:L20)</f>
        <v>109.27800000000002</v>
      </c>
      <c r="M21" s="138"/>
      <c r="N21" s="362">
        <f t="shared" si="1"/>
        <v>716.1350000000001</v>
      </c>
      <c r="O21" s="139"/>
      <c r="P21" s="140">
        <f t="shared" si="0"/>
        <v>-0.60892316299872018</v>
      </c>
      <c r="Q21" s="387"/>
    </row>
    <row r="22" spans="2:17" ht="12.75" customHeight="1">
      <c r="B22" s="64" t="s">
        <v>286</v>
      </c>
      <c r="G22" s="136">
        <v>-16.43</v>
      </c>
      <c r="H22" s="136">
        <v>-2.323</v>
      </c>
      <c r="I22" s="136">
        <v>-2.718</v>
      </c>
      <c r="J22" s="141"/>
      <c r="K22" s="136">
        <v>-0.68</v>
      </c>
      <c r="L22" s="136">
        <v>-0.79900000000000004</v>
      </c>
      <c r="M22" s="138"/>
      <c r="N22" s="54">
        <f t="shared" si="1"/>
        <v>-2.8369999999999997</v>
      </c>
      <c r="O22" s="139"/>
      <c r="P22" s="140" t="str">
        <f t="shared" si="0"/>
        <v>NM</v>
      </c>
      <c r="Q22" s="387"/>
    </row>
    <row r="23" spans="2:17" ht="12.75" customHeight="1">
      <c r="B23" s="64" t="s">
        <v>287</v>
      </c>
      <c r="G23" s="136">
        <v>-3.0910000000000002</v>
      </c>
      <c r="H23" s="136">
        <v>-3.0910000000000002</v>
      </c>
      <c r="I23" s="136">
        <v>-3.09</v>
      </c>
      <c r="J23" s="141"/>
      <c r="K23" s="136">
        <v>-0.77300000000000002</v>
      </c>
      <c r="L23" s="136">
        <v>-0.77300000000000002</v>
      </c>
      <c r="M23" s="138"/>
      <c r="N23" s="54">
        <f t="shared" si="1"/>
        <v>-3.09</v>
      </c>
      <c r="O23" s="139"/>
      <c r="P23" s="140" t="str">
        <f t="shared" si="0"/>
        <v>NM</v>
      </c>
      <c r="Q23" s="387"/>
    </row>
    <row r="24" spans="2:17" ht="12.75" customHeight="1">
      <c r="B24" s="64" t="s">
        <v>288</v>
      </c>
      <c r="G24" s="386">
        <f>SUM(G21:G23)</f>
        <v>4460.5829999999996</v>
      </c>
      <c r="H24" s="384">
        <f t="shared" ref="H24:K24" si="10">SUM(H21:H23)</f>
        <v>622.96699999999987</v>
      </c>
      <c r="I24" s="385">
        <f t="shared" si="10"/>
        <v>679.38400000000013</v>
      </c>
      <c r="J24" s="138"/>
      <c r="K24" s="385">
        <f t="shared" si="10"/>
        <v>76.882000000000019</v>
      </c>
      <c r="L24" s="385">
        <f t="shared" ref="L24" si="11">SUM(L21:L23)</f>
        <v>107.70600000000002</v>
      </c>
      <c r="M24" s="138"/>
      <c r="N24" s="364">
        <f t="shared" si="1"/>
        <v>710.20800000000008</v>
      </c>
      <c r="O24" s="139"/>
      <c r="P24" s="140">
        <f t="shared" si="0"/>
        <v>-0.60973298658851505</v>
      </c>
      <c r="Q24" s="387"/>
    </row>
    <row r="25" spans="2:17" s="148" customFormat="1" ht="12.75" customHeight="1">
      <c r="B25" s="147" t="s">
        <v>71</v>
      </c>
      <c r="G25" s="141">
        <v>381.99200000000002</v>
      </c>
      <c r="H25" s="141">
        <v>382.678</v>
      </c>
      <c r="I25" s="141">
        <v>383.69499999999999</v>
      </c>
      <c r="J25" s="141"/>
      <c r="K25" s="141">
        <v>383.01799999999997</v>
      </c>
      <c r="L25" s="141">
        <v>385.18400000000003</v>
      </c>
      <c r="M25" s="138"/>
      <c r="N25" s="118">
        <f>(I25*4-K25*aquarter+L25*aquarter)/4</f>
        <v>384.23649999999998</v>
      </c>
      <c r="O25" s="149"/>
      <c r="P25" s="140">
        <f t="shared" si="0"/>
        <v>2.2266253442233541E-3</v>
      </c>
    </row>
    <row r="26" spans="2:17" s="142" customFormat="1" ht="12.75" customHeight="1">
      <c r="B26" s="150" t="s">
        <v>110</v>
      </c>
      <c r="G26" s="151">
        <f>G24/G25</f>
        <v>11.677163396092062</v>
      </c>
      <c r="H26" s="151">
        <f t="shared" ref="H26:K26" si="12">H24/H25</f>
        <v>1.6279143300633949</v>
      </c>
      <c r="I26" s="151">
        <f t="shared" si="12"/>
        <v>1.7706355308252653</v>
      </c>
      <c r="J26" s="152"/>
      <c r="K26" s="151">
        <f t="shared" si="12"/>
        <v>0.20072685878992638</v>
      </c>
      <c r="L26" s="151">
        <f t="shared" ref="L26:N26" si="13">L24/L25</f>
        <v>0.27962220652986625</v>
      </c>
      <c r="M26" s="152"/>
      <c r="N26" s="397">
        <f t="shared" si="13"/>
        <v>1.8483616210328797</v>
      </c>
      <c r="O26" s="153"/>
      <c r="P26" s="143">
        <f t="shared" si="0"/>
        <v>-0.61060003442091315</v>
      </c>
    </row>
    <row r="27" spans="2:17" ht="12.75" customHeight="1">
      <c r="G27" s="154"/>
      <c r="H27" s="154"/>
      <c r="I27" s="154"/>
      <c r="J27" s="154"/>
      <c r="K27" s="154"/>
      <c r="L27" s="154"/>
      <c r="M27" s="154"/>
      <c r="N27" s="154"/>
      <c r="O27" s="155"/>
      <c r="P27" s="140"/>
    </row>
    <row r="28" spans="2:17" ht="12.75" customHeight="1">
      <c r="B28" s="3" t="s">
        <v>290</v>
      </c>
      <c r="G28" s="156">
        <v>78948</v>
      </c>
      <c r="H28" s="156">
        <v>79201</v>
      </c>
      <c r="I28" s="156">
        <v>79482</v>
      </c>
      <c r="J28" s="157"/>
      <c r="K28" s="156">
        <v>79326</v>
      </c>
      <c r="L28" s="156">
        <v>79600</v>
      </c>
      <c r="M28" s="157"/>
      <c r="N28" s="158">
        <f>L28</f>
        <v>79600</v>
      </c>
      <c r="O28" s="155"/>
      <c r="P28" s="159">
        <f>IF(OR(G28&lt;=0,I28&lt;=0),"NM",(I28/G28)^(1/(I$6-G$6))-1)</f>
        <v>3.3762733334055106E-3</v>
      </c>
    </row>
    <row r="29" spans="2:17" ht="12.75" customHeight="1">
      <c r="B29" s="3" t="s">
        <v>289</v>
      </c>
      <c r="G29" s="213">
        <v>0.95299999999999996</v>
      </c>
      <c r="H29" s="213">
        <v>0.95699999999999996</v>
      </c>
      <c r="I29" s="213">
        <v>0.95899999999999996</v>
      </c>
      <c r="J29" s="157"/>
      <c r="K29" s="213">
        <v>0.95899999999999996</v>
      </c>
      <c r="L29" s="213">
        <v>0.95799999999999996</v>
      </c>
      <c r="M29" s="157"/>
      <c r="N29" s="101">
        <f>L29</f>
        <v>0.95799999999999996</v>
      </c>
      <c r="O29" s="155"/>
      <c r="P29" s="159">
        <f>IF(OR(G29&lt;=0,I29&lt;=0),"NM",(I29/G29)^(1/(I$6-G$6))-1)</f>
        <v>3.14301455974908E-3</v>
      </c>
    </row>
    <row r="30" spans="2:17" ht="12.75" customHeight="1">
      <c r="G30" s="141"/>
      <c r="H30" s="141"/>
      <c r="I30" s="141"/>
      <c r="J30" s="138"/>
      <c r="K30" s="141"/>
      <c r="L30" s="141"/>
      <c r="M30" s="138"/>
      <c r="N30" s="118"/>
      <c r="O30" s="155"/>
      <c r="P30" s="159"/>
    </row>
    <row r="31" spans="2:17" ht="12.75" customHeight="1">
      <c r="B31" s="99" t="s">
        <v>14</v>
      </c>
      <c r="G31" s="155"/>
      <c r="H31" s="155"/>
      <c r="I31" s="155"/>
      <c r="J31" s="155"/>
      <c r="K31" s="155"/>
      <c r="L31" s="155"/>
      <c r="M31" s="155"/>
      <c r="N31" s="155"/>
      <c r="O31" s="155"/>
      <c r="P31" s="159"/>
    </row>
    <row r="32" spans="2:17" ht="12.75" customHeight="1">
      <c r="B32" s="3" t="s">
        <v>223</v>
      </c>
      <c r="G32" s="111">
        <f>G45</f>
        <v>856.08600000000024</v>
      </c>
      <c r="H32" s="111">
        <f t="shared" ref="H32:K32" si="14">H45</f>
        <v>849.16399999999976</v>
      </c>
      <c r="I32" s="111">
        <f t="shared" si="14"/>
        <v>859.26200000000017</v>
      </c>
      <c r="J32" s="111"/>
      <c r="K32" s="111">
        <f t="shared" si="14"/>
        <v>196.86900000000003</v>
      </c>
      <c r="L32" s="111">
        <f>L45</f>
        <v>209.99</v>
      </c>
      <c r="M32" s="111"/>
      <c r="N32" s="111">
        <f>N45</f>
        <v>872.38300000000015</v>
      </c>
      <c r="O32" s="149"/>
      <c r="P32" s="160">
        <f>IF(OR(G32&lt;=0,I32&lt;=0),"NM",(I32/G32)^(1/(I$6-G$6))-1)</f>
        <v>1.8532365818184626E-3</v>
      </c>
    </row>
    <row r="33" spans="2:16" ht="12.75" customHeight="1">
      <c r="B33" s="117" t="s">
        <v>305</v>
      </c>
      <c r="G33" s="118">
        <f>'Cash Flow'!G9</f>
        <v>745.40200000000004</v>
      </c>
      <c r="H33" s="118">
        <f>'Cash Flow'!H9</f>
        <v>778.48599999999999</v>
      </c>
      <c r="I33" s="118">
        <f>'Cash Flow'!I9</f>
        <v>842.64800000000002</v>
      </c>
      <c r="J33" s="4"/>
      <c r="K33" s="118">
        <f>'Cash Flow'!K9</f>
        <v>207.40600000000001</v>
      </c>
      <c r="L33" s="118">
        <f>'Cash Flow'!L9</f>
        <v>212.14099999999999</v>
      </c>
      <c r="M33" s="373"/>
      <c r="N33" s="138">
        <f>I33-K33+L33</f>
        <v>847.38299999999992</v>
      </c>
      <c r="O33" s="149"/>
      <c r="P33" s="160">
        <f>IF(OR(G33&lt;=0,I33&lt;=0),"NM",(I33/G33)^(1/(I$6-G$6))-1)</f>
        <v>6.323146451720274E-2</v>
      </c>
    </row>
    <row r="34" spans="2:16" ht="12.75" customHeight="1">
      <c r="B34" s="3" t="s">
        <v>9</v>
      </c>
      <c r="G34" s="365">
        <f>SUM(G32:G33)</f>
        <v>1601.4880000000003</v>
      </c>
      <c r="H34" s="365">
        <f t="shared" ref="H34:N34" si="15">SUM(H32:H33)</f>
        <v>1627.6499999999996</v>
      </c>
      <c r="I34" s="417">
        <f t="shared" si="15"/>
        <v>1701.9100000000003</v>
      </c>
      <c r="J34" s="419"/>
      <c r="K34" s="418">
        <f t="shared" si="15"/>
        <v>404.27500000000003</v>
      </c>
      <c r="L34" s="417">
        <f t="shared" si="15"/>
        <v>422.13099999999997</v>
      </c>
      <c r="M34" s="419"/>
      <c r="N34" s="418">
        <f t="shared" si="15"/>
        <v>1719.7660000000001</v>
      </c>
      <c r="O34" s="139"/>
      <c r="P34" s="160">
        <f>IF(OR(G34&lt;=0,I34&lt;=0),"NM",(I34/G34)^(1/(I$6-G$6))-1)</f>
        <v>3.0876051689256112E-2</v>
      </c>
    </row>
    <row r="35" spans="2:16" ht="12.75" customHeight="1">
      <c r="G35" s="419"/>
      <c r="H35" s="419"/>
      <c r="I35" s="419"/>
      <c r="J35" s="419"/>
      <c r="K35" s="419"/>
      <c r="L35" s="419"/>
      <c r="M35" s="419"/>
      <c r="N35" s="419"/>
      <c r="O35" s="139"/>
      <c r="P35" s="160"/>
    </row>
    <row r="36" spans="2:16" ht="12.75" customHeight="1">
      <c r="B36" s="99" t="s">
        <v>337</v>
      </c>
      <c r="G36" s="419"/>
      <c r="H36" s="419"/>
      <c r="I36" s="419"/>
      <c r="J36" s="419"/>
      <c r="K36" s="419"/>
      <c r="L36" s="419"/>
      <c r="M36" s="419"/>
      <c r="N36" s="419"/>
      <c r="O36" s="139"/>
      <c r="P36" s="160"/>
    </row>
    <row r="37" spans="2:16" ht="12.75" customHeight="1">
      <c r="B37" s="3" t="s">
        <v>338</v>
      </c>
      <c r="G37" s="419">
        <f>+G47</f>
        <v>479.51400000000012</v>
      </c>
      <c r="H37" s="419">
        <f t="shared" ref="H37:I37" si="16">+H47</f>
        <v>480.56706999999983</v>
      </c>
      <c r="I37" s="419">
        <f t="shared" si="16"/>
        <v>472.04698000000013</v>
      </c>
      <c r="J37" s="419"/>
      <c r="K37" s="419">
        <f t="shared" ref="K37:L37" si="17">+K47</f>
        <v>89.335000000000022</v>
      </c>
      <c r="L37" s="419">
        <f t="shared" si="17"/>
        <v>114.27800000000002</v>
      </c>
      <c r="M37" s="419"/>
      <c r="N37" s="419">
        <f t="shared" ref="N37" si="18">+N47</f>
        <v>496.98998000000012</v>
      </c>
      <c r="O37" s="139"/>
      <c r="P37" s="160">
        <f t="shared" ref="P37:P40" si="19">IF(OR(G37&lt;=0,I37&lt;=0),"NM",(I37/G37)^(1/(I$6-G$6))-1)</f>
        <v>-7.816578638693561E-3</v>
      </c>
    </row>
    <row r="38" spans="2:16" ht="12.75" customHeight="1">
      <c r="B38" s="3" t="s">
        <v>305</v>
      </c>
      <c r="G38" s="421">
        <f>+G33</f>
        <v>745.40200000000004</v>
      </c>
      <c r="H38" s="421">
        <f t="shared" ref="H38:I38" si="20">+H33</f>
        <v>778.48599999999999</v>
      </c>
      <c r="I38" s="421">
        <f t="shared" si="20"/>
        <v>842.64800000000002</v>
      </c>
      <c r="J38" s="421"/>
      <c r="K38" s="421">
        <f t="shared" ref="K38:L38" si="21">+K33</f>
        <v>207.40600000000001</v>
      </c>
      <c r="L38" s="421">
        <f t="shared" si="21"/>
        <v>212.14099999999999</v>
      </c>
      <c r="M38" s="421"/>
      <c r="N38" s="421">
        <f t="shared" ref="N38" si="22">+N33</f>
        <v>847.38299999999992</v>
      </c>
      <c r="O38" s="139"/>
      <c r="P38" s="160">
        <f t="shared" si="19"/>
        <v>6.323146451720274E-2</v>
      </c>
    </row>
    <row r="39" spans="2:16" ht="12.75" customHeight="1">
      <c r="B39" s="3" t="s">
        <v>318</v>
      </c>
      <c r="G39" s="418">
        <f>+SUM(G37:G38)</f>
        <v>1224.9160000000002</v>
      </c>
      <c r="H39" s="365">
        <f t="shared" ref="H39:N39" si="23">+SUM(H37:H38)</f>
        <v>1259.0530699999999</v>
      </c>
      <c r="I39" s="417">
        <f t="shared" si="23"/>
        <v>1314.6949800000002</v>
      </c>
      <c r="J39" s="419"/>
      <c r="K39" s="418">
        <f t="shared" si="23"/>
        <v>296.74100000000004</v>
      </c>
      <c r="L39" s="417">
        <f t="shared" si="23"/>
        <v>326.41899999999998</v>
      </c>
      <c r="M39" s="419"/>
      <c r="N39" s="420">
        <f t="shared" si="23"/>
        <v>1344.3729800000001</v>
      </c>
      <c r="O39" s="139"/>
      <c r="P39" s="160">
        <f t="shared" si="19"/>
        <v>3.5999029506710967E-2</v>
      </c>
    </row>
    <row r="40" spans="2:16" s="142" customFormat="1" ht="12.75" customHeight="1">
      <c r="B40" s="142" t="s">
        <v>322</v>
      </c>
      <c r="G40" s="422">
        <f>+G39/G25</f>
        <v>3.2066535424825653</v>
      </c>
      <c r="H40" s="422">
        <f t="shared" ref="H40:I40" si="24">+H39/H25</f>
        <v>3.2901109287704022</v>
      </c>
      <c r="I40" s="422">
        <f t="shared" si="24"/>
        <v>3.4264063383677144</v>
      </c>
      <c r="J40" s="423"/>
      <c r="K40" s="422">
        <f t="shared" ref="K40" si="25">+K39/K25</f>
        <v>0.77474426789341511</v>
      </c>
      <c r="L40" s="422">
        <f t="shared" ref="L40:N40" si="26">+L39/L25</f>
        <v>0.84743654980476857</v>
      </c>
      <c r="M40" s="423"/>
      <c r="N40" s="422">
        <f t="shared" si="26"/>
        <v>3.4988164320672297</v>
      </c>
      <c r="O40" s="424"/>
      <c r="P40" s="160">
        <f t="shared" si="19"/>
        <v>3.3697372738314968E-2</v>
      </c>
    </row>
    <row r="41" spans="2:16" ht="12.75" customHeight="1">
      <c r="G41" s="163"/>
      <c r="H41" s="163"/>
      <c r="I41" s="163"/>
      <c r="J41" s="145"/>
      <c r="K41" s="163"/>
      <c r="L41" s="163"/>
      <c r="M41" s="145"/>
      <c r="N41" s="145"/>
      <c r="O41" s="139"/>
      <c r="P41" s="160"/>
    </row>
    <row r="42" spans="2:16" ht="12.75" customHeight="1">
      <c r="B42" s="99" t="s">
        <v>158</v>
      </c>
      <c r="G42" s="155"/>
      <c r="H42" s="155"/>
      <c r="I42" s="155"/>
      <c r="J42" s="155"/>
      <c r="K42" s="155"/>
      <c r="L42" s="155"/>
      <c r="M42" s="155"/>
      <c r="N42" s="155"/>
      <c r="O42" s="155"/>
      <c r="P42" s="159"/>
    </row>
    <row r="43" spans="2:16" ht="12.75" customHeight="1">
      <c r="B43" s="3" t="str">
        <f>B7</f>
        <v>Revenue</v>
      </c>
      <c r="G43" s="111">
        <f>G7</f>
        <v>2425.8000000000002</v>
      </c>
      <c r="H43" s="111">
        <f>+H9+H$76</f>
        <v>405.28100000000001</v>
      </c>
      <c r="I43" s="111">
        <f>+I9+I$76</f>
        <v>429.33499999999998</v>
      </c>
      <c r="J43" s="111"/>
      <c r="K43" s="111">
        <f>+K9+K$76</f>
        <v>108.202</v>
      </c>
      <c r="L43" s="111">
        <f>+L9+L$76</f>
        <v>115.07</v>
      </c>
      <c r="M43" s="111"/>
      <c r="N43" s="111">
        <f t="shared" ref="N43:N48" si="27">I43-K43+L43</f>
        <v>436.20299999999997</v>
      </c>
      <c r="O43" s="149"/>
      <c r="P43" s="160">
        <f t="shared" ref="P43:P48" si="28">IF(OR(G43&lt;=0,I43&lt;=0),"NM",(I43/G43)^(1/(I$6-G$6))-1)</f>
        <v>-0.57930180251205021</v>
      </c>
    </row>
    <row r="44" spans="2:16" ht="12.75" customHeight="1">
      <c r="B44" s="3" t="s">
        <v>281</v>
      </c>
      <c r="G44" s="118">
        <f>G15+G82+G88</f>
        <v>1569.7139999999999</v>
      </c>
      <c r="H44" s="118">
        <f>H15+H82+H88</f>
        <v>1625.6280000000002</v>
      </c>
      <c r="I44" s="118">
        <f>I15+I82+I88</f>
        <v>1720.576</v>
      </c>
      <c r="J44" s="118"/>
      <c r="K44" s="118">
        <f>+K13+K$82</f>
        <v>196.309</v>
      </c>
      <c r="L44" s="118">
        <f>+L13+L$82</f>
        <v>204.215</v>
      </c>
      <c r="M44" s="118"/>
      <c r="N44" s="118">
        <f t="shared" si="27"/>
        <v>1728.482</v>
      </c>
      <c r="O44" s="149"/>
      <c r="P44" s="160">
        <f t="shared" si="28"/>
        <v>4.6951743598224516E-2</v>
      </c>
    </row>
    <row r="45" spans="2:16" ht="12.75" customHeight="1">
      <c r="B45" s="3" t="s">
        <v>223</v>
      </c>
      <c r="G45" s="118">
        <f>G90+G16</f>
        <v>856.08600000000024</v>
      </c>
      <c r="H45" s="118">
        <f>H90+H16</f>
        <v>849.16399999999976</v>
      </c>
      <c r="I45" s="118">
        <f>I90+I16</f>
        <v>859.26200000000017</v>
      </c>
      <c r="J45" s="118"/>
      <c r="K45" s="118">
        <f>K90+K16</f>
        <v>196.86900000000003</v>
      </c>
      <c r="L45" s="118">
        <f>L90+L16</f>
        <v>209.99</v>
      </c>
      <c r="M45" s="118"/>
      <c r="N45" s="118">
        <f t="shared" si="27"/>
        <v>872.38300000000015</v>
      </c>
      <c r="O45" s="149"/>
      <c r="P45" s="160">
        <f t="shared" si="28"/>
        <v>1.8532365818184626E-3</v>
      </c>
    </row>
    <row r="46" spans="2:16" ht="12.75" customHeight="1">
      <c r="B46" s="3" t="s">
        <v>294</v>
      </c>
      <c r="G46" s="118">
        <f>G18+G96</f>
        <v>13.73700000000008</v>
      </c>
      <c r="H46" s="118">
        <f>H18+H96</f>
        <v>16.667999999999978</v>
      </c>
      <c r="I46" s="118">
        <f>I18+I96</f>
        <v>20.863</v>
      </c>
      <c r="J46" s="118"/>
      <c r="K46" s="118">
        <f>K18+K96</f>
        <v>6.5819999999999999</v>
      </c>
      <c r="L46" s="118">
        <f>L18+L96</f>
        <v>1.0190000000000001</v>
      </c>
      <c r="M46" s="118"/>
      <c r="N46" s="118">
        <f t="shared" si="27"/>
        <v>15.299999999999999</v>
      </c>
      <c r="O46" s="149"/>
      <c r="P46" s="160">
        <f t="shared" si="28"/>
        <v>0.2323737238631165</v>
      </c>
    </row>
    <row r="47" spans="2:16" ht="12.75" customHeight="1">
      <c r="B47" s="3" t="str">
        <f>B21</f>
        <v>Net Income</v>
      </c>
      <c r="G47" s="118">
        <f>+G21+G$103</f>
        <v>479.51400000000012</v>
      </c>
      <c r="H47" s="118">
        <f>+H21+H$103</f>
        <v>480.56706999999983</v>
      </c>
      <c r="I47" s="118">
        <f>+I21+I$103</f>
        <v>472.04698000000013</v>
      </c>
      <c r="J47" s="118"/>
      <c r="K47" s="118">
        <f>+K21+K$103</f>
        <v>89.335000000000022</v>
      </c>
      <c r="L47" s="118">
        <f>+L21+L$103</f>
        <v>114.27800000000002</v>
      </c>
      <c r="M47" s="118"/>
      <c r="N47" s="118">
        <f t="shared" si="27"/>
        <v>496.98998000000012</v>
      </c>
      <c r="O47" s="149"/>
      <c r="P47" s="160">
        <f t="shared" si="28"/>
        <v>-7.816578638693561E-3</v>
      </c>
    </row>
    <row r="48" spans="2:16" ht="12.75" customHeight="1">
      <c r="B48" s="3" t="str">
        <f>+B26</f>
        <v>Diluted EPS</v>
      </c>
      <c r="G48" s="98">
        <f>+G47/G25</f>
        <v>1.2552985402835664</v>
      </c>
      <c r="H48" s="98">
        <f>+H47/H25</f>
        <v>1.2558000982549293</v>
      </c>
      <c r="I48" s="98">
        <f>+I47/I25</f>
        <v>1.2302661749566717</v>
      </c>
      <c r="J48" s="111"/>
      <c r="K48" s="98">
        <f>+K47/K25</f>
        <v>0.23323969108501436</v>
      </c>
      <c r="L48" s="98">
        <f>+L47/L25</f>
        <v>0.29668418210517572</v>
      </c>
      <c r="M48" s="111"/>
      <c r="N48" s="98">
        <f t="shared" si="27"/>
        <v>1.2937106659768332</v>
      </c>
      <c r="O48" s="149"/>
      <c r="P48" s="160">
        <f t="shared" si="28"/>
        <v>-1.0020891212571104E-2</v>
      </c>
    </row>
    <row r="49" spans="2:16" ht="12.75" customHeight="1">
      <c r="G49" s="111"/>
      <c r="H49" s="111"/>
      <c r="I49" s="111"/>
      <c r="J49" s="111"/>
      <c r="K49" s="111"/>
      <c r="L49" s="111"/>
      <c r="M49" s="111"/>
      <c r="N49" s="111"/>
      <c r="O49" s="149"/>
      <c r="P49" s="160"/>
    </row>
    <row r="50" spans="2:16" ht="12.75" customHeight="1">
      <c r="B50" s="99" t="s">
        <v>194</v>
      </c>
      <c r="G50" s="163"/>
      <c r="H50" s="163"/>
      <c r="I50" s="163"/>
      <c r="J50" s="146"/>
      <c r="K50" s="163"/>
      <c r="L50" s="163"/>
      <c r="M50" s="146"/>
      <c r="N50" s="163"/>
      <c r="O50" s="139"/>
      <c r="P50" s="164"/>
    </row>
    <row r="51" spans="2:16" ht="12.75" customHeight="1">
      <c r="B51" s="3" t="s">
        <v>213</v>
      </c>
      <c r="G51" s="163">
        <f>G44/G43</f>
        <v>0.64709126885975754</v>
      </c>
      <c r="H51" s="163">
        <f>H43/H$7</f>
        <v>0.16398802948604965</v>
      </c>
      <c r="I51" s="163">
        <f>I43/I$7</f>
        <v>0.16650998241568329</v>
      </c>
      <c r="J51" s="165"/>
      <c r="K51" s="163">
        <f>K43/K$7</f>
        <v>0.1709309085394366</v>
      </c>
      <c r="L51" s="163">
        <f>L43/L$7</f>
        <v>0.17369213909861822</v>
      </c>
      <c r="M51" s="163"/>
      <c r="N51" s="163">
        <f>N43/N$7</f>
        <v>0.16726139532315504</v>
      </c>
      <c r="O51" s="165"/>
      <c r="P51" s="164"/>
    </row>
    <row r="52" spans="2:16" ht="12.75" customHeight="1">
      <c r="B52" s="3" t="s">
        <v>223</v>
      </c>
      <c r="G52" s="163">
        <f>G45/G43</f>
        <v>0.35290873114024246</v>
      </c>
      <c r="H52" s="163">
        <f>-H10/H7</f>
        <v>-0.13575066176904968</v>
      </c>
      <c r="I52" s="163">
        <f>-I10/I7</f>
        <v>-0.13877182817167319</v>
      </c>
      <c r="J52" s="165"/>
      <c r="K52" s="163">
        <f>-K10/K7</f>
        <v>-0.14520012132394758</v>
      </c>
      <c r="L52" s="163">
        <f>-L10/L7</f>
        <v>-0.13802691043239634</v>
      </c>
      <c r="M52" s="163"/>
      <c r="N52" s="163">
        <f>-N10/N7</f>
        <v>-0.1370222614873508</v>
      </c>
      <c r="O52" s="165"/>
      <c r="P52" s="164"/>
    </row>
    <row r="53" spans="2:16" ht="12.75" customHeight="1">
      <c r="B53" s="3" t="s">
        <v>9</v>
      </c>
      <c r="G53" s="163">
        <f>+G34/G7</f>
        <v>0.66018962816390481</v>
      </c>
      <c r="H53" s="163">
        <f t="shared" ref="H53:N53" si="29">+H34/H7</f>
        <v>0.65859272009536263</v>
      </c>
      <c r="I53" s="163">
        <f t="shared" si="29"/>
        <v>0.66005567720562175</v>
      </c>
      <c r="J53" s="165"/>
      <c r="K53" s="163">
        <f t="shared" si="29"/>
        <v>0.63864894410251882</v>
      </c>
      <c r="L53" s="163">
        <f t="shared" si="29"/>
        <v>0.63718463865333108</v>
      </c>
      <c r="M53" s="163"/>
      <c r="N53" s="163">
        <f t="shared" si="29"/>
        <v>0.65944172962891379</v>
      </c>
      <c r="O53" s="165"/>
      <c r="P53" s="164"/>
    </row>
    <row r="54" spans="2:16" ht="12.75" customHeight="1">
      <c r="B54" s="3" t="s">
        <v>10</v>
      </c>
      <c r="G54" s="163">
        <f>G47/G43</f>
        <v>0.1976725204056394</v>
      </c>
      <c r="H54" s="163">
        <f>H47/H$7</f>
        <v>0.19445087937797345</v>
      </c>
      <c r="I54" s="163">
        <f>I47/I$7</f>
        <v>0.18307506804517784</v>
      </c>
      <c r="J54" s="165"/>
      <c r="K54" s="163">
        <f>K47/K$7</f>
        <v>0.14112597469890181</v>
      </c>
      <c r="L54" s="163">
        <f>L47/L$7</f>
        <v>0.17249665657349353</v>
      </c>
      <c r="M54" s="163"/>
      <c r="N54" s="163">
        <f>N47/N$7</f>
        <v>0.19057007291657083</v>
      </c>
      <c r="O54" s="165"/>
      <c r="P54" s="164"/>
    </row>
    <row r="55" spans="2:16" ht="12.75" customHeight="1">
      <c r="G55" s="138"/>
      <c r="H55" s="138"/>
      <c r="I55" s="138"/>
      <c r="J55" s="165"/>
      <c r="K55" s="138"/>
      <c r="L55" s="138"/>
      <c r="M55" s="165"/>
      <c r="N55" s="138"/>
      <c r="O55" s="165"/>
      <c r="P55" s="164"/>
    </row>
    <row r="56" spans="2:16" ht="12.75" customHeight="1">
      <c r="B56" s="99" t="s">
        <v>195</v>
      </c>
      <c r="G56" s="165"/>
      <c r="H56" s="165"/>
      <c r="I56" s="165"/>
      <c r="J56" s="165"/>
      <c r="K56" s="165"/>
      <c r="L56" s="165"/>
      <c r="M56" s="165"/>
      <c r="N56" s="165"/>
      <c r="O56" s="165"/>
      <c r="P56" s="164"/>
    </row>
    <row r="57" spans="2:16" ht="12.75" customHeight="1">
      <c r="B57" s="3" t="str">
        <f>B7</f>
        <v>Revenue</v>
      </c>
      <c r="G57" s="166">
        <v>0</v>
      </c>
      <c r="H57" s="166">
        <f>(H7/G7-1)</f>
        <v>1.8800395745733223E-2</v>
      </c>
      <c r="I57" s="166">
        <f>(I7/H7-1)</f>
        <v>4.3306522683848936E-2</v>
      </c>
      <c r="K57" s="166">
        <v>0</v>
      </c>
      <c r="L57" s="166">
        <f>(L7/K7-1)</f>
        <v>4.6567543316440752E-2</v>
      </c>
      <c r="N57" s="166">
        <v>0</v>
      </c>
      <c r="O57" s="165"/>
      <c r="P57" s="164"/>
    </row>
    <row r="58" spans="2:16" ht="12.75" customHeight="1">
      <c r="B58" s="3" t="str">
        <f>+B45</f>
        <v>Operating Income</v>
      </c>
      <c r="G58" s="166">
        <v>0</v>
      </c>
      <c r="H58" s="166">
        <f t="shared" ref="H58:I61" si="30">IF(OR(G45&lt;=0,H45&lt;0),"NM",(H45/G45-1))</f>
        <v>-8.0856362561710915E-3</v>
      </c>
      <c r="I58" s="166">
        <f t="shared" si="30"/>
        <v>1.1891695832607629E-2</v>
      </c>
      <c r="J58" s="96"/>
      <c r="K58" s="166">
        <v>0</v>
      </c>
      <c r="L58" s="166">
        <f>IF(OR(K45&lt;=0,L45&lt;0),"NM",(L45/K45-1))</f>
        <v>6.6648380395085027E-2</v>
      </c>
      <c r="M58" s="96"/>
      <c r="N58" s="166">
        <v>0</v>
      </c>
      <c r="O58" s="165"/>
      <c r="P58" s="164"/>
    </row>
    <row r="59" spans="2:16" ht="12.75" customHeight="1">
      <c r="B59" s="3" t="str">
        <f>+B46</f>
        <v>Other (below EBIT)</v>
      </c>
      <c r="G59" s="166">
        <v>0</v>
      </c>
      <c r="H59" s="166">
        <f t="shared" si="30"/>
        <v>0.21336536361650138</v>
      </c>
      <c r="I59" s="166">
        <f t="shared" si="30"/>
        <v>0.25167986561075284</v>
      </c>
      <c r="J59" s="96"/>
      <c r="K59" s="166">
        <v>0</v>
      </c>
      <c r="L59" s="166">
        <f>IF(OR(K46&lt;=0,L46&lt;0),"NM",(L46/K46-1))</f>
        <v>-0.8451838347006988</v>
      </c>
      <c r="M59" s="96"/>
      <c r="N59" s="166">
        <v>0</v>
      </c>
      <c r="O59" s="165"/>
      <c r="P59" s="164"/>
    </row>
    <row r="60" spans="2:16" ht="12.75" customHeight="1">
      <c r="B60" s="3" t="str">
        <f>+B47</f>
        <v>Net Income</v>
      </c>
      <c r="G60" s="166">
        <v>0</v>
      </c>
      <c r="H60" s="166">
        <f t="shared" si="30"/>
        <v>2.1961194042294796E-3</v>
      </c>
      <c r="I60" s="166">
        <f t="shared" si="30"/>
        <v>-1.7729242247080501E-2</v>
      </c>
      <c r="J60" s="96"/>
      <c r="K60" s="166">
        <v>0</v>
      </c>
      <c r="L60" s="166">
        <f>IF(OR(K47&lt;=0,L47&lt;0),"NM",(L47/K47-1))</f>
        <v>0.27920747747243513</v>
      </c>
      <c r="M60" s="96"/>
      <c r="N60" s="166">
        <v>0</v>
      </c>
      <c r="O60" s="165"/>
      <c r="P60" s="164"/>
    </row>
    <row r="61" spans="2:16" ht="12.75" customHeight="1">
      <c r="B61" s="3" t="str">
        <f>+B48</f>
        <v>Diluted EPS</v>
      </c>
      <c r="G61" s="166">
        <v>0</v>
      </c>
      <c r="H61" s="166">
        <f t="shared" si="30"/>
        <v>3.9955274005953889E-4</v>
      </c>
      <c r="I61" s="166">
        <f t="shared" si="30"/>
        <v>-2.0332792881398776E-2</v>
      </c>
      <c r="J61" s="96"/>
      <c r="K61" s="166">
        <v>0</v>
      </c>
      <c r="L61" s="166">
        <f>IF(OR(K48&lt;=0,L48&lt;0),"NM",(L48/K48-1))</f>
        <v>0.27201412729120911</v>
      </c>
      <c r="M61" s="96"/>
      <c r="N61" s="166">
        <v>0</v>
      </c>
      <c r="O61" s="165"/>
      <c r="P61" s="164"/>
    </row>
    <row r="62" spans="2:16" ht="12.75" customHeight="1">
      <c r="G62" s="388"/>
      <c r="P62" s="170"/>
    </row>
    <row r="63" spans="2:16" ht="12.75" customHeight="1">
      <c r="B63" s="112" t="str">
        <f>"Source: Company's "&amp;YEAR(afye)&amp;" Form 10-K"&amp;IF(aquarter&lt;&gt;4," and Form 10-Q for the period ended "&amp;TEXT(altmdate,"mmmm d, yyyy")&amp;".",".")</f>
        <v>Source: Company's 2018 Form 10-K and Form 10-Q for the period ended March 31, 2019.</v>
      </c>
      <c r="C63" s="169"/>
      <c r="D63" s="169"/>
      <c r="E63" s="169"/>
      <c r="F63" s="169"/>
      <c r="G63" s="169"/>
      <c r="H63" s="169"/>
      <c r="I63" s="169"/>
      <c r="J63" s="169"/>
      <c r="K63" s="169"/>
      <c r="L63" s="389"/>
      <c r="M63" s="389"/>
      <c r="N63" s="169"/>
      <c r="O63" s="169"/>
      <c r="P63" s="389"/>
    </row>
    <row r="64" spans="2:16" ht="12.75" customHeight="1">
      <c r="B64" s="114" t="s">
        <v>152</v>
      </c>
      <c r="K64" s="117"/>
      <c r="L64" s="117"/>
      <c r="M64" s="117"/>
      <c r="N64" s="117"/>
      <c r="P64" s="170"/>
    </row>
    <row r="67" spans="2:16" ht="15.75" customHeight="1" thickBot="1">
      <c r="B67" s="171" t="s">
        <v>147</v>
      </c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</row>
    <row r="68" spans="2:16" ht="12.75" customHeight="1">
      <c r="B68" s="62" t="s">
        <v>106</v>
      </c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</row>
    <row r="69" spans="2:16" ht="12.75" customHeight="1">
      <c r="G69" s="390"/>
      <c r="H69" s="211"/>
      <c r="I69" s="211"/>
      <c r="K69" s="390" t="str">
        <f>K$5</f>
        <v>Three Months Ended</v>
      </c>
      <c r="L69" s="390"/>
      <c r="N69" s="391"/>
      <c r="P69" s="391"/>
    </row>
    <row r="70" spans="2:16" ht="15" customHeight="1">
      <c r="B70" s="311" t="s">
        <v>148</v>
      </c>
      <c r="G70" s="390">
        <f t="shared" ref="G70:L70" si="31">G$6</f>
        <v>2016</v>
      </c>
      <c r="H70" s="390">
        <f t="shared" si="31"/>
        <v>2017</v>
      </c>
      <c r="I70" s="390">
        <f t="shared" si="31"/>
        <v>2018</v>
      </c>
      <c r="J70" s="142"/>
      <c r="K70" s="392">
        <f t="shared" si="31"/>
        <v>43190</v>
      </c>
      <c r="L70" s="392">
        <f t="shared" si="31"/>
        <v>43555</v>
      </c>
      <c r="M70" s="142"/>
      <c r="N70" s="393"/>
      <c r="P70" s="7"/>
    </row>
    <row r="72" spans="2:16">
      <c r="B72" s="99" t="s">
        <v>291</v>
      </c>
    </row>
    <row r="73" spans="2:16">
      <c r="B73" s="1" t="s">
        <v>292</v>
      </c>
      <c r="G73" s="141">
        <v>0</v>
      </c>
      <c r="H73" s="141">
        <v>0</v>
      </c>
      <c r="I73" s="141">
        <v>0</v>
      </c>
      <c r="J73" s="141"/>
      <c r="K73" s="141">
        <v>0</v>
      </c>
      <c r="L73" s="141">
        <v>0</v>
      </c>
      <c r="M73" s="141"/>
      <c r="N73" s="138"/>
    </row>
    <row r="74" spans="2:16">
      <c r="B74" s="1" t="s">
        <v>136</v>
      </c>
      <c r="G74" s="141">
        <v>0</v>
      </c>
      <c r="H74" s="141">
        <v>0</v>
      </c>
      <c r="I74" s="141">
        <v>0</v>
      </c>
      <c r="J74" s="141"/>
      <c r="K74" s="141">
        <v>0</v>
      </c>
      <c r="L74" s="141">
        <v>0</v>
      </c>
      <c r="M74" s="141"/>
      <c r="N74" s="138"/>
    </row>
    <row r="75" spans="2:16">
      <c r="B75" s="1" t="s">
        <v>136</v>
      </c>
      <c r="G75" s="141">
        <v>0</v>
      </c>
      <c r="H75" s="141">
        <v>0</v>
      </c>
      <c r="I75" s="141">
        <v>0</v>
      </c>
      <c r="J75" s="141"/>
      <c r="K75" s="141">
        <v>0</v>
      </c>
      <c r="L75" s="141">
        <v>0</v>
      </c>
      <c r="M75" s="141"/>
      <c r="N75" s="138"/>
    </row>
    <row r="76" spans="2:16">
      <c r="B76" s="110" t="s">
        <v>11</v>
      </c>
      <c r="G76" s="394">
        <f t="shared" ref="G76:I76" si="32">SUM(G73:G75)</f>
        <v>0</v>
      </c>
      <c r="H76" s="394">
        <f t="shared" si="32"/>
        <v>0</v>
      </c>
      <c r="I76" s="394">
        <f t="shared" si="32"/>
        <v>0</v>
      </c>
      <c r="J76" s="141"/>
      <c r="K76" s="394">
        <f>SUM(K73:K75)</f>
        <v>0</v>
      </c>
      <c r="L76" s="394">
        <f>SUM(L73:L75)</f>
        <v>0</v>
      </c>
      <c r="M76" s="141"/>
      <c r="N76" s="118"/>
    </row>
    <row r="77" spans="2:16">
      <c r="B77" s="1"/>
      <c r="G77" s="174"/>
      <c r="H77" s="174"/>
      <c r="I77" s="174"/>
      <c r="J77" s="174"/>
      <c r="K77" s="174"/>
      <c r="L77" s="174"/>
      <c r="M77" s="174"/>
      <c r="N77" s="174"/>
    </row>
    <row r="78" spans="2:16">
      <c r="B78" s="99" t="s">
        <v>214</v>
      </c>
      <c r="C78" s="99"/>
      <c r="G78" s="174"/>
      <c r="H78" s="174"/>
      <c r="I78" s="174"/>
      <c r="J78" s="174"/>
      <c r="K78" s="174"/>
      <c r="L78" s="174"/>
      <c r="M78" s="174"/>
      <c r="N78" s="174"/>
    </row>
    <row r="79" spans="2:16">
      <c r="B79" s="1" t="s">
        <v>136</v>
      </c>
      <c r="G79" s="141">
        <v>0</v>
      </c>
      <c r="H79" s="141">
        <v>0</v>
      </c>
      <c r="I79" s="141">
        <v>0</v>
      </c>
      <c r="J79" s="141"/>
      <c r="K79" s="141">
        <v>0</v>
      </c>
      <c r="L79" s="141">
        <v>0</v>
      </c>
      <c r="M79" s="141"/>
      <c r="N79" s="138"/>
    </row>
    <row r="80" spans="2:16">
      <c r="B80" s="1" t="s">
        <v>136</v>
      </c>
      <c r="G80" s="141">
        <v>0</v>
      </c>
      <c r="H80" s="141">
        <v>0</v>
      </c>
      <c r="I80" s="141">
        <v>0</v>
      </c>
      <c r="J80" s="141"/>
      <c r="K80" s="141">
        <v>0</v>
      </c>
      <c r="L80" s="141">
        <v>0</v>
      </c>
      <c r="M80" s="141"/>
      <c r="N80" s="138"/>
    </row>
    <row r="81" spans="2:14">
      <c r="B81" s="1" t="s">
        <v>136</v>
      </c>
      <c r="G81" s="141">
        <v>0</v>
      </c>
      <c r="H81" s="141">
        <v>0</v>
      </c>
      <c r="I81" s="141">
        <v>0</v>
      </c>
      <c r="J81" s="141"/>
      <c r="K81" s="141">
        <v>0</v>
      </c>
      <c r="L81" s="141">
        <v>0</v>
      </c>
      <c r="M81" s="141"/>
      <c r="N81" s="138"/>
    </row>
    <row r="82" spans="2:14">
      <c r="B82" s="110" t="s">
        <v>11</v>
      </c>
      <c r="G82" s="394">
        <f t="shared" ref="G82:I82" si="33">SUM(G79:G81)</f>
        <v>0</v>
      </c>
      <c r="H82" s="394">
        <f t="shared" si="33"/>
        <v>0</v>
      </c>
      <c r="I82" s="394">
        <f t="shared" si="33"/>
        <v>0</v>
      </c>
      <c r="J82" s="141"/>
      <c r="K82" s="394">
        <f>SUM(K79:K81)</f>
        <v>0</v>
      </c>
      <c r="L82" s="394">
        <f>SUM(L79:L81)</f>
        <v>0</v>
      </c>
      <c r="M82" s="141"/>
      <c r="N82" s="118"/>
    </row>
    <row r="83" spans="2:14">
      <c r="B83" s="1"/>
      <c r="G83" s="174"/>
      <c r="H83" s="174"/>
      <c r="I83" s="174"/>
      <c r="J83" s="174"/>
      <c r="K83" s="174"/>
      <c r="L83" s="174"/>
      <c r="M83" s="174"/>
      <c r="N83" s="174"/>
    </row>
    <row r="84" spans="2:14">
      <c r="B84" s="99" t="s">
        <v>224</v>
      </c>
      <c r="G84" s="174"/>
      <c r="H84" s="174"/>
      <c r="I84" s="174"/>
      <c r="J84" s="174"/>
      <c r="K84" s="174"/>
      <c r="L84" s="174"/>
      <c r="M84" s="174"/>
      <c r="N84" s="174"/>
    </row>
    <row r="85" spans="2:14">
      <c r="B85" s="1" t="s">
        <v>293</v>
      </c>
      <c r="G85" s="141">
        <v>0</v>
      </c>
      <c r="H85" s="141">
        <v>1.6930000000000001</v>
      </c>
      <c r="I85" s="141">
        <v>0.70199999999999996</v>
      </c>
      <c r="J85" s="141"/>
      <c r="K85" s="141">
        <v>0</v>
      </c>
      <c r="L85" s="141">
        <v>0</v>
      </c>
      <c r="M85" s="141"/>
      <c r="N85" s="138"/>
    </row>
    <row r="86" spans="2:14">
      <c r="B86" s="1" t="s">
        <v>136</v>
      </c>
      <c r="G86" s="141">
        <v>0</v>
      </c>
      <c r="H86" s="141">
        <v>0</v>
      </c>
      <c r="I86" s="141">
        <v>0</v>
      </c>
      <c r="J86" s="141"/>
      <c r="K86" s="141">
        <v>0</v>
      </c>
      <c r="L86" s="141">
        <v>0</v>
      </c>
      <c r="M86" s="141"/>
      <c r="N86" s="138"/>
    </row>
    <row r="87" spans="2:14">
      <c r="B87" s="1" t="s">
        <v>136</v>
      </c>
      <c r="G87" s="141">
        <v>0</v>
      </c>
      <c r="H87" s="141">
        <v>0</v>
      </c>
      <c r="I87" s="141">
        <v>0</v>
      </c>
      <c r="J87" s="141"/>
      <c r="K87" s="141">
        <v>0</v>
      </c>
      <c r="L87" s="141">
        <v>0</v>
      </c>
      <c r="M87" s="141"/>
      <c r="N87" s="138"/>
    </row>
    <row r="88" spans="2:14">
      <c r="B88" s="110" t="s">
        <v>11</v>
      </c>
      <c r="G88" s="394">
        <f t="shared" ref="G88:I88" si="34">SUM(G85:G87)</f>
        <v>0</v>
      </c>
      <c r="H88" s="394">
        <f t="shared" si="34"/>
        <v>1.6930000000000001</v>
      </c>
      <c r="I88" s="394">
        <f t="shared" si="34"/>
        <v>0.70199999999999996</v>
      </c>
      <c r="J88" s="141"/>
      <c r="K88" s="394">
        <f>SUM(K85:K87)</f>
        <v>0</v>
      </c>
      <c r="L88" s="394">
        <f>SUM(L85:L87)</f>
        <v>0</v>
      </c>
      <c r="M88" s="141"/>
      <c r="N88" s="118"/>
    </row>
    <row r="89" spans="2:14">
      <c r="B89" s="110"/>
      <c r="G89" s="118"/>
      <c r="H89" s="118"/>
      <c r="I89" s="118"/>
      <c r="J89" s="141"/>
      <c r="K89" s="118"/>
      <c r="L89" s="118"/>
      <c r="M89" s="141"/>
      <c r="N89" s="118"/>
    </row>
    <row r="90" spans="2:14">
      <c r="B90" s="110" t="s">
        <v>227</v>
      </c>
      <c r="G90" s="394">
        <f t="shared" ref="G90:L90" si="35">SUM(G88,G82,G76)</f>
        <v>0</v>
      </c>
      <c r="H90" s="394">
        <f t="shared" si="35"/>
        <v>1.6930000000000001</v>
      </c>
      <c r="I90" s="394">
        <f t="shared" si="35"/>
        <v>0.70199999999999996</v>
      </c>
      <c r="J90" s="141"/>
      <c r="K90" s="394">
        <f t="shared" si="35"/>
        <v>0</v>
      </c>
      <c r="L90" s="394">
        <f t="shared" si="35"/>
        <v>0</v>
      </c>
      <c r="M90" s="141"/>
      <c r="N90" s="118"/>
    </row>
    <row r="91" spans="2:14">
      <c r="B91" s="1"/>
      <c r="G91" s="174"/>
      <c r="H91" s="174"/>
      <c r="I91" s="174"/>
      <c r="J91" s="174"/>
      <c r="K91" s="174"/>
      <c r="L91" s="174"/>
      <c r="M91" s="174"/>
      <c r="N91" s="174"/>
    </row>
    <row r="92" spans="2:14">
      <c r="B92" s="99" t="s">
        <v>225</v>
      </c>
      <c r="G92" s="174"/>
      <c r="H92" s="174"/>
      <c r="I92" s="174"/>
      <c r="J92" s="174"/>
      <c r="K92" s="174"/>
      <c r="L92" s="174"/>
      <c r="M92" s="174"/>
      <c r="N92" s="174"/>
    </row>
    <row r="93" spans="2:14">
      <c r="B93" s="1" t="s">
        <v>279</v>
      </c>
      <c r="G93" s="141">
        <v>-4040</v>
      </c>
      <c r="H93" s="141">
        <v>-150</v>
      </c>
      <c r="I93" s="141">
        <v>-191</v>
      </c>
      <c r="J93" s="141"/>
      <c r="K93" s="141">
        <v>5</v>
      </c>
      <c r="L93" s="141">
        <v>7</v>
      </c>
      <c r="M93" s="141"/>
      <c r="N93" s="138"/>
    </row>
    <row r="94" spans="2:14">
      <c r="B94" s="1" t="s">
        <v>280</v>
      </c>
      <c r="G94" s="141">
        <v>-1</v>
      </c>
      <c r="H94" s="141">
        <v>-1</v>
      </c>
      <c r="I94" s="141">
        <v>-25</v>
      </c>
      <c r="J94" s="141"/>
      <c r="K94" s="141">
        <v>6</v>
      </c>
      <c r="L94" s="141">
        <v>-2</v>
      </c>
      <c r="M94" s="141"/>
      <c r="N94" s="138"/>
    </row>
    <row r="95" spans="2:14">
      <c r="B95" s="1" t="s">
        <v>136</v>
      </c>
      <c r="G95" s="141">
        <v>0</v>
      </c>
      <c r="H95" s="141">
        <v>0</v>
      </c>
      <c r="I95" s="141">
        <v>0</v>
      </c>
      <c r="J95" s="141"/>
      <c r="K95" s="141">
        <v>0</v>
      </c>
      <c r="L95" s="141">
        <v>0</v>
      </c>
      <c r="M95" s="141"/>
      <c r="N95" s="138"/>
    </row>
    <row r="96" spans="2:14">
      <c r="B96" s="110" t="s">
        <v>226</v>
      </c>
      <c r="G96" s="394">
        <f t="shared" ref="G96:I96" si="36">SUM(G93:G95)</f>
        <v>-4041</v>
      </c>
      <c r="H96" s="394">
        <f t="shared" si="36"/>
        <v>-151</v>
      </c>
      <c r="I96" s="394">
        <f t="shared" si="36"/>
        <v>-216</v>
      </c>
      <c r="J96" s="141"/>
      <c r="K96" s="394">
        <f>SUM(K93:K95)</f>
        <v>11</v>
      </c>
      <c r="L96" s="394">
        <f>SUM(L93:L95)</f>
        <v>5</v>
      </c>
      <c r="M96" s="141"/>
      <c r="N96" s="118"/>
    </row>
    <row r="97" spans="2:14">
      <c r="B97" s="1"/>
      <c r="G97" s="174"/>
      <c r="H97" s="174"/>
      <c r="I97" s="174"/>
      <c r="J97" s="174"/>
      <c r="K97" s="174"/>
      <c r="L97" s="174"/>
      <c r="M97" s="174"/>
      <c r="N97" s="174"/>
    </row>
    <row r="98" spans="2:14">
      <c r="B98" s="110" t="s">
        <v>159</v>
      </c>
      <c r="G98" s="394">
        <f t="shared" ref="G98:L98" si="37">SUM(G96,G90)</f>
        <v>-4041</v>
      </c>
      <c r="H98" s="394">
        <f t="shared" si="37"/>
        <v>-149.30699999999999</v>
      </c>
      <c r="I98" s="394">
        <f t="shared" si="37"/>
        <v>-215.298</v>
      </c>
      <c r="J98" s="141"/>
      <c r="K98" s="394">
        <f t="shared" si="37"/>
        <v>11</v>
      </c>
      <c r="L98" s="394">
        <f t="shared" si="37"/>
        <v>5</v>
      </c>
      <c r="M98" s="174"/>
      <c r="N98" s="174"/>
    </row>
    <row r="99" spans="2:14">
      <c r="B99" s="1"/>
      <c r="G99" s="174"/>
      <c r="H99" s="174"/>
      <c r="I99" s="174"/>
      <c r="J99" s="174"/>
      <c r="K99" s="174"/>
      <c r="L99" s="174"/>
      <c r="M99" s="174"/>
      <c r="N99" s="174"/>
    </row>
    <row r="100" spans="2:14" s="176" customFormat="1">
      <c r="B100" s="176" t="s">
        <v>53</v>
      </c>
      <c r="G100" s="177">
        <v>0.01</v>
      </c>
      <c r="H100" s="177">
        <v>0.01</v>
      </c>
      <c r="I100" s="177">
        <v>0.01</v>
      </c>
      <c r="J100" s="178"/>
      <c r="K100" s="177">
        <v>0</v>
      </c>
      <c r="L100" s="177">
        <v>0</v>
      </c>
      <c r="M100" s="178"/>
      <c r="N100" s="177"/>
    </row>
    <row r="101" spans="2:14">
      <c r="B101" s="110" t="s">
        <v>196</v>
      </c>
      <c r="G101" s="118">
        <f t="shared" ref="G101:I101" si="38">G98*G100</f>
        <v>-40.410000000000004</v>
      </c>
      <c r="H101" s="118">
        <f t="shared" si="38"/>
        <v>-1.4930699999999999</v>
      </c>
      <c r="I101" s="118">
        <f t="shared" si="38"/>
        <v>-2.1529799999999999</v>
      </c>
      <c r="J101" s="118"/>
      <c r="K101" s="118">
        <f>K98*K100</f>
        <v>0</v>
      </c>
      <c r="L101" s="118">
        <f>L98*L100</f>
        <v>0</v>
      </c>
      <c r="M101" s="118"/>
      <c r="N101" s="118"/>
    </row>
    <row r="102" spans="2:14">
      <c r="G102" s="118"/>
      <c r="H102" s="118"/>
      <c r="I102" s="118"/>
      <c r="J102" s="118"/>
      <c r="K102" s="118"/>
      <c r="L102" s="118"/>
      <c r="M102" s="118"/>
      <c r="N102" s="118"/>
    </row>
    <row r="103" spans="2:14">
      <c r="B103" s="110" t="s">
        <v>107</v>
      </c>
      <c r="G103" s="118">
        <f t="shared" ref="G103:L103" si="39">+G98-G101</f>
        <v>-4000.59</v>
      </c>
      <c r="H103" s="118">
        <f t="shared" si="39"/>
        <v>-147.81393</v>
      </c>
      <c r="I103" s="118">
        <f t="shared" si="39"/>
        <v>-213.14501999999999</v>
      </c>
      <c r="J103" s="118"/>
      <c r="K103" s="118">
        <f t="shared" si="39"/>
        <v>11</v>
      </c>
      <c r="L103" s="118">
        <f t="shared" si="39"/>
        <v>5</v>
      </c>
      <c r="M103" s="118"/>
      <c r="N103" s="118"/>
    </row>
  </sheetData>
  <printOptions horizontalCentered="1"/>
  <pageMargins left="0.35" right="0.35" top="0.35" bottom="0.35" header="0.15" footer="0.15"/>
  <pageSetup scale="65" orientation="landscape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indexed="41"/>
  </sheetPr>
  <dimension ref="A1:R47"/>
  <sheetViews>
    <sheetView showGridLines="0" zoomScale="130" zoomScaleNormal="130" zoomScaleSheetLayoutView="110" zoomScalePageLayoutView="110" workbookViewId="0">
      <selection activeCell="B3" sqref="B3"/>
    </sheetView>
  </sheetViews>
  <sheetFormatPr defaultColWidth="10.296875" defaultRowHeight="13"/>
  <cols>
    <col min="1" max="1" width="2.796875" style="4" customWidth="1"/>
    <col min="2" max="7" width="10.296875" style="3" customWidth="1"/>
    <col min="8" max="9" width="15.796875" style="3" customWidth="1"/>
    <col min="10" max="10" width="2.796875" style="3" customWidth="1"/>
    <col min="11" max="11" width="10.296875" style="3" customWidth="1"/>
    <col min="12" max="12" width="2.796875" style="3" customWidth="1"/>
    <col min="13" max="16384" width="10.296875" style="4"/>
  </cols>
  <sheetData>
    <row r="1" spans="1:18">
      <c r="A1" s="2"/>
    </row>
    <row r="2" spans="1:18" ht="22.5">
      <c r="B2" s="61" t="str">
        <f>+proj</f>
        <v>REIT Model</v>
      </c>
      <c r="C2" s="337"/>
      <c r="D2" s="337"/>
      <c r="E2" s="337"/>
      <c r="F2" s="337"/>
      <c r="G2" s="320"/>
      <c r="H2" s="320"/>
      <c r="I2" s="320"/>
      <c r="J2" s="320"/>
      <c r="K2" s="320"/>
      <c r="L2" s="6"/>
      <c r="M2" s="6"/>
      <c r="N2" s="6"/>
      <c r="O2" s="6"/>
      <c r="P2" s="6"/>
      <c r="Q2" s="6"/>
      <c r="R2" s="6"/>
    </row>
    <row r="3" spans="1:18" s="183" customFormat="1" ht="20.149999999999999" customHeight="1">
      <c r="B3" s="215" t="str">
        <f>acq&amp;" - Historical Balance Sheet"</f>
        <v>REIT Corporation - Historical Balance Sheet</v>
      </c>
      <c r="C3" s="220"/>
      <c r="D3" s="220"/>
      <c r="E3" s="220"/>
      <c r="F3" s="220"/>
      <c r="G3" s="221"/>
      <c r="H3" s="221"/>
      <c r="I3" s="221"/>
      <c r="J3" s="221"/>
      <c r="K3" s="221"/>
      <c r="L3" s="184"/>
      <c r="M3" s="184"/>
      <c r="N3" s="184"/>
      <c r="O3" s="184"/>
    </row>
    <row r="4" spans="1:18" s="185" customFormat="1">
      <c r="B4" s="62" t="s">
        <v>106</v>
      </c>
      <c r="C4" s="7"/>
      <c r="D4" s="7"/>
      <c r="E4" s="7"/>
      <c r="F4" s="7"/>
      <c r="G4" s="7"/>
      <c r="H4" s="7"/>
      <c r="I4" s="7"/>
      <c r="J4" s="7"/>
      <c r="K4" s="7"/>
      <c r="L4" s="7"/>
    </row>
    <row r="5" spans="1:18" ht="12.75" customHeight="1">
      <c r="H5" s="186" t="str">
        <f>'Income Statement'!G5</f>
        <v>Fiscal Year Ended December 31,</v>
      </c>
      <c r="I5" s="186"/>
      <c r="J5" s="14"/>
      <c r="K5" s="186" t="s">
        <v>66</v>
      </c>
      <c r="L5" s="14"/>
    </row>
    <row r="6" spans="1:18">
      <c r="G6"/>
      <c r="H6" s="187">
        <f>'Income Statement'!H6</f>
        <v>2017</v>
      </c>
      <c r="I6" s="187">
        <f>'Income Statement'!I6</f>
        <v>2018</v>
      </c>
      <c r="J6" s="188"/>
      <c r="K6" s="189">
        <f>'Income Statement'!L6</f>
        <v>43555</v>
      </c>
      <c r="L6" s="14"/>
    </row>
    <row r="7" spans="1:18" ht="18" customHeight="1">
      <c r="B7" s="190" t="s">
        <v>2</v>
      </c>
      <c r="G7"/>
      <c r="H7" s="192"/>
      <c r="I7" s="193"/>
      <c r="J7" s="6"/>
      <c r="K7" s="194"/>
      <c r="L7" s="6"/>
      <c r="M7" s="195"/>
      <c r="N7" s="6"/>
      <c r="O7" s="6"/>
    </row>
    <row r="8" spans="1:18">
      <c r="B8" s="3" t="s">
        <v>3</v>
      </c>
      <c r="G8"/>
      <c r="H8" s="134">
        <v>50.646999999999998</v>
      </c>
      <c r="I8" s="134">
        <v>47.442</v>
      </c>
      <c r="J8" s="134"/>
      <c r="K8" s="134">
        <v>29.390999999999998</v>
      </c>
      <c r="L8" s="196"/>
      <c r="M8" s="197"/>
      <c r="N8" s="197"/>
      <c r="O8" s="197"/>
    </row>
    <row r="9" spans="1:18">
      <c r="B9" s="3" t="s">
        <v>297</v>
      </c>
      <c r="G9" s="141"/>
      <c r="H9" s="141">
        <v>50.115000000000002</v>
      </c>
      <c r="I9" s="141">
        <v>68.870999999999995</v>
      </c>
      <c r="J9" s="136"/>
      <c r="K9" s="141">
        <v>64.114999999999995</v>
      </c>
      <c r="L9" s="198"/>
      <c r="M9" s="162"/>
      <c r="N9" s="162"/>
      <c r="O9" s="162"/>
    </row>
    <row r="10" spans="1:18">
      <c r="B10" s="3" t="s">
        <v>260</v>
      </c>
      <c r="G10"/>
      <c r="H10" s="141">
        <v>19986.518</v>
      </c>
      <c r="I10" s="141">
        <v>19814.741000000002</v>
      </c>
      <c r="J10" s="141"/>
      <c r="K10" s="141">
        <v>19936.64</v>
      </c>
      <c r="L10" s="198"/>
      <c r="M10" s="162"/>
      <c r="N10" s="162"/>
      <c r="O10" s="162"/>
    </row>
    <row r="11" spans="1:18">
      <c r="B11" s="3" t="s">
        <v>120</v>
      </c>
      <c r="G11" s="141"/>
      <c r="H11" s="141">
        <v>0</v>
      </c>
      <c r="I11" s="141">
        <v>0</v>
      </c>
      <c r="J11" s="136"/>
      <c r="K11" s="141">
        <v>0</v>
      </c>
      <c r="L11" s="198"/>
      <c r="M11" s="162"/>
      <c r="N11" s="162"/>
      <c r="O11" s="162"/>
    </row>
    <row r="12" spans="1:18">
      <c r="B12" s="3" t="s">
        <v>130</v>
      </c>
      <c r="G12"/>
      <c r="H12" s="141">
        <v>0</v>
      </c>
      <c r="I12" s="141">
        <v>0</v>
      </c>
      <c r="J12" s="141"/>
      <c r="K12" s="141">
        <v>0</v>
      </c>
      <c r="L12" s="198"/>
      <c r="M12" s="162"/>
      <c r="N12" s="162"/>
      <c r="O12" s="162"/>
    </row>
    <row r="13" spans="1:18">
      <c r="B13" s="3" t="s">
        <v>93</v>
      </c>
      <c r="G13"/>
      <c r="H13" s="136">
        <v>483.31900000000002</v>
      </c>
      <c r="I13" s="136">
        <v>463.15499999999997</v>
      </c>
      <c r="J13" s="136"/>
      <c r="K13" s="136">
        <v>738.66499999999996</v>
      </c>
      <c r="L13" s="198"/>
      <c r="M13" s="162"/>
      <c r="N13" s="198"/>
      <c r="O13" s="198"/>
    </row>
    <row r="14" spans="1:18" ht="13.5" thickBot="1">
      <c r="B14" s="3" t="s">
        <v>48</v>
      </c>
      <c r="G14"/>
      <c r="H14" s="200">
        <f>SUM(H8:H13)</f>
        <v>20570.598999999998</v>
      </c>
      <c r="I14" s="200">
        <f>SUM(I8:I13)</f>
        <v>20394.208999999999</v>
      </c>
      <c r="J14" s="106"/>
      <c r="K14" s="200">
        <f>SUM(K8:K13)</f>
        <v>20768.811000000002</v>
      </c>
      <c r="L14" s="197"/>
      <c r="M14" s="197"/>
      <c r="N14" s="197"/>
      <c r="O14" s="197"/>
    </row>
    <row r="15" spans="1:18" ht="13.5" thickTop="1">
      <c r="G15"/>
      <c r="J15" s="4"/>
      <c r="L15" s="4"/>
    </row>
    <row r="16" spans="1:18">
      <c r="B16" s="190" t="s">
        <v>5</v>
      </c>
      <c r="G16"/>
      <c r="J16" s="4"/>
      <c r="L16" s="4"/>
    </row>
    <row r="17" spans="2:15">
      <c r="B17" s="3" t="s">
        <v>250</v>
      </c>
      <c r="G17"/>
      <c r="H17" s="134">
        <v>114.76600000000001</v>
      </c>
      <c r="I17" s="134">
        <v>102.471</v>
      </c>
      <c r="J17" s="134"/>
      <c r="K17" s="134">
        <v>152.83099999999999</v>
      </c>
      <c r="L17" s="198"/>
      <c r="M17" s="162"/>
      <c r="N17" s="162"/>
      <c r="O17" s="162"/>
    </row>
    <row r="18" spans="2:15">
      <c r="B18" s="3" t="s">
        <v>254</v>
      </c>
      <c r="G18"/>
      <c r="H18" s="141">
        <v>58.034999999999997</v>
      </c>
      <c r="I18" s="141">
        <v>62.622</v>
      </c>
      <c r="J18" s="141"/>
      <c r="K18" s="141">
        <v>74.028000000000006</v>
      </c>
      <c r="L18" s="198"/>
      <c r="M18" s="162"/>
      <c r="N18" s="162"/>
      <c r="O18" s="162"/>
    </row>
    <row r="19" spans="2:15">
      <c r="B19" s="4" t="s">
        <v>255</v>
      </c>
      <c r="G19"/>
      <c r="H19" s="399">
        <v>192.828</v>
      </c>
      <c r="I19" s="399">
        <v>206.601</v>
      </c>
      <c r="J19" s="399"/>
      <c r="K19" s="399">
        <v>218.471</v>
      </c>
      <c r="L19" s="198"/>
      <c r="M19" s="162"/>
      <c r="N19" s="198"/>
      <c r="O19" s="198"/>
    </row>
    <row r="20" spans="2:15">
      <c r="B20" s="3" t="s">
        <v>298</v>
      </c>
      <c r="G20"/>
      <c r="H20" s="141">
        <v>65.009</v>
      </c>
      <c r="I20" s="141">
        <v>67.257999999999996</v>
      </c>
      <c r="J20" s="141"/>
      <c r="K20" s="141">
        <v>68.334999999999994</v>
      </c>
      <c r="L20" s="198"/>
      <c r="M20" s="162"/>
      <c r="N20" s="162"/>
      <c r="O20" s="162"/>
    </row>
    <row r="21" spans="2:15">
      <c r="B21" s="3" t="s">
        <v>36</v>
      </c>
      <c r="G21"/>
      <c r="H21" s="141">
        <v>8957.2909999999993</v>
      </c>
      <c r="I21" s="141">
        <v>8817.9390000000003</v>
      </c>
      <c r="J21" s="141"/>
      <c r="K21" s="141">
        <v>8952.67</v>
      </c>
      <c r="L21" s="198"/>
      <c r="M21" s="162"/>
      <c r="N21" s="162"/>
      <c r="O21" s="162"/>
    </row>
    <row r="22" spans="2:15">
      <c r="B22" s="3" t="s">
        <v>94</v>
      </c>
      <c r="G22"/>
      <c r="H22" s="141">
        <v>341.85199999999998</v>
      </c>
      <c r="I22" s="141">
        <v>358.56299999999999</v>
      </c>
      <c r="J22" s="141"/>
      <c r="K22" s="141">
        <v>603.40900000000011</v>
      </c>
      <c r="L22" s="198"/>
      <c r="M22" s="162"/>
      <c r="N22" s="162"/>
      <c r="O22" s="162"/>
    </row>
    <row r="23" spans="2:15">
      <c r="B23" s="3" t="s">
        <v>6</v>
      </c>
      <c r="G23"/>
      <c r="H23" s="141">
        <v>4.7080000000000002</v>
      </c>
      <c r="I23" s="141">
        <v>-2.2930000000000001</v>
      </c>
      <c r="J23" s="141"/>
      <c r="K23" s="141">
        <v>-5.4619999999999997</v>
      </c>
      <c r="L23" s="198"/>
      <c r="M23" s="162"/>
      <c r="N23" s="198"/>
      <c r="O23" s="198"/>
    </row>
    <row r="24" spans="2:15">
      <c r="B24" s="3" t="s">
        <v>7</v>
      </c>
      <c r="G24"/>
      <c r="H24" s="141">
        <v>0</v>
      </c>
      <c r="I24" s="141">
        <v>0</v>
      </c>
      <c r="J24" s="141"/>
      <c r="K24" s="141">
        <v>0</v>
      </c>
      <c r="L24" s="198"/>
      <c r="M24" s="162"/>
      <c r="N24" s="198"/>
      <c r="O24" s="198"/>
    </row>
    <row r="25" spans="2:15">
      <c r="B25" s="3" t="s">
        <v>49</v>
      </c>
      <c r="G25"/>
      <c r="H25" s="199">
        <v>10836.11</v>
      </c>
      <c r="I25" s="199">
        <v>10781.048000000001</v>
      </c>
      <c r="J25" s="199"/>
      <c r="K25" s="199">
        <v>10704.529</v>
      </c>
      <c r="L25" s="198"/>
      <c r="M25" s="162"/>
      <c r="N25" s="162"/>
      <c r="O25" s="162"/>
    </row>
    <row r="26" spans="2:15" ht="13.5" thickBot="1">
      <c r="B26" s="3" t="s">
        <v>72</v>
      </c>
      <c r="G26"/>
      <c r="H26" s="200">
        <f>SUM(H17:H25)</f>
        <v>20570.599000000002</v>
      </c>
      <c r="I26" s="200">
        <f>SUM(I17:I25)</f>
        <v>20394.209000000003</v>
      </c>
      <c r="J26" s="200"/>
      <c r="K26" s="200">
        <f>SUM(K17:K25)</f>
        <v>20768.811000000002</v>
      </c>
      <c r="L26" s="197"/>
      <c r="M26" s="197"/>
      <c r="N26" s="197"/>
      <c r="O26" s="197"/>
    </row>
    <row r="27" spans="2:15" ht="13.5" thickTop="1">
      <c r="G27"/>
      <c r="J27" s="4"/>
      <c r="K27" s="4"/>
      <c r="L27" s="4"/>
    </row>
    <row r="28" spans="2:15">
      <c r="G28"/>
      <c r="H28" s="201"/>
      <c r="I28" s="201"/>
      <c r="J28" s="202"/>
      <c r="K28" s="201"/>
      <c r="L28" s="197"/>
      <c r="M28" s="197"/>
      <c r="N28" s="197"/>
      <c r="O28" s="197"/>
    </row>
    <row r="29" spans="2:15">
      <c r="B29" s="3" t="s">
        <v>22</v>
      </c>
      <c r="G29"/>
      <c r="H29" s="111">
        <f>H21</f>
        <v>8957.2909999999993</v>
      </c>
      <c r="I29" s="111">
        <f t="shared" ref="I29:K29" si="0">I21</f>
        <v>8817.9390000000003</v>
      </c>
      <c r="J29" s="111"/>
      <c r="K29" s="111">
        <f t="shared" si="0"/>
        <v>8952.67</v>
      </c>
      <c r="L29" s="197"/>
      <c r="M29" s="197"/>
      <c r="N29" s="197"/>
      <c r="O29" s="197"/>
    </row>
    <row r="30" spans="2:15">
      <c r="B30" s="3" t="s">
        <v>112</v>
      </c>
      <c r="G30"/>
      <c r="H30" s="118">
        <f>H29-H8</f>
        <v>8906.6439999999984</v>
      </c>
      <c r="I30" s="118">
        <f>I29-I8</f>
        <v>8770.4970000000012</v>
      </c>
      <c r="J30" s="54"/>
      <c r="K30" s="118">
        <f>K29-K8</f>
        <v>8923.2790000000005</v>
      </c>
      <c r="L30" s="197"/>
      <c r="M30" s="197"/>
      <c r="N30" s="197"/>
      <c r="O30" s="197"/>
    </row>
    <row r="31" spans="2:15">
      <c r="B31" s="4"/>
      <c r="C31" s="4"/>
      <c r="D31" s="4"/>
      <c r="E31" s="4"/>
      <c r="F31" s="4"/>
      <c r="G31" s="372"/>
      <c r="H31" s="197"/>
      <c r="I31" s="197"/>
      <c r="J31" s="197"/>
      <c r="K31" s="197"/>
      <c r="L31" s="197"/>
      <c r="M31" s="197"/>
      <c r="N31" s="197"/>
      <c r="O31" s="197"/>
    </row>
    <row r="32" spans="2:15">
      <c r="B32" s="398" t="s">
        <v>299</v>
      </c>
      <c r="C32" s="203"/>
      <c r="D32" s="204"/>
      <c r="E32" s="204"/>
      <c r="F32" s="204"/>
      <c r="G32"/>
      <c r="H32" s="203"/>
      <c r="I32" s="203"/>
      <c r="J32" s="205"/>
      <c r="K32" s="205"/>
      <c r="L32" s="205"/>
      <c r="M32" s="206"/>
      <c r="N32" s="206"/>
      <c r="O32" s="206"/>
    </row>
    <row r="33" spans="2:11">
      <c r="G33"/>
    </row>
    <row r="34" spans="2:11">
      <c r="B34" s="3" t="s">
        <v>1</v>
      </c>
      <c r="G34"/>
      <c r="H34" s="118">
        <f>H14-H26</f>
        <v>0</v>
      </c>
      <c r="I34" s="118">
        <f>I14-I26</f>
        <v>0</v>
      </c>
      <c r="K34" s="118">
        <f>K14-K26</f>
        <v>0</v>
      </c>
    </row>
    <row r="35" spans="2:11">
      <c r="G35"/>
    </row>
    <row r="36" spans="2:11">
      <c r="G36"/>
    </row>
    <row r="37" spans="2:11">
      <c r="G37"/>
    </row>
    <row r="38" spans="2:11">
      <c r="G38"/>
    </row>
    <row r="39" spans="2:11">
      <c r="G39"/>
    </row>
    <row r="40" spans="2:11">
      <c r="G40"/>
    </row>
    <row r="41" spans="2:11">
      <c r="G41"/>
    </row>
    <row r="42" spans="2:11">
      <c r="G42"/>
    </row>
    <row r="43" spans="2:11">
      <c r="G43"/>
    </row>
    <row r="44" spans="2:11">
      <c r="G44"/>
    </row>
    <row r="45" spans="2:11">
      <c r="G45"/>
    </row>
    <row r="46" spans="2:11">
      <c r="G46"/>
    </row>
    <row r="47" spans="2:11">
      <c r="G47"/>
    </row>
  </sheetData>
  <customSheetViews>
    <customSheetView guid="{9AE38660-BF5A-49A3-9FC0-AD5890AFC019}" showPageBreaks="1" showGridLines="0" printArea="1" view="pageBreakPreview" showRuler="0">
      <pageMargins left="0.35" right="0.35" top="0.35" bottom="0.35" header="0.15" footer="0.15"/>
      <printOptions horizontalCentered="1"/>
      <pageSetup orientation="landscape" r:id="rId1"/>
      <headerFooter alignWithMargins="0">
        <oddFooter>&amp;L&amp;"Arial,Regular"&amp;8
Peter J. Solomon Company, LP&amp;R&amp;"Arial,Regular"&amp;8
&amp;D at &amp;T</oddFooter>
      </headerFooter>
    </customSheetView>
  </customSheetViews>
  <phoneticPr fontId="0" type="noConversion"/>
  <printOptions horizontalCentered="1"/>
  <pageMargins left="0.35" right="0.35" top="0.35" bottom="0.35" header="0.15" footer="0.15"/>
  <pageSetup orientation="landscape" r:id="rId2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indexed="41"/>
  </sheetPr>
  <dimension ref="A1:Q65"/>
  <sheetViews>
    <sheetView showGridLines="0" zoomScale="125" zoomScaleNormal="125" zoomScaleSheetLayoutView="125" zoomScalePageLayoutView="125" workbookViewId="0"/>
  </sheetViews>
  <sheetFormatPr defaultColWidth="10.296875" defaultRowHeight="13"/>
  <cols>
    <col min="1" max="1" width="2.796875" style="4" customWidth="1"/>
    <col min="2" max="5" width="10.296875" style="3" customWidth="1"/>
    <col min="6" max="6" width="19" style="3" customWidth="1"/>
    <col min="7" max="9" width="10.796875" style="3" customWidth="1"/>
    <col min="10" max="10" width="2.796875" style="3" customWidth="1"/>
    <col min="11" max="12" width="10.796875" style="3" customWidth="1"/>
    <col min="13" max="16384" width="10.296875" style="4"/>
  </cols>
  <sheetData>
    <row r="1" spans="1:17">
      <c r="A1" s="2"/>
    </row>
    <row r="2" spans="1:17" ht="22.5">
      <c r="B2" s="61" t="str">
        <f>proj</f>
        <v>REIT Model</v>
      </c>
      <c r="C2" s="337"/>
      <c r="D2" s="337"/>
      <c r="E2" s="320"/>
      <c r="F2" s="320"/>
      <c r="G2" s="320"/>
      <c r="H2" s="320"/>
      <c r="I2" s="320"/>
      <c r="J2" s="320"/>
      <c r="K2" s="320"/>
      <c r="L2" s="320"/>
      <c r="M2" s="6"/>
      <c r="N2" s="6"/>
      <c r="O2" s="6"/>
      <c r="P2" s="6"/>
      <c r="Q2" s="6"/>
    </row>
    <row r="3" spans="1:17" s="183" customFormat="1" ht="20.149999999999999" customHeight="1">
      <c r="B3" s="215" t="str">
        <f>acq&amp;" - Cash Flow Statement"</f>
        <v>REIT Corporation - Cash Flow Statement</v>
      </c>
      <c r="C3" s="220"/>
      <c r="D3" s="220"/>
      <c r="E3" s="221"/>
      <c r="F3" s="221"/>
      <c r="G3" s="221"/>
      <c r="H3" s="221"/>
      <c r="I3" s="221"/>
      <c r="J3" s="221"/>
      <c r="K3" s="221"/>
      <c r="L3" s="221"/>
      <c r="M3" s="184"/>
      <c r="N3" s="184"/>
    </row>
    <row r="4" spans="1:17" s="185" customFormat="1">
      <c r="B4" s="129" t="str">
        <f>'Balance Sheet'!B4</f>
        <v>(Amounts in Millions)</v>
      </c>
      <c r="C4" s="7"/>
      <c r="D4" s="7"/>
      <c r="E4" s="7"/>
      <c r="F4" s="7"/>
      <c r="G4" s="7"/>
      <c r="H4" s="7"/>
      <c r="I4" s="7"/>
      <c r="J4" s="7"/>
      <c r="K4" s="7"/>
      <c r="L4" s="7"/>
    </row>
    <row r="5" spans="1:17" s="185" customFormat="1">
      <c r="B5" s="336"/>
      <c r="C5" s="7"/>
      <c r="D5" s="7"/>
      <c r="E5" s="7"/>
      <c r="F5" s="7"/>
      <c r="G5" s="180" t="str">
        <f>+'Balance Sheet'!H5</f>
        <v>Fiscal Year Ended December 31,</v>
      </c>
      <c r="H5" s="180"/>
      <c r="I5" s="180"/>
      <c r="J5" s="14"/>
      <c r="K5" s="180" t="str">
        <f>'Income Statement'!K5</f>
        <v>Three Months Ended</v>
      </c>
      <c r="L5" s="180"/>
    </row>
    <row r="6" spans="1:17" ht="12.75" customHeight="1">
      <c r="G6" s="131">
        <f>'Income Statement'!G6</f>
        <v>2016</v>
      </c>
      <c r="H6" s="131">
        <f>'Income Statement'!H6</f>
        <v>2017</v>
      </c>
      <c r="I6" s="131">
        <f>'Income Statement'!I6</f>
        <v>2018</v>
      </c>
      <c r="J6" s="70"/>
      <c r="K6" s="132">
        <f>'Income Statement'!K6</f>
        <v>43190</v>
      </c>
      <c r="L6" s="132">
        <f>'Income Statement'!L6</f>
        <v>43555</v>
      </c>
    </row>
    <row r="7" spans="1:17" ht="18" customHeight="1">
      <c r="B7" s="142" t="s">
        <v>67</v>
      </c>
      <c r="G7" s="192"/>
      <c r="H7" s="192"/>
      <c r="I7" s="193"/>
      <c r="K7" s="191"/>
      <c r="L7" s="193"/>
    </row>
    <row r="8" spans="1:17" ht="12.75" customHeight="1">
      <c r="B8" s="235" t="s">
        <v>10</v>
      </c>
      <c r="G8" s="73">
        <v>4480.1040000000003</v>
      </c>
      <c r="H8" s="73">
        <v>628.38099999999997</v>
      </c>
      <c r="I8" s="73">
        <v>685.19200000000001</v>
      </c>
      <c r="J8" s="73"/>
      <c r="K8" s="73">
        <v>220.548</v>
      </c>
      <c r="L8" s="73">
        <v>109.25700000000001</v>
      </c>
    </row>
    <row r="9" spans="1:17" ht="12.75" customHeight="1">
      <c r="B9" s="366" t="s">
        <v>15</v>
      </c>
      <c r="D9" s="64"/>
      <c r="E9" s="64"/>
      <c r="F9" s="64"/>
      <c r="G9" s="136">
        <v>745.40200000000004</v>
      </c>
      <c r="H9" s="136">
        <v>778.48599999999999</v>
      </c>
      <c r="I9" s="136">
        <v>842.64800000000002</v>
      </c>
      <c r="J9" s="136"/>
      <c r="K9" s="136">
        <v>207.40600000000001</v>
      </c>
      <c r="L9" s="136">
        <v>212.14099999999999</v>
      </c>
    </row>
    <row r="10" spans="1:17" ht="12.75" customHeight="1">
      <c r="B10" s="235" t="s">
        <v>231</v>
      </c>
      <c r="D10" s="117"/>
      <c r="E10" s="117"/>
      <c r="F10" s="117"/>
      <c r="G10" s="136">
        <v>0</v>
      </c>
      <c r="H10" s="136">
        <v>1.6930000000000001</v>
      </c>
      <c r="I10" s="136">
        <v>0.70199999999999996</v>
      </c>
      <c r="J10" s="136"/>
      <c r="K10" s="136">
        <v>0</v>
      </c>
      <c r="L10" s="136">
        <v>0</v>
      </c>
    </row>
    <row r="11" spans="1:17" ht="12.75" customHeight="1">
      <c r="B11" s="235" t="s">
        <v>258</v>
      </c>
      <c r="D11" s="117"/>
      <c r="E11" s="117"/>
      <c r="F11" s="117"/>
      <c r="G11" s="136">
        <v>0</v>
      </c>
      <c r="H11" s="136">
        <v>0</v>
      </c>
      <c r="I11" s="136">
        <v>0</v>
      </c>
      <c r="J11" s="136"/>
      <c r="K11" s="136">
        <v>0</v>
      </c>
      <c r="L11" s="136">
        <v>4.0220000000000002</v>
      </c>
    </row>
    <row r="12" spans="1:17" ht="12.75" customHeight="1">
      <c r="B12" s="235" t="s">
        <v>232</v>
      </c>
      <c r="D12" s="117"/>
      <c r="E12" s="117"/>
      <c r="F12" s="117"/>
      <c r="G12" s="136">
        <v>4.0919999999999996</v>
      </c>
      <c r="H12" s="136">
        <v>3.1059999999999999</v>
      </c>
      <c r="I12" s="136">
        <v>4.45</v>
      </c>
      <c r="J12" s="136"/>
      <c r="K12" s="136">
        <v>0.93100000000000005</v>
      </c>
      <c r="L12" s="136">
        <v>1.448</v>
      </c>
    </row>
    <row r="13" spans="1:17" ht="12.75" customHeight="1">
      <c r="B13" s="235" t="s">
        <v>278</v>
      </c>
      <c r="D13" s="117"/>
      <c r="E13" s="117"/>
      <c r="F13" s="117"/>
      <c r="G13" s="136">
        <v>-4.8010000000000002</v>
      </c>
      <c r="H13" s="136">
        <v>3.37</v>
      </c>
      <c r="I13" s="136">
        <v>3.6669999999999998</v>
      </c>
      <c r="J13" s="136"/>
      <c r="K13" s="136">
        <v>0.97699999999999998</v>
      </c>
      <c r="L13" s="136">
        <v>0.70699999999999996</v>
      </c>
    </row>
    <row r="14" spans="1:17" ht="12.75" customHeight="1">
      <c r="B14" s="235" t="s">
        <v>233</v>
      </c>
      <c r="D14" s="117"/>
      <c r="E14" s="117"/>
      <c r="F14" s="117"/>
      <c r="G14" s="136">
        <v>2.863</v>
      </c>
      <c r="H14" s="136">
        <v>2.6320000000000001</v>
      </c>
      <c r="I14" s="136">
        <v>2.492</v>
      </c>
      <c r="J14" s="136"/>
      <c r="K14" s="136">
        <v>0.61499999999999999</v>
      </c>
      <c r="L14" s="136">
        <v>0.69299999999999995</v>
      </c>
    </row>
    <row r="15" spans="1:17" ht="12.75" customHeight="1">
      <c r="B15" s="366" t="s">
        <v>261</v>
      </c>
      <c r="D15" s="64"/>
      <c r="E15" s="64"/>
      <c r="F15" s="64"/>
      <c r="G15" s="136">
        <v>-58.408999999999999</v>
      </c>
      <c r="H15" s="136">
        <v>0</v>
      </c>
      <c r="I15" s="136">
        <v>0</v>
      </c>
      <c r="J15" s="136"/>
      <c r="K15" s="136">
        <v>0</v>
      </c>
      <c r="L15" s="136">
        <v>0</v>
      </c>
    </row>
    <row r="16" spans="1:17" ht="12.75" customHeight="1">
      <c r="B16" s="366" t="s">
        <v>262</v>
      </c>
      <c r="G16" s="136">
        <v>-4044.0549999999998</v>
      </c>
      <c r="H16" s="136">
        <v>-157.05699999999999</v>
      </c>
      <c r="I16" s="136">
        <v>-256.81</v>
      </c>
      <c r="J16" s="136"/>
      <c r="K16" s="136">
        <v>-142.21299999999999</v>
      </c>
      <c r="L16" s="136">
        <v>2.1000000000000001E-2</v>
      </c>
    </row>
    <row r="17" spans="2:12" ht="12.75" customHeight="1">
      <c r="B17" s="366" t="s">
        <v>263</v>
      </c>
      <c r="G17" s="136">
        <v>-15.731</v>
      </c>
      <c r="H17" s="136">
        <v>-19.167000000000002</v>
      </c>
      <c r="I17" s="136">
        <v>-0.98699999999999999</v>
      </c>
      <c r="J17" s="136"/>
      <c r="K17" s="136">
        <v>0</v>
      </c>
      <c r="L17" s="136">
        <v>-1E-3</v>
      </c>
    </row>
    <row r="18" spans="2:12" ht="12.75" customHeight="1">
      <c r="B18" s="366" t="s">
        <v>264</v>
      </c>
      <c r="G18" s="136">
        <v>-4.2999999999999997E-2</v>
      </c>
      <c r="H18" s="136">
        <v>0</v>
      </c>
      <c r="I18" s="136">
        <v>0</v>
      </c>
      <c r="J18" s="136"/>
      <c r="K18" s="136">
        <v>0</v>
      </c>
      <c r="L18" s="136">
        <v>0</v>
      </c>
    </row>
    <row r="19" spans="2:12" ht="12.75" customHeight="1">
      <c r="B19" s="366" t="s">
        <v>265</v>
      </c>
      <c r="G19" s="136">
        <v>114.666</v>
      </c>
      <c r="H19" s="136">
        <v>12.257999999999999</v>
      </c>
      <c r="I19" s="136">
        <v>22.11</v>
      </c>
      <c r="J19" s="136"/>
      <c r="K19" s="136">
        <v>22.11</v>
      </c>
      <c r="L19" s="136">
        <v>0</v>
      </c>
    </row>
    <row r="20" spans="2:12" ht="12.75" customHeight="1">
      <c r="B20" s="366" t="s">
        <v>266</v>
      </c>
      <c r="G20" s="136">
        <v>7.3999999999999996E-2</v>
      </c>
      <c r="H20" s="136">
        <v>0</v>
      </c>
      <c r="I20" s="136">
        <v>0.05</v>
      </c>
      <c r="J20" s="136"/>
      <c r="K20" s="136">
        <v>0</v>
      </c>
      <c r="L20" s="136">
        <v>0</v>
      </c>
    </row>
    <row r="21" spans="2:12" ht="12.75" customHeight="1">
      <c r="B21" s="366" t="s">
        <v>234</v>
      </c>
      <c r="G21" s="136">
        <v>30.53</v>
      </c>
      <c r="H21" s="136">
        <v>24.997</v>
      </c>
      <c r="I21" s="136">
        <v>27.132000000000001</v>
      </c>
      <c r="J21" s="136"/>
      <c r="K21" s="136">
        <v>10.278</v>
      </c>
      <c r="L21" s="136">
        <v>9.8059999999999992</v>
      </c>
    </row>
    <row r="22" spans="2:12" ht="12.75" customHeight="1">
      <c r="B22" s="374" t="s">
        <v>235</v>
      </c>
      <c r="G22" s="136"/>
      <c r="H22" s="136"/>
      <c r="I22" s="136"/>
      <c r="J22" s="136"/>
      <c r="K22" s="136"/>
      <c r="L22" s="136"/>
    </row>
    <row r="23" spans="2:12" ht="12.75" customHeight="1">
      <c r="B23" s="235" t="s">
        <v>277</v>
      </c>
      <c r="G23" s="136">
        <v>31.146999999999998</v>
      </c>
      <c r="H23" s="136">
        <v>-0.44900000000000001</v>
      </c>
      <c r="I23" s="136">
        <v>4.0970000000000004</v>
      </c>
      <c r="J23" s="136"/>
      <c r="K23" s="136">
        <v>-15.396000000000001</v>
      </c>
      <c r="L23" s="136">
        <v>-14.324999999999999</v>
      </c>
    </row>
    <row r="24" spans="2:12" ht="12.75" customHeight="1">
      <c r="B24" s="366" t="s">
        <v>267</v>
      </c>
      <c r="G24" s="136">
        <v>-6.0609999999999999</v>
      </c>
      <c r="H24" s="136">
        <v>11.532</v>
      </c>
      <c r="I24" s="136">
        <v>-1.8620000000000001</v>
      </c>
      <c r="J24" s="136"/>
      <c r="K24" s="136">
        <v>48.997</v>
      </c>
      <c r="L24" s="136">
        <v>63.789000000000001</v>
      </c>
    </row>
    <row r="25" spans="2:12" ht="12.75" customHeight="1">
      <c r="B25" s="235" t="s">
        <v>268</v>
      </c>
      <c r="G25" s="136">
        <v>-24.274999999999999</v>
      </c>
      <c r="H25" s="136">
        <v>-2.911</v>
      </c>
      <c r="I25" s="136">
        <v>4.5869999999999997</v>
      </c>
      <c r="J25" s="136"/>
      <c r="K25" s="136">
        <v>11.718</v>
      </c>
      <c r="L25" s="136">
        <v>11.406000000000001</v>
      </c>
    </row>
    <row r="26" spans="2:12" ht="12.75" customHeight="1">
      <c r="B26" s="235" t="s">
        <v>269</v>
      </c>
      <c r="G26" s="136">
        <v>-26.422000000000001</v>
      </c>
      <c r="H26" s="136">
        <v>-23.468</v>
      </c>
      <c r="I26" s="136">
        <v>16.577999999999999</v>
      </c>
      <c r="J26" s="136"/>
      <c r="K26" s="136">
        <v>-4.6920000000000002</v>
      </c>
      <c r="L26" s="136">
        <v>-25.942</v>
      </c>
    </row>
    <row r="27" spans="2:12" ht="12.75" customHeight="1">
      <c r="B27" s="235" t="s">
        <v>270</v>
      </c>
      <c r="G27" s="136">
        <v>-14.958</v>
      </c>
      <c r="H27" s="136">
        <v>2.3849999999999998</v>
      </c>
      <c r="I27" s="136">
        <v>2.2490000000000001</v>
      </c>
      <c r="J27" s="136"/>
      <c r="K27" s="136">
        <v>-0.26100000000000001</v>
      </c>
      <c r="L27" s="136">
        <v>1.077</v>
      </c>
    </row>
    <row r="28" spans="2:12" ht="12.75" customHeight="1">
      <c r="B28" s="64" t="s">
        <v>271</v>
      </c>
      <c r="G28" s="362">
        <f>SUM(G8:G27)</f>
        <v>1214.1230000000003</v>
      </c>
      <c r="H28" s="363">
        <f t="shared" ref="H28:L28" si="0">SUM(H8:H27)</f>
        <v>1265.7879999999998</v>
      </c>
      <c r="I28" s="363">
        <f t="shared" si="0"/>
        <v>1356.2949999999998</v>
      </c>
      <c r="J28"/>
      <c r="K28" s="363">
        <f t="shared" si="0"/>
        <v>361.01800000000003</v>
      </c>
      <c r="L28" s="364">
        <f t="shared" si="0"/>
        <v>374.09899999999999</v>
      </c>
    </row>
    <row r="29" spans="2:12" ht="12.75" customHeight="1">
      <c r="B29" s="64"/>
      <c r="G29" s="54"/>
      <c r="H29" s="54"/>
      <c r="I29" s="54"/>
      <c r="J29"/>
      <c r="K29" s="54"/>
      <c r="L29" s="54"/>
    </row>
    <row r="30" spans="2:12" ht="12.75" customHeight="1">
      <c r="B30" s="142" t="s">
        <v>68</v>
      </c>
      <c r="G30" s="136"/>
      <c r="H30" s="136"/>
      <c r="I30" s="136"/>
      <c r="J30" s="136"/>
      <c r="K30" s="136"/>
      <c r="L30" s="136"/>
    </row>
    <row r="31" spans="2:12" ht="12.75" customHeight="1">
      <c r="B31" s="366" t="s">
        <v>236</v>
      </c>
      <c r="G31" s="136">
        <v>-205.88</v>
      </c>
      <c r="H31" s="136">
        <v>-466.39400000000001</v>
      </c>
      <c r="I31" s="136">
        <v>-708.09199999999998</v>
      </c>
      <c r="J31" s="136"/>
      <c r="K31" s="136">
        <v>-54.134</v>
      </c>
      <c r="L31" s="136">
        <v>-258.93799999999999</v>
      </c>
    </row>
    <row r="32" spans="2:12" ht="12.75" customHeight="1">
      <c r="B32" s="366" t="s">
        <v>237</v>
      </c>
      <c r="G32" s="136">
        <v>-566.82500000000005</v>
      </c>
      <c r="H32" s="136">
        <v>-276.38200000000001</v>
      </c>
      <c r="I32" s="136">
        <v>-154.43100000000001</v>
      </c>
      <c r="J32" s="136"/>
      <c r="K32" s="136">
        <v>-40.813000000000002</v>
      </c>
      <c r="L32" s="136">
        <v>-45.326999999999998</v>
      </c>
    </row>
    <row r="33" spans="2:12" ht="12.75" customHeight="1">
      <c r="B33" s="366" t="s">
        <v>238</v>
      </c>
      <c r="G33" s="136">
        <v>-172.17699999999999</v>
      </c>
      <c r="H33" s="136">
        <v>-202.607</v>
      </c>
      <c r="I33" s="136">
        <v>-188.501</v>
      </c>
      <c r="J33" s="136"/>
      <c r="K33" s="136">
        <v>-36.747</v>
      </c>
      <c r="L33" s="136">
        <v>-34.018000000000001</v>
      </c>
    </row>
    <row r="34" spans="2:12" ht="12.75" customHeight="1">
      <c r="B34" s="366" t="s">
        <v>239</v>
      </c>
      <c r="G34" s="136">
        <v>-5.7309999999999999</v>
      </c>
      <c r="H34" s="136">
        <v>-1.506</v>
      </c>
      <c r="I34" s="136">
        <v>-4.5049999999999999</v>
      </c>
      <c r="J34" s="136"/>
      <c r="K34" s="136">
        <v>-1.1910000000000001</v>
      </c>
      <c r="L34" s="136">
        <v>-1.018</v>
      </c>
    </row>
    <row r="35" spans="2:12" ht="12.75" customHeight="1">
      <c r="B35" s="366" t="s">
        <v>240</v>
      </c>
      <c r="G35" s="136">
        <v>-51.451000000000001</v>
      </c>
      <c r="H35" s="136">
        <v>-26.29</v>
      </c>
      <c r="I35" s="136">
        <v>-6.26</v>
      </c>
      <c r="J35" s="136"/>
      <c r="K35" s="136">
        <v>-1.6879999999999999</v>
      </c>
      <c r="L35" s="136">
        <v>-1.202</v>
      </c>
    </row>
    <row r="36" spans="2:12" ht="12.75" customHeight="1">
      <c r="B36" s="366" t="s">
        <v>241</v>
      </c>
      <c r="G36" s="136">
        <v>6824.6589999999997</v>
      </c>
      <c r="H36" s="136">
        <v>384.58300000000003</v>
      </c>
      <c r="I36" s="136">
        <v>691.52599999999995</v>
      </c>
      <c r="J36" s="136"/>
      <c r="K36" s="136">
        <v>284.67</v>
      </c>
      <c r="L36" s="136">
        <v>0</v>
      </c>
    </row>
    <row r="37" spans="2:12" ht="12.75" customHeight="1">
      <c r="B37" s="366" t="s">
        <v>242</v>
      </c>
      <c r="G37" s="136">
        <v>-5.266</v>
      </c>
      <c r="H37" s="136">
        <v>-6.0339999999999998</v>
      </c>
      <c r="I37" s="136">
        <v>-6.5709999999999997</v>
      </c>
      <c r="J37" s="136"/>
      <c r="K37" s="136">
        <v>-2.7989999999999999</v>
      </c>
      <c r="L37" s="136">
        <v>-6.2809999999999997</v>
      </c>
    </row>
    <row r="38" spans="2:12" ht="12.75" customHeight="1">
      <c r="B38" s="366" t="s">
        <v>243</v>
      </c>
      <c r="G38" s="136">
        <v>13.798</v>
      </c>
      <c r="H38" s="136">
        <v>0.33400000000000002</v>
      </c>
      <c r="I38" s="136">
        <v>0</v>
      </c>
      <c r="J38" s="136"/>
      <c r="K38" s="136">
        <v>0</v>
      </c>
      <c r="L38" s="136">
        <v>0</v>
      </c>
    </row>
    <row r="39" spans="2:12" ht="12.75" customHeight="1">
      <c r="B39" s="366" t="s">
        <v>244</v>
      </c>
      <c r="G39" s="136">
        <v>72.814999999999998</v>
      </c>
      <c r="H39" s="136">
        <v>0</v>
      </c>
      <c r="I39" s="136">
        <v>0</v>
      </c>
      <c r="J39" s="136"/>
      <c r="K39" s="136">
        <v>0</v>
      </c>
      <c r="L39" s="136">
        <v>0</v>
      </c>
    </row>
    <row r="40" spans="2:12" ht="12.75" customHeight="1">
      <c r="B40" s="366" t="s">
        <v>259</v>
      </c>
      <c r="G40" s="136">
        <v>0</v>
      </c>
      <c r="H40" s="136">
        <v>0</v>
      </c>
      <c r="I40" s="136">
        <v>0</v>
      </c>
      <c r="J40" s="136"/>
      <c r="K40" s="136">
        <v>0</v>
      </c>
      <c r="L40" s="136">
        <v>-0.251</v>
      </c>
    </row>
    <row r="41" spans="2:12" ht="12.75" customHeight="1">
      <c r="B41" s="64" t="s">
        <v>272</v>
      </c>
      <c r="G41" s="362">
        <f>SUM(G31:G40)</f>
        <v>5903.9419999999991</v>
      </c>
      <c r="H41" s="363">
        <f t="shared" ref="H41:L41" si="1">SUM(H31:H40)</f>
        <v>-594.29600000000005</v>
      </c>
      <c r="I41" s="364">
        <f t="shared" si="1"/>
        <v>-376.83400000000029</v>
      </c>
      <c r="J41" s="54"/>
      <c r="K41" s="362">
        <f t="shared" si="1"/>
        <v>147.298</v>
      </c>
      <c r="L41" s="364">
        <f t="shared" si="1"/>
        <v>-347.03499999999997</v>
      </c>
    </row>
    <row r="42" spans="2:12" ht="12.75" customHeight="1">
      <c r="B42" s="142" t="s">
        <v>69</v>
      </c>
      <c r="G42" s="136"/>
      <c r="H42" s="136"/>
      <c r="I42" s="136"/>
      <c r="J42" s="136"/>
      <c r="K42" s="136"/>
      <c r="L42" s="136"/>
    </row>
    <row r="43" spans="2:12" ht="12.75" customHeight="1">
      <c r="B43" s="1" t="s">
        <v>245</v>
      </c>
      <c r="G43" s="136">
        <v>-13.305</v>
      </c>
      <c r="H43" s="136">
        <v>-6.2889999999999997</v>
      </c>
      <c r="I43" s="136">
        <v>-8.5830000000000002</v>
      </c>
      <c r="J43" s="136"/>
      <c r="K43" s="136">
        <v>-4.3449999999999998</v>
      </c>
      <c r="L43" s="136">
        <v>-1.492</v>
      </c>
    </row>
    <row r="44" spans="2:12" ht="12.75" customHeight="1">
      <c r="B44" s="1" t="s">
        <v>300</v>
      </c>
      <c r="G44" s="136">
        <v>-2076.9050000000002</v>
      </c>
      <c r="H44" s="136">
        <v>-42.131999999999998</v>
      </c>
      <c r="I44" s="136">
        <v>-184.023</v>
      </c>
      <c r="J44" s="136"/>
      <c r="K44" s="136">
        <v>-317.89800000000002</v>
      </c>
      <c r="L44" s="136">
        <v>132.16200000000001</v>
      </c>
    </row>
    <row r="45" spans="2:12">
      <c r="B45" s="1" t="s">
        <v>273</v>
      </c>
      <c r="G45" s="136">
        <v>-4.6619999999999999</v>
      </c>
      <c r="H45" s="136">
        <v>1.2949999999999999</v>
      </c>
      <c r="I45" s="136">
        <v>18.117999999999999</v>
      </c>
      <c r="J45" s="136"/>
      <c r="K45" s="136">
        <v>1.6379999999999999</v>
      </c>
      <c r="L45" s="136">
        <v>0</v>
      </c>
    </row>
    <row r="46" spans="2:12">
      <c r="B46" s="1" t="s">
        <v>274</v>
      </c>
      <c r="G46" s="136">
        <v>3.6859999999999999</v>
      </c>
      <c r="H46" s="136">
        <v>3.7440000000000002</v>
      </c>
      <c r="I46" s="136">
        <v>3.879</v>
      </c>
      <c r="J46" s="136"/>
      <c r="K46" s="136">
        <v>1.681</v>
      </c>
      <c r="L46" s="136">
        <v>1.1259999999999999</v>
      </c>
    </row>
    <row r="47" spans="2:12">
      <c r="B47" s="1" t="s">
        <v>256</v>
      </c>
      <c r="G47" s="136">
        <v>35.832999999999998</v>
      </c>
      <c r="H47" s="136">
        <v>31.596</v>
      </c>
      <c r="I47" s="136">
        <v>30.655000000000001</v>
      </c>
      <c r="J47" s="136"/>
      <c r="K47" s="136">
        <v>1.6</v>
      </c>
      <c r="L47" s="136">
        <v>29.86</v>
      </c>
    </row>
    <row r="48" spans="2:12">
      <c r="B48" s="1" t="s">
        <v>246</v>
      </c>
      <c r="G48" s="136">
        <v>-0.314</v>
      </c>
      <c r="H48" s="136">
        <v>-5.0999999999999997E-2</v>
      </c>
      <c r="I48" s="136">
        <v>-2.7E-2</v>
      </c>
      <c r="J48" s="136"/>
      <c r="K48" s="136">
        <v>-2.5999999999999999E-2</v>
      </c>
      <c r="L48" s="136">
        <v>0</v>
      </c>
    </row>
    <row r="49" spans="2:12">
      <c r="B49" s="1" t="s">
        <v>247</v>
      </c>
      <c r="G49" s="136">
        <v>-4.9000000000000002E-2</v>
      </c>
      <c r="H49" s="136">
        <v>-6.3E-2</v>
      </c>
      <c r="I49" s="136">
        <v>-7.8E-2</v>
      </c>
      <c r="J49" s="136"/>
      <c r="K49" s="136">
        <v>0</v>
      </c>
      <c r="L49" s="136">
        <v>0</v>
      </c>
    </row>
    <row r="50" spans="2:12">
      <c r="B50" s="1" t="s">
        <v>248</v>
      </c>
      <c r="G50" s="136">
        <v>0</v>
      </c>
      <c r="H50" s="136">
        <v>0</v>
      </c>
      <c r="I50" s="136">
        <v>-1.2999999999999999E-2</v>
      </c>
      <c r="J50" s="136"/>
      <c r="K50" s="136">
        <v>0</v>
      </c>
      <c r="L50" s="136">
        <v>0</v>
      </c>
    </row>
    <row r="51" spans="2:12">
      <c r="B51" s="1" t="s">
        <v>249</v>
      </c>
      <c r="G51" s="136">
        <v>0</v>
      </c>
      <c r="H51" s="136">
        <v>0.125</v>
      </c>
      <c r="I51" s="136">
        <v>0.125</v>
      </c>
      <c r="J51" s="136"/>
      <c r="K51" s="136">
        <v>0.125</v>
      </c>
      <c r="L51" s="136">
        <v>0</v>
      </c>
    </row>
    <row r="52" spans="2:12">
      <c r="B52" s="1" t="s">
        <v>257</v>
      </c>
      <c r="G52" s="136">
        <v>1E-3</v>
      </c>
      <c r="H52" s="136">
        <v>0</v>
      </c>
      <c r="I52" s="136">
        <v>1E-3</v>
      </c>
      <c r="J52" s="136"/>
      <c r="K52" s="136">
        <v>1E-3</v>
      </c>
      <c r="L52" s="136">
        <v>0</v>
      </c>
    </row>
    <row r="53" spans="2:12">
      <c r="B53" s="1" t="s">
        <v>301</v>
      </c>
      <c r="G53" s="136">
        <v>-4998.3770000000004</v>
      </c>
      <c r="H53" s="136">
        <v>-778.04300000000001</v>
      </c>
      <c r="I53" s="136">
        <v>-823.96400000000006</v>
      </c>
      <c r="J53" s="136"/>
      <c r="K53" s="136">
        <v>-197.143</v>
      </c>
      <c r="L53" s="136">
        <v>-210.97300000000001</v>
      </c>
    </row>
    <row r="54" spans="2:12">
      <c r="B54" s="1" t="s">
        <v>275</v>
      </c>
      <c r="G54" s="362">
        <f>SUM(G43:G53)</f>
        <v>-7054.0919999999996</v>
      </c>
      <c r="H54" s="363">
        <f t="shared" ref="H54:L54" si="2">SUM(H43:H53)</f>
        <v>-789.81799999999998</v>
      </c>
      <c r="I54" s="364">
        <f t="shared" si="2"/>
        <v>-963.91000000000008</v>
      </c>
      <c r="J54" s="54"/>
      <c r="K54" s="362">
        <f t="shared" si="2"/>
        <v>-514.36700000000008</v>
      </c>
      <c r="L54" s="364">
        <f t="shared" si="2"/>
        <v>-49.317000000000007</v>
      </c>
    </row>
    <row r="56" spans="2:12">
      <c r="B56" s="3" t="s">
        <v>146</v>
      </c>
      <c r="G56" s="118">
        <v>0</v>
      </c>
      <c r="H56" s="118">
        <v>0</v>
      </c>
      <c r="I56" s="118">
        <v>0</v>
      </c>
      <c r="J56" s="118"/>
      <c r="K56" s="118">
        <v>0</v>
      </c>
      <c r="L56" s="118">
        <v>0</v>
      </c>
    </row>
    <row r="58" spans="2:12">
      <c r="B58" s="64" t="s">
        <v>276</v>
      </c>
      <c r="G58" s="118">
        <f>SUM(G56,G54,G41,G28)</f>
        <v>63.972999999999729</v>
      </c>
      <c r="H58" s="118">
        <f t="shared" ref="H58:L58" si="3">SUM(H56,H54,H41,H28)</f>
        <v>-118.32600000000025</v>
      </c>
      <c r="I58" s="118">
        <f t="shared" si="3"/>
        <v>15.550999999999476</v>
      </c>
      <c r="K58" s="118">
        <f t="shared" si="3"/>
        <v>-6.0510000000000446</v>
      </c>
      <c r="L58" s="118">
        <f t="shared" si="3"/>
        <v>-22.252999999999986</v>
      </c>
    </row>
    <row r="59" spans="2:12">
      <c r="B59" s="64"/>
    </row>
    <row r="60" spans="2:12">
      <c r="B60" s="3" t="s">
        <v>73</v>
      </c>
      <c r="G60" s="118">
        <v>155.11500000000001</v>
      </c>
      <c r="H60" s="118">
        <v>219.08799999999999</v>
      </c>
      <c r="I60" s="118">
        <v>100.762</v>
      </c>
      <c r="K60" s="118">
        <v>100.762</v>
      </c>
      <c r="L60" s="118">
        <v>116.313</v>
      </c>
    </row>
    <row r="61" spans="2:12">
      <c r="B61" s="3" t="s">
        <v>74</v>
      </c>
      <c r="G61" s="118">
        <f>G60+G58</f>
        <v>219.08799999999974</v>
      </c>
      <c r="H61" s="118">
        <f t="shared" ref="H61:L61" si="4">H60+H58</f>
        <v>100.76199999999974</v>
      </c>
      <c r="I61" s="118">
        <f t="shared" si="4"/>
        <v>116.31299999999948</v>
      </c>
      <c r="J61" s="118"/>
      <c r="K61" s="118">
        <f t="shared" si="4"/>
        <v>94.710999999999956</v>
      </c>
      <c r="L61" s="118">
        <f t="shared" si="4"/>
        <v>94.060000000000016</v>
      </c>
    </row>
    <row r="62" spans="2:12">
      <c r="B62" s="4"/>
    </row>
    <row r="63" spans="2:12">
      <c r="B63" s="168" t="str">
        <f>"Source: Company's "&amp;YEAR(afye)&amp;" Form 10-K."</f>
        <v>Source: Company's 2018 Form 10-K.</v>
      </c>
    </row>
    <row r="64" spans="2:12">
      <c r="B64" s="3" t="s">
        <v>138</v>
      </c>
      <c r="G64" s="118">
        <v>219.08799999999974</v>
      </c>
      <c r="H64" s="118">
        <f>'Balance Sheet'!H8+'Balance Sheet'!H9</f>
        <v>100.762</v>
      </c>
      <c r="I64" s="118">
        <f>'Balance Sheet'!I8+'Balance Sheet'!I9</f>
        <v>116.31299999999999</v>
      </c>
      <c r="J64" s="118"/>
      <c r="K64" s="118" t="e">
        <f>'Balance Sheet'!#REF!+'Balance Sheet'!#REF!</f>
        <v>#REF!</v>
      </c>
      <c r="L64" s="118">
        <f>'Balance Sheet'!K8+'Balance Sheet'!K9</f>
        <v>93.506</v>
      </c>
    </row>
    <row r="65" spans="2:12">
      <c r="B65" s="269" t="s">
        <v>108</v>
      </c>
      <c r="G65" s="118">
        <f>G64-G61</f>
        <v>0</v>
      </c>
      <c r="H65" s="118">
        <f>H64-H61</f>
        <v>2.5579538487363607E-13</v>
      </c>
      <c r="I65" s="118">
        <f>I64-I61</f>
        <v>5.1159076974727213E-13</v>
      </c>
      <c r="J65" s="118"/>
      <c r="K65" s="118" t="e">
        <f>K64-K61</f>
        <v>#REF!</v>
      </c>
      <c r="L65" s="118">
        <f>L64-L61</f>
        <v>-0.55400000000001626</v>
      </c>
    </row>
  </sheetData>
  <customSheetViews>
    <customSheetView guid="{9AE38660-BF5A-49A3-9FC0-AD5890AFC019}" showPageBreaks="1" showGridLines="0" printArea="1" view="pageBreakPreview" showRuler="0">
      <pageMargins left="0.35" right="0.35" top="0.35" bottom="0.35" header="0.15" footer="0.15"/>
      <printOptions horizontalCentered="1"/>
      <pageSetup orientation="landscape" r:id="rId1"/>
      <headerFooter alignWithMargins="0">
        <oddFooter>&amp;L&amp;"Arial,Regular"&amp;8
Peter J. Solomon Company, LP&amp;R&amp;"Arial,Regular"&amp;8
&amp;D at &amp;T</oddFooter>
      </headerFooter>
    </customSheetView>
  </customSheetViews>
  <phoneticPr fontId="0" type="noConversion"/>
  <printOptions horizontalCentered="1"/>
  <pageMargins left="0.35" right="0.35" top="0.35" bottom="0.35" header="0.15" footer="0.15"/>
  <pageSetup orientation="landscape" r:id="rId2"/>
  <headerFooter alignWithMargins="0"/>
  <rowBreaks count="1" manualBreakCount="1">
    <brk id="41" min="1" max="14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3">
    <tabColor indexed="43"/>
  </sheetPr>
  <dimension ref="A1:T256"/>
  <sheetViews>
    <sheetView showGridLines="0" zoomScale="115" zoomScaleNormal="115" zoomScaleSheetLayoutView="130" zoomScalePageLayoutView="75" workbookViewId="0">
      <selection activeCell="A143" sqref="A143"/>
    </sheetView>
  </sheetViews>
  <sheetFormatPr defaultColWidth="11.296875" defaultRowHeight="13"/>
  <cols>
    <col min="1" max="1" width="2.796875" style="4" customWidth="1"/>
    <col min="2" max="17" width="11.296875" style="3" customWidth="1"/>
    <col min="18" max="18" width="11.296875" style="4"/>
    <col min="19" max="19" width="17.69921875" style="4" bestFit="1" customWidth="1"/>
    <col min="20" max="16384" width="11.296875" style="4"/>
  </cols>
  <sheetData>
    <row r="1" spans="1:20">
      <c r="A1" s="229"/>
    </row>
    <row r="2" spans="1:20" ht="22.5">
      <c r="B2" s="61" t="str">
        <f>proj</f>
        <v>REIT Model</v>
      </c>
      <c r="C2" s="223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233" t="str">
        <f ca="1">IFERROR(IF(MAX(L118:Q118)&lt;F139,"","ERROR! REVOLVER BALANCE OVERDRAWN"),"")</f>
        <v/>
      </c>
      <c r="R2" s="6"/>
      <c r="S2" s="6"/>
      <c r="T2" s="6"/>
    </row>
    <row r="3" spans="1:20" s="183" customFormat="1" ht="20.149999999999999" customHeight="1">
      <c r="B3" s="215" t="str">
        <f>acq&amp;" - Projections"</f>
        <v>REIT Corporation - Projections</v>
      </c>
      <c r="C3" s="215"/>
      <c r="D3" s="221"/>
      <c r="E3" s="221"/>
      <c r="F3" s="221"/>
      <c r="G3" s="221"/>
      <c r="H3" s="221"/>
      <c r="I3" s="221"/>
      <c r="J3" s="221"/>
      <c r="K3" s="221"/>
      <c r="L3" s="221"/>
      <c r="M3" s="221"/>
      <c r="N3" s="221"/>
      <c r="O3" s="221"/>
      <c r="P3" s="222"/>
      <c r="Q3" s="222" t="str">
        <f>acname</f>
        <v>Wall street consensus</v>
      </c>
    </row>
    <row r="4" spans="1:20">
      <c r="B4" s="129" t="str">
        <f>'Spread Cover'!B4</f>
        <v>(Amounts in Millions, Except Per Share Data)</v>
      </c>
      <c r="C4" s="62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65"/>
      <c r="Q4" s="265" t="str">
        <f>"Source: "&amp;CHOOSE(acase,E222,E223,E224,E225,E226)</f>
        <v>Source: Research Provider</v>
      </c>
    </row>
    <row r="5" spans="1:20">
      <c r="B5" s="62"/>
      <c r="C5" s="62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4"/>
      <c r="Q5" s="4"/>
    </row>
    <row r="6" spans="1:20" ht="16" customHeight="1" thickBot="1">
      <c r="B6" s="239" t="s">
        <v>39</v>
      </c>
      <c r="C6" s="239"/>
      <c r="D6" s="240"/>
      <c r="E6" s="240"/>
      <c r="F6" s="240"/>
      <c r="G6" s="240"/>
      <c r="H6" s="240"/>
      <c r="I6" s="240"/>
      <c r="J6" s="240"/>
      <c r="K6" s="240"/>
      <c r="L6" s="240"/>
      <c r="M6" s="240"/>
      <c r="N6" s="240"/>
      <c r="O6" s="240"/>
      <c r="P6" s="241"/>
      <c r="Q6" s="241"/>
    </row>
    <row r="7" spans="1:20" ht="15" customHeight="1">
      <c r="B7" s="230" t="s">
        <v>396</v>
      </c>
      <c r="C7" s="230"/>
      <c r="D7" s="230"/>
      <c r="E7" s="230"/>
      <c r="F7" s="230"/>
      <c r="G7" s="230"/>
      <c r="H7" s="230"/>
      <c r="I7" s="259">
        <f>J7-1</f>
        <v>2016</v>
      </c>
      <c r="J7" s="259">
        <f>K7-1</f>
        <v>2017</v>
      </c>
      <c r="K7" s="283">
        <f>afy</f>
        <v>2018</v>
      </c>
      <c r="L7" s="284">
        <f>K7+1</f>
        <v>2019</v>
      </c>
      <c r="M7" s="260">
        <f>K7+2</f>
        <v>2020</v>
      </c>
      <c r="N7" s="260">
        <f>M7+1</f>
        <v>2021</v>
      </c>
      <c r="O7" s="260">
        <f>N7+1</f>
        <v>2022</v>
      </c>
      <c r="P7" s="260">
        <f>O7+1</f>
        <v>2023</v>
      </c>
      <c r="Q7" s="260">
        <f>P7+1</f>
        <v>2024</v>
      </c>
    </row>
    <row r="8" spans="1:20" ht="15" customHeight="1">
      <c r="B8" s="4" t="str">
        <f>'Income Statement'!B7</f>
        <v>Revenue</v>
      </c>
      <c r="C8" s="4"/>
      <c r="D8" s="4"/>
      <c r="E8" s="4"/>
      <c r="F8" s="4"/>
      <c r="G8" s="4"/>
      <c r="H8" s="4"/>
      <c r="I8" s="100">
        <f>'Income Statement'!G7</f>
        <v>2425.8000000000002</v>
      </c>
      <c r="J8" s="100">
        <f>'Income Statement'!H7</f>
        <v>2471.4059999999999</v>
      </c>
      <c r="K8" s="100">
        <f>'Income Statement'!I7</f>
        <v>2578.4340000000002</v>
      </c>
      <c r="L8" s="106">
        <f t="shared" ref="L8:Q8" si="0">K8*(1+L221)</f>
        <v>2677.23</v>
      </c>
      <c r="M8" s="106">
        <f t="shared" si="0"/>
        <v>2757.87</v>
      </c>
      <c r="N8" s="106">
        <f t="shared" si="0"/>
        <v>2800.64</v>
      </c>
      <c r="O8" s="106">
        <f t="shared" si="0"/>
        <v>2818.9299999999994</v>
      </c>
      <c r="P8" s="106">
        <f t="shared" si="0"/>
        <v>2837.339445591007</v>
      </c>
      <c r="Q8" s="106">
        <f t="shared" si="0"/>
        <v>2855.8691168303876</v>
      </c>
    </row>
    <row r="9" spans="1:20" ht="12.75" customHeight="1">
      <c r="B9" s="4" t="s">
        <v>213</v>
      </c>
      <c r="C9" s="4"/>
      <c r="D9" s="4"/>
      <c r="E9" s="4"/>
      <c r="F9" s="4"/>
      <c r="G9" s="4"/>
      <c r="H9" s="4"/>
      <c r="I9" s="100">
        <f>'Income Statement'!G44</f>
        <v>1569.7139999999999</v>
      </c>
      <c r="J9" s="100">
        <f>'Income Statement'!H44</f>
        <v>1625.6280000000002</v>
      </c>
      <c r="K9" s="100">
        <f>'Income Statement'!I44</f>
        <v>1720.576</v>
      </c>
      <c r="L9" s="54">
        <f t="shared" ref="L9:Q9" si="1">L8*(L235)</f>
        <v>1804.2845736711431</v>
      </c>
      <c r="M9" s="54">
        <f t="shared" si="1"/>
        <v>1845.798105617122</v>
      </c>
      <c r="N9" s="54">
        <f t="shared" si="1"/>
        <v>1843.6193087358981</v>
      </c>
      <c r="O9" s="54">
        <f t="shared" si="1"/>
        <v>1808.6406920776428</v>
      </c>
      <c r="P9" s="54">
        <f t="shared" si="1"/>
        <v>1820.452291661345</v>
      </c>
      <c r="Q9" s="54">
        <f t="shared" si="1"/>
        <v>1832.341028669488</v>
      </c>
      <c r="R9" s="321"/>
      <c r="S9" s="321"/>
      <c r="T9" s="321"/>
    </row>
    <row r="10" spans="1:20" ht="12.75" customHeight="1">
      <c r="B10" s="3" t="str">
        <f>'Income Statement'!B16</f>
        <v>Operating Income (EBIT)</v>
      </c>
      <c r="D10" s="268"/>
      <c r="F10" s="4"/>
      <c r="I10" s="100">
        <f>'Income Statement'!G45</f>
        <v>856.08600000000024</v>
      </c>
      <c r="J10" s="100">
        <f>'Income Statement'!H45</f>
        <v>849.16399999999976</v>
      </c>
      <c r="K10" s="100">
        <f>'Income Statement'!I45</f>
        <v>859.26200000000017</v>
      </c>
      <c r="L10" s="400">
        <f>L8-L9</f>
        <v>872.94542632885691</v>
      </c>
      <c r="M10" s="400">
        <f t="shared" ref="M10:Q10" si="2">M8-M9</f>
        <v>912.07189438287787</v>
      </c>
      <c r="N10" s="400">
        <f t="shared" si="2"/>
        <v>957.02069126410174</v>
      </c>
      <c r="O10" s="400">
        <f t="shared" si="2"/>
        <v>1010.2893079223566</v>
      </c>
      <c r="P10" s="400">
        <f t="shared" si="2"/>
        <v>1016.887153929662</v>
      </c>
      <c r="Q10" s="400">
        <f t="shared" si="2"/>
        <v>1023.5280881608996</v>
      </c>
    </row>
    <row r="11" spans="1:20" ht="12.75" customHeight="1">
      <c r="B11" s="3" t="str">
        <f>'Income Statement'!B17</f>
        <v>Interest Expense, Net</v>
      </c>
      <c r="D11" s="268"/>
      <c r="F11" s="4"/>
      <c r="I11" s="100">
        <f>'Income Statement'!G17</f>
        <v>-429.10599999999999</v>
      </c>
      <c r="J11" s="100">
        <f>'Income Statement'!H17</f>
        <v>-386.28</v>
      </c>
      <c r="K11" s="100">
        <f>'Income Statement'!I17</f>
        <v>-409.35300000000001</v>
      </c>
      <c r="L11" s="400">
        <f t="shared" ref="L11:Q11" ca="1" si="3">+-L145</f>
        <v>-365.40065604860933</v>
      </c>
      <c r="M11" s="400">
        <f t="shared" ca="1" si="3"/>
        <v>-363.01995757533803</v>
      </c>
      <c r="N11" s="400">
        <f t="shared" ca="1" si="3"/>
        <v>-360.57445045138405</v>
      </c>
      <c r="O11" s="400">
        <f t="shared" ca="1" si="3"/>
        <v>-358.03923036069079</v>
      </c>
      <c r="P11" s="400">
        <f t="shared" ca="1" si="3"/>
        <v>-355.54131177839082</v>
      </c>
      <c r="Q11" s="400">
        <f t="shared" ca="1" si="3"/>
        <v>-353.20102645203468</v>
      </c>
      <c r="R11" s="400"/>
    </row>
    <row r="12" spans="1:20" ht="12.75" customHeight="1">
      <c r="B12" s="3" t="str">
        <f>'Income Statement'!B18</f>
        <v>Other</v>
      </c>
      <c r="D12" s="268"/>
      <c r="F12" s="4"/>
      <c r="I12" s="100">
        <f>'Income Statement'!G46</f>
        <v>13.73700000000008</v>
      </c>
      <c r="J12" s="100">
        <f>'Income Statement'!H46</f>
        <v>16.667999999999978</v>
      </c>
      <c r="K12" s="100">
        <f>'Income Statement'!I46</f>
        <v>20.863</v>
      </c>
      <c r="L12" s="400">
        <f>K12</f>
        <v>20.863</v>
      </c>
      <c r="M12" s="400">
        <f t="shared" ref="M12:Q12" si="4">L12</f>
        <v>20.863</v>
      </c>
      <c r="N12" s="400">
        <f t="shared" si="4"/>
        <v>20.863</v>
      </c>
      <c r="O12" s="400">
        <f t="shared" si="4"/>
        <v>20.863</v>
      </c>
      <c r="P12" s="400">
        <f t="shared" si="4"/>
        <v>20.863</v>
      </c>
      <c r="Q12" s="400">
        <f t="shared" si="4"/>
        <v>20.863</v>
      </c>
    </row>
    <row r="13" spans="1:20" ht="12.75" customHeight="1">
      <c r="B13" s="3" t="str">
        <f>'Income Statement'!B19</f>
        <v>Pre-Tax Income</v>
      </c>
      <c r="D13" s="268"/>
      <c r="F13" s="4"/>
      <c r="I13" s="362">
        <f>SUM(I10:I12)</f>
        <v>440.71700000000033</v>
      </c>
      <c r="J13" s="363">
        <f t="shared" ref="J13:K13" si="5">SUM(J10:J12)</f>
        <v>479.55199999999979</v>
      </c>
      <c r="K13" s="364">
        <f t="shared" si="5"/>
        <v>470.77200000000016</v>
      </c>
      <c r="L13" s="364">
        <f t="shared" ref="L13" ca="1" si="6">SUM(L10:L12)</f>
        <v>528.40777028024763</v>
      </c>
      <c r="M13" s="364">
        <f t="shared" ref="M13" ca="1" si="7">SUM(M10:M12)</f>
        <v>569.91493680753979</v>
      </c>
      <c r="N13" s="364">
        <f t="shared" ref="N13" ca="1" si="8">SUM(N10:N12)</f>
        <v>617.30924081271769</v>
      </c>
      <c r="O13" s="364">
        <f t="shared" ref="O13" ca="1" si="9">SUM(O10:O12)</f>
        <v>673.1130775616657</v>
      </c>
      <c r="P13" s="364">
        <f t="shared" ref="P13" ca="1" si="10">SUM(P10:P12)</f>
        <v>682.20884215127126</v>
      </c>
      <c r="Q13" s="364">
        <f t="shared" ref="Q13" ca="1" si="11">SUM(Q10:Q12)</f>
        <v>691.19006170886496</v>
      </c>
    </row>
    <row r="14" spans="1:20" ht="12.75" customHeight="1">
      <c r="B14" s="3" t="str">
        <f>'Income Statement'!B20</f>
        <v>Income Taxes</v>
      </c>
      <c r="D14" s="268"/>
      <c r="F14" s="4"/>
      <c r="I14" s="100">
        <f>'Income Statement'!G20</f>
        <v>-1.613</v>
      </c>
      <c r="J14" s="100">
        <f>'Income Statement'!H20</f>
        <v>-0.47799999999999998</v>
      </c>
      <c r="K14" s="100">
        <f>'Income Statement'!I20</f>
        <v>-0.878</v>
      </c>
      <c r="L14" s="54">
        <f t="shared" ref="L14:Q14" ca="1" si="12">-L13*L27</f>
        <v>-1.0568155405604953</v>
      </c>
      <c r="M14" s="54">
        <f t="shared" ca="1" si="12"/>
        <v>-1.1398298736150796</v>
      </c>
      <c r="N14" s="54">
        <f t="shared" ca="1" si="12"/>
        <v>-1.2346184816254353</v>
      </c>
      <c r="O14" s="54">
        <f t="shared" ca="1" si="12"/>
        <v>-1.3462261551233314</v>
      </c>
      <c r="P14" s="54">
        <f t="shared" ca="1" si="12"/>
        <v>-1.3644176843025426</v>
      </c>
      <c r="Q14" s="54">
        <f t="shared" ca="1" si="12"/>
        <v>-1.38238012341773</v>
      </c>
    </row>
    <row r="15" spans="1:20" ht="12.75" customHeight="1">
      <c r="B15" s="3" t="str">
        <f>'Income Statement'!B21</f>
        <v>Net Income</v>
      </c>
      <c r="D15" s="268"/>
      <c r="F15" s="4"/>
      <c r="I15" s="362">
        <f>I13+I14</f>
        <v>439.10400000000033</v>
      </c>
      <c r="J15" s="363">
        <f t="shared" ref="J15:K15" si="13">J13+J14</f>
        <v>479.07399999999978</v>
      </c>
      <c r="K15" s="364">
        <f t="shared" si="13"/>
        <v>469.89400000000018</v>
      </c>
      <c r="L15" s="364">
        <f t="shared" ref="L15" ca="1" si="14">L13+L14</f>
        <v>527.35095473968715</v>
      </c>
      <c r="M15" s="364">
        <f t="shared" ref="M15" ca="1" si="15">M13+M14</f>
        <v>568.77510693392469</v>
      </c>
      <c r="N15" s="364">
        <f t="shared" ref="N15" ca="1" si="16">N13+N14</f>
        <v>616.0746223310922</v>
      </c>
      <c r="O15" s="364">
        <f t="shared" ref="O15" ca="1" si="17">O13+O14</f>
        <v>671.7668514065424</v>
      </c>
      <c r="P15" s="364">
        <f t="shared" ref="P15" ca="1" si="18">P13+P14</f>
        <v>680.84442446696869</v>
      </c>
      <c r="Q15" s="364">
        <f t="shared" ref="Q15" ca="1" si="19">Q13+Q14</f>
        <v>689.8076815854472</v>
      </c>
    </row>
    <row r="16" spans="1:20" ht="12.75" customHeight="1">
      <c r="B16" s="3" t="str">
        <f>'Income Statement'!B22</f>
        <v>Non-Controlling Interests</v>
      </c>
      <c r="D16" s="268"/>
      <c r="F16" s="4"/>
      <c r="I16" s="100">
        <f>'Income Statement'!G22</f>
        <v>-16.43</v>
      </c>
      <c r="J16" s="100">
        <f>'Income Statement'!H22</f>
        <v>-2.323</v>
      </c>
      <c r="K16" s="100">
        <f>'Income Statement'!I22</f>
        <v>-2.718</v>
      </c>
      <c r="L16" s="54">
        <f ca="1">$K$16/$K$15*L15</f>
        <v>-3.0503473016945719</v>
      </c>
      <c r="M16" s="54">
        <f t="shared" ref="M16:Q16" ca="1" si="20">$K$16/$K$15*M15</f>
        <v>-3.2899563319523271</v>
      </c>
      <c r="N16" s="54">
        <f t="shared" ca="1" si="20"/>
        <v>-3.563550127254036</v>
      </c>
      <c r="O16" s="54">
        <f t="shared" ca="1" si="20"/>
        <v>-3.8856897558236145</v>
      </c>
      <c r="P16" s="54">
        <f t="shared" ca="1" si="20"/>
        <v>-3.9381970097537322</v>
      </c>
      <c r="Q16" s="54">
        <f t="shared" ca="1" si="20"/>
        <v>-3.9900430278940457</v>
      </c>
    </row>
    <row r="17" spans="2:17" ht="12.75" customHeight="1">
      <c r="B17" s="3" t="str">
        <f>'Income Statement'!B23</f>
        <v>Preferred Units</v>
      </c>
      <c r="D17" s="268"/>
      <c r="F17" s="4"/>
      <c r="I17" s="100">
        <f>'Income Statement'!G23</f>
        <v>-3.0910000000000002</v>
      </c>
      <c r="J17" s="100">
        <f>'Income Statement'!H23</f>
        <v>-3.0910000000000002</v>
      </c>
      <c r="K17" s="100">
        <f>'Income Statement'!I23</f>
        <v>-3.09</v>
      </c>
      <c r="L17" s="54">
        <f>K17</f>
        <v>-3.09</v>
      </c>
      <c r="M17" s="54">
        <f t="shared" ref="M17:Q17" si="21">L17</f>
        <v>-3.09</v>
      </c>
      <c r="N17" s="54">
        <f t="shared" si="21"/>
        <v>-3.09</v>
      </c>
      <c r="O17" s="54">
        <f t="shared" si="21"/>
        <v>-3.09</v>
      </c>
      <c r="P17" s="54">
        <f t="shared" si="21"/>
        <v>-3.09</v>
      </c>
      <c r="Q17" s="54">
        <f t="shared" si="21"/>
        <v>-3.09</v>
      </c>
    </row>
    <row r="18" spans="2:17" ht="12.75" customHeight="1">
      <c r="B18" s="3" t="str">
        <f>'Income Statement'!B24</f>
        <v>Net Income to Common</v>
      </c>
      <c r="D18" s="268"/>
      <c r="F18" s="4"/>
      <c r="I18" s="362">
        <f>SUM(I15:I17)</f>
        <v>419.58300000000031</v>
      </c>
      <c r="J18" s="363">
        <f t="shared" ref="J18:K18" si="22">SUM(J15:J17)</f>
        <v>473.6599999999998</v>
      </c>
      <c r="K18" s="364">
        <f t="shared" si="22"/>
        <v>464.08600000000018</v>
      </c>
      <c r="L18" s="364">
        <f t="shared" ref="L18" ca="1" si="23">SUM(L15:L17)</f>
        <v>521.21060743799251</v>
      </c>
      <c r="M18" s="364">
        <f t="shared" ref="M18" ca="1" si="24">SUM(M15:M17)</f>
        <v>562.39515060197232</v>
      </c>
      <c r="N18" s="364">
        <f t="shared" ref="N18" ca="1" si="25">SUM(N15:N17)</f>
        <v>609.42107220383809</v>
      </c>
      <c r="O18" s="364">
        <f t="shared" ref="O18" ca="1" si="26">SUM(O15:O17)</f>
        <v>664.79116165071878</v>
      </c>
      <c r="P18" s="364">
        <f t="shared" ref="P18" ca="1" si="27">SUM(P15:P17)</f>
        <v>673.81622745721495</v>
      </c>
      <c r="Q18" s="364">
        <f t="shared" ref="Q18" ca="1" si="28">SUM(Q15:Q17)</f>
        <v>682.72763855755318</v>
      </c>
    </row>
    <row r="19" spans="2:17" ht="12.75" customHeight="1">
      <c r="B19" s="3" t="s">
        <v>70</v>
      </c>
      <c r="I19" s="100">
        <f>'Income Statement'!G25</f>
        <v>381.99200000000002</v>
      </c>
      <c r="J19" s="100">
        <f>'Income Statement'!H25</f>
        <v>382.678</v>
      </c>
      <c r="K19" s="100">
        <f>'Income Statement'!I25</f>
        <v>383.69499999999999</v>
      </c>
      <c r="L19" s="54">
        <f>+L185</f>
        <v>385.54411764705878</v>
      </c>
      <c r="M19" s="54">
        <f t="shared" ref="M19:Q19" si="29">+M185</f>
        <v>384.69943820224717</v>
      </c>
      <c r="N19" s="54">
        <f t="shared" si="29"/>
        <v>386.9430894308943</v>
      </c>
      <c r="O19" s="54">
        <f t="shared" si="29"/>
        <v>389.19982612402606</v>
      </c>
      <c r="P19" s="54">
        <f t="shared" si="29"/>
        <v>389.19982612402606</v>
      </c>
      <c r="Q19" s="54">
        <f t="shared" si="29"/>
        <v>389.19982612402606</v>
      </c>
    </row>
    <row r="20" spans="2:17" ht="12.75" customHeight="1">
      <c r="B20" s="3" t="s">
        <v>110</v>
      </c>
      <c r="I20" s="413">
        <f>+I18/I19</f>
        <v>1.0984078200590597</v>
      </c>
      <c r="J20" s="413">
        <f t="shared" ref="J20:K20" si="30">+J18/J19</f>
        <v>1.2377507983213036</v>
      </c>
      <c r="K20" s="413">
        <f t="shared" si="30"/>
        <v>1.2095179765178077</v>
      </c>
      <c r="L20" s="413">
        <f ca="1">L18/L19</f>
        <v>1.3518831790740167</v>
      </c>
      <c r="M20" s="413">
        <f t="shared" ref="M20:Q20" ca="1" si="31">M18/M19</f>
        <v>1.4619079071966452</v>
      </c>
      <c r="N20" s="413">
        <f t="shared" ca="1" si="31"/>
        <v>1.5749630600721118</v>
      </c>
      <c r="O20" s="413">
        <f t="shared" ca="1" si="31"/>
        <v>1.7080972729902253</v>
      </c>
      <c r="P20" s="413">
        <f t="shared" ca="1" si="31"/>
        <v>1.7312860444148563</v>
      </c>
      <c r="Q20" s="413">
        <f t="shared" ca="1" si="31"/>
        <v>1.7541827943674075</v>
      </c>
    </row>
    <row r="21" spans="2:17" ht="12.75" customHeight="1">
      <c r="B21" s="142"/>
      <c r="C21" s="142"/>
      <c r="D21" s="142"/>
      <c r="E21" s="142"/>
      <c r="F21" s="142"/>
      <c r="G21" s="142"/>
      <c r="H21" s="142"/>
      <c r="I21" s="280"/>
      <c r="J21" s="280"/>
      <c r="K21" s="280"/>
      <c r="L21" s="322"/>
      <c r="M21" s="280"/>
      <c r="N21" s="280"/>
      <c r="O21" s="280"/>
      <c r="P21" s="280"/>
      <c r="Q21" s="280"/>
    </row>
    <row r="22" spans="2:17" ht="12.75" customHeight="1">
      <c r="B22" s="3" t="s">
        <v>290</v>
      </c>
      <c r="I22" s="401">
        <f>'Income Statement'!G28</f>
        <v>78948</v>
      </c>
      <c r="J22" s="401">
        <f>'Income Statement'!H28</f>
        <v>79201</v>
      </c>
      <c r="K22" s="401">
        <f>'Income Statement'!I28</f>
        <v>79482</v>
      </c>
      <c r="L22" s="404">
        <f>L8/L23*1000000</f>
        <v>80123.742324789258</v>
      </c>
      <c r="M22" s="404">
        <f t="shared" ref="M22:Q22" si="32">M8/M23*1000000</f>
        <v>80133.130372240106</v>
      </c>
      <c r="N22" s="404">
        <f t="shared" si="32"/>
        <v>79005.691864743421</v>
      </c>
      <c r="O22" s="404">
        <f t="shared" si="32"/>
        <v>77205.485822478135</v>
      </c>
      <c r="P22" s="404">
        <f t="shared" si="32"/>
        <v>75446.298872864529</v>
      </c>
      <c r="Q22" s="404">
        <f t="shared" si="32"/>
        <v>73727.196364022471</v>
      </c>
    </row>
    <row r="23" spans="2:17" ht="12.75" customHeight="1">
      <c r="B23" s="3" t="s">
        <v>306</v>
      </c>
      <c r="I23" s="406">
        <f>I8/I22*1000000</f>
        <v>30726.5541875665</v>
      </c>
      <c r="J23" s="406">
        <f t="shared" ref="J23:K23" si="33">J8/J22*1000000</f>
        <v>31204.227219353292</v>
      </c>
      <c r="K23" s="406">
        <f t="shared" si="33"/>
        <v>32440.477089152264</v>
      </c>
      <c r="L23" s="407">
        <f t="shared" ref="L23:Q23" si="34">K23*(1+L48)</f>
        <v>33413.691401826836</v>
      </c>
      <c r="M23" s="407">
        <f t="shared" si="34"/>
        <v>34416.102143881639</v>
      </c>
      <c r="N23" s="407">
        <f t="shared" si="34"/>
        <v>35448.585208198092</v>
      </c>
      <c r="O23" s="407">
        <f t="shared" si="34"/>
        <v>36512.042764444035</v>
      </c>
      <c r="P23" s="407">
        <f t="shared" si="34"/>
        <v>37607.404047377357</v>
      </c>
      <c r="Q23" s="407">
        <f t="shared" si="34"/>
        <v>38735.626168798677</v>
      </c>
    </row>
    <row r="24" spans="2:17" ht="12.75" customHeight="1">
      <c r="B24" s="3" t="s">
        <v>289</v>
      </c>
      <c r="I24" s="402">
        <f>'Income Statement'!G29</f>
        <v>0.95299999999999996</v>
      </c>
      <c r="J24" s="402">
        <f>'Income Statement'!H29</f>
        <v>0.95699999999999996</v>
      </c>
      <c r="K24" s="402">
        <f>'Income Statement'!I29</f>
        <v>0.95899999999999996</v>
      </c>
      <c r="L24" s="405">
        <f>K24</f>
        <v>0.95899999999999996</v>
      </c>
      <c r="M24" s="405">
        <f t="shared" ref="M24:Q24" si="35">L24</f>
        <v>0.95899999999999996</v>
      </c>
      <c r="N24" s="405">
        <f t="shared" si="35"/>
        <v>0.95899999999999996</v>
      </c>
      <c r="O24" s="405">
        <f t="shared" si="35"/>
        <v>0.95899999999999996</v>
      </c>
      <c r="P24" s="405">
        <f t="shared" si="35"/>
        <v>0.95899999999999996</v>
      </c>
      <c r="Q24" s="405">
        <f t="shared" si="35"/>
        <v>0.95899999999999996</v>
      </c>
    </row>
    <row r="25" spans="2:17" ht="12.75" customHeight="1">
      <c r="I25" s="281"/>
      <c r="J25" s="281"/>
      <c r="K25" s="281"/>
      <c r="L25" s="267"/>
      <c r="M25" s="267"/>
      <c r="N25" s="267"/>
      <c r="O25" s="267"/>
      <c r="P25" s="267"/>
      <c r="Q25" s="267"/>
    </row>
    <row r="26" spans="2:17" ht="12.75" customHeight="1">
      <c r="B26" s="99" t="s">
        <v>184</v>
      </c>
      <c r="C26" s="99"/>
    </row>
    <row r="27" spans="2:17" ht="12.75" customHeight="1">
      <c r="B27" s="3" t="s">
        <v>185</v>
      </c>
      <c r="I27" s="140">
        <f>-I14/I13</f>
        <v>3.6599450440985911E-3</v>
      </c>
      <c r="J27" s="140">
        <f>-J14/J13</f>
        <v>9.9676364606966533E-4</v>
      </c>
      <c r="K27" s="140">
        <f>-K14/K13</f>
        <v>1.8650217090226261E-3</v>
      </c>
      <c r="L27" s="247">
        <f>atax</f>
        <v>2E-3</v>
      </c>
      <c r="M27" s="140">
        <f>+L27</f>
        <v>2E-3</v>
      </c>
      <c r="N27" s="140">
        <f>+M27</f>
        <v>2E-3</v>
      </c>
      <c r="O27" s="140">
        <f>+N27</f>
        <v>2E-3</v>
      </c>
      <c r="P27" s="140">
        <f>+O27</f>
        <v>2E-3</v>
      </c>
      <c r="Q27" s="140">
        <f>+P27</f>
        <v>2E-3</v>
      </c>
    </row>
    <row r="28" spans="2:17" ht="12.75" customHeight="1">
      <c r="I28" s="323"/>
      <c r="J28" s="323"/>
      <c r="K28" s="323"/>
      <c r="L28" s="267"/>
      <c r="M28" s="243"/>
      <c r="N28" s="243"/>
      <c r="O28" s="243"/>
      <c r="P28" s="243"/>
      <c r="Q28" s="243"/>
    </row>
    <row r="29" spans="2:17" ht="12.75" customHeight="1">
      <c r="B29" s="99" t="s">
        <v>321</v>
      </c>
      <c r="I29" s="323"/>
      <c r="J29" s="323"/>
      <c r="K29" s="323"/>
      <c r="L29" s="267"/>
      <c r="M29" s="243"/>
      <c r="N29" s="243"/>
      <c r="O29" s="243"/>
      <c r="P29" s="243"/>
      <c r="Q29" s="243"/>
    </row>
    <row r="30" spans="2:17" ht="12.75" customHeight="1">
      <c r="B30" s="3" t="str">
        <f>+B18</f>
        <v>Net Income to Common</v>
      </c>
      <c r="I30" s="106">
        <f>+I18</f>
        <v>419.58300000000031</v>
      </c>
      <c r="J30" s="106">
        <f t="shared" ref="J30:Q30" si="36">+J18</f>
        <v>473.6599999999998</v>
      </c>
      <c r="K30" s="106">
        <f t="shared" si="36"/>
        <v>464.08600000000018</v>
      </c>
      <c r="L30" s="106">
        <f t="shared" ca="1" si="36"/>
        <v>521.21060743799251</v>
      </c>
      <c r="M30" s="106">
        <f t="shared" ca="1" si="36"/>
        <v>562.39515060197232</v>
      </c>
      <c r="N30" s="106">
        <f t="shared" ca="1" si="36"/>
        <v>609.42107220383809</v>
      </c>
      <c r="O30" s="106">
        <f t="shared" ca="1" si="36"/>
        <v>664.79116165071878</v>
      </c>
      <c r="P30" s="106">
        <f t="shared" ca="1" si="36"/>
        <v>673.81622745721495</v>
      </c>
      <c r="Q30" s="106">
        <f t="shared" ca="1" si="36"/>
        <v>682.72763855755318</v>
      </c>
    </row>
    <row r="31" spans="2:17" ht="12.75" customHeight="1">
      <c r="B31" s="3" t="str">
        <f>+B37</f>
        <v>Depreciation and Amortization</v>
      </c>
      <c r="I31" s="54">
        <f>+I37</f>
        <v>745.40200000000004</v>
      </c>
      <c r="J31" s="54">
        <f t="shared" ref="J31:Q31" si="37">+J37</f>
        <v>778.48599999999999</v>
      </c>
      <c r="K31" s="54">
        <f t="shared" si="37"/>
        <v>842.64800000000002</v>
      </c>
      <c r="L31" s="54">
        <f t="shared" si="37"/>
        <v>789.64</v>
      </c>
      <c r="M31" s="54">
        <f t="shared" si="37"/>
        <v>807.06000000000006</v>
      </c>
      <c r="N31" s="54">
        <f t="shared" si="37"/>
        <v>818.08</v>
      </c>
      <c r="O31" s="54">
        <f t="shared" si="37"/>
        <v>823.42259426416808</v>
      </c>
      <c r="P31" s="54">
        <f t="shared" si="37"/>
        <v>828.80007914229998</v>
      </c>
      <c r="Q31" s="54">
        <f t="shared" si="37"/>
        <v>834.21268249278864</v>
      </c>
    </row>
    <row r="32" spans="2:17" ht="12.75" customHeight="1">
      <c r="B32" s="3" t="s">
        <v>319</v>
      </c>
      <c r="I32" s="367">
        <f>+SUM(I30:I31)</f>
        <v>1164.9850000000004</v>
      </c>
      <c r="J32" s="368">
        <f t="shared" ref="J32:Q32" si="38">+SUM(J30:J31)</f>
        <v>1252.1459999999997</v>
      </c>
      <c r="K32" s="368">
        <f t="shared" si="38"/>
        <v>1306.7340000000002</v>
      </c>
      <c r="L32" s="368">
        <f t="shared" ca="1" si="38"/>
        <v>1310.8506074379925</v>
      </c>
      <c r="M32" s="368">
        <f t="shared" ca="1" si="38"/>
        <v>1369.4551506019725</v>
      </c>
      <c r="N32" s="368">
        <f t="shared" ca="1" si="38"/>
        <v>1427.5010722038382</v>
      </c>
      <c r="O32" s="368">
        <f t="shared" ca="1" si="38"/>
        <v>1488.2137559148869</v>
      </c>
      <c r="P32" s="368">
        <f t="shared" ca="1" si="38"/>
        <v>1502.6163065995149</v>
      </c>
      <c r="Q32" s="395">
        <f t="shared" ca="1" si="38"/>
        <v>1516.9403210503419</v>
      </c>
    </row>
    <row r="33" spans="2:17" ht="12.75" customHeight="1">
      <c r="B33" s="142" t="s">
        <v>322</v>
      </c>
      <c r="C33" s="142"/>
      <c r="D33" s="142"/>
      <c r="E33" s="142"/>
      <c r="F33" s="142"/>
      <c r="G33" s="142"/>
      <c r="H33" s="142"/>
      <c r="I33" s="280">
        <f>+I32/I19</f>
        <v>3.0497628222580584</v>
      </c>
      <c r="J33" s="280">
        <f t="shared" ref="J33:Q33" si="39">+J32/J19</f>
        <v>3.2720616288367759</v>
      </c>
      <c r="K33" s="280">
        <f t="shared" si="39"/>
        <v>3.4056581399288501</v>
      </c>
      <c r="L33" s="280">
        <f t="shared" ca="1" si="39"/>
        <v>3.4000015755343287</v>
      </c>
      <c r="M33" s="280">
        <f t="shared" ca="1" si="39"/>
        <v>3.5598054340854324</v>
      </c>
      <c r="N33" s="280">
        <f t="shared" ca="1" si="39"/>
        <v>3.6891757759606696</v>
      </c>
      <c r="O33" s="280">
        <f t="shared" ca="1" si="39"/>
        <v>3.8237780595529833</v>
      </c>
      <c r="P33" s="280">
        <f t="shared" ca="1" si="39"/>
        <v>3.8607836019964643</v>
      </c>
      <c r="Q33" s="280">
        <f t="shared" ca="1" si="39"/>
        <v>3.8975873554654146</v>
      </c>
    </row>
    <row r="34" spans="2:17" ht="12.75" customHeight="1">
      <c r="I34" s="323"/>
      <c r="J34" s="323"/>
      <c r="K34" s="323"/>
      <c r="L34" s="267"/>
      <c r="M34" s="243"/>
      <c r="N34" s="243"/>
      <c r="O34" s="243"/>
      <c r="P34" s="243"/>
      <c r="Q34" s="243"/>
    </row>
    <row r="35" spans="2:17" ht="12.75" customHeight="1">
      <c r="B35" s="99" t="s">
        <v>14</v>
      </c>
      <c r="C35" s="99"/>
      <c r="L35" s="9"/>
    </row>
    <row r="36" spans="2:17" ht="12.75" customHeight="1">
      <c r="B36" s="3" t="s">
        <v>223</v>
      </c>
      <c r="I36" s="111">
        <f t="shared" ref="I36:Q36" si="40">I10</f>
        <v>856.08600000000024</v>
      </c>
      <c r="J36" s="111">
        <f t="shared" si="40"/>
        <v>849.16399999999976</v>
      </c>
      <c r="K36" s="111">
        <f t="shared" si="40"/>
        <v>859.26200000000017</v>
      </c>
      <c r="L36" s="244">
        <f t="shared" si="40"/>
        <v>872.94542632885691</v>
      </c>
      <c r="M36" s="111">
        <f t="shared" si="40"/>
        <v>912.07189438287787</v>
      </c>
      <c r="N36" s="111">
        <f t="shared" si="40"/>
        <v>957.02069126410174</v>
      </c>
      <c r="O36" s="111">
        <f t="shared" si="40"/>
        <v>1010.2893079223566</v>
      </c>
      <c r="P36" s="111">
        <f t="shared" si="40"/>
        <v>1016.887153929662</v>
      </c>
      <c r="Q36" s="111">
        <f t="shared" si="40"/>
        <v>1023.5280881608996</v>
      </c>
    </row>
    <row r="37" spans="2:17" ht="12.75" customHeight="1">
      <c r="B37" s="3" t="s">
        <v>15</v>
      </c>
      <c r="I37" s="103">
        <f>'Income Statement'!G33</f>
        <v>745.40200000000004</v>
      </c>
      <c r="J37" s="103">
        <f>'Income Statement'!H33</f>
        <v>778.48599999999999</v>
      </c>
      <c r="K37" s="103">
        <f>'Income Statement'!I33</f>
        <v>842.64800000000002</v>
      </c>
      <c r="L37" s="234">
        <f t="shared" ref="L37:Q37" si="41">L84+L85</f>
        <v>789.64</v>
      </c>
      <c r="M37" s="179">
        <f t="shared" si="41"/>
        <v>807.06000000000006</v>
      </c>
      <c r="N37" s="179">
        <f t="shared" si="41"/>
        <v>818.08</v>
      </c>
      <c r="O37" s="179">
        <f t="shared" si="41"/>
        <v>823.42259426416808</v>
      </c>
      <c r="P37" s="179">
        <f t="shared" si="41"/>
        <v>828.80007914229998</v>
      </c>
      <c r="Q37" s="179">
        <f t="shared" si="41"/>
        <v>834.21268249278864</v>
      </c>
    </row>
    <row r="38" spans="2:17" ht="12.75" customHeight="1">
      <c r="B38" s="3" t="s">
        <v>9</v>
      </c>
      <c r="I38" s="248">
        <f>SUM(I36:I37)</f>
        <v>1601.4880000000003</v>
      </c>
      <c r="J38" s="248">
        <f t="shared" ref="J38:Q38" si="42">SUM(J36:J37)</f>
        <v>1627.6499999999996</v>
      </c>
      <c r="K38" s="248">
        <f t="shared" si="42"/>
        <v>1701.9100000000003</v>
      </c>
      <c r="L38" s="248">
        <f t="shared" si="42"/>
        <v>1662.585426328857</v>
      </c>
      <c r="M38" s="248">
        <f t="shared" si="42"/>
        <v>1719.1318943828778</v>
      </c>
      <c r="N38" s="248">
        <f t="shared" si="42"/>
        <v>1775.1006912641019</v>
      </c>
      <c r="O38" s="248">
        <f t="shared" si="42"/>
        <v>1833.7119021865246</v>
      </c>
      <c r="P38" s="248">
        <f t="shared" si="42"/>
        <v>1845.6872330719621</v>
      </c>
      <c r="Q38" s="248">
        <f t="shared" si="42"/>
        <v>1857.7407706536883</v>
      </c>
    </row>
    <row r="39" spans="2:17" ht="12.75" customHeight="1">
      <c r="G39" s="202"/>
      <c r="H39" s="202"/>
      <c r="I39" s="111"/>
      <c r="J39" s="111"/>
      <c r="K39" s="111"/>
      <c r="L39" s="244"/>
      <c r="M39" s="111"/>
      <c r="N39" s="111"/>
      <c r="O39" s="111"/>
      <c r="P39" s="111"/>
      <c r="Q39" s="111"/>
    </row>
    <row r="40" spans="2:17" ht="12.75" customHeight="1">
      <c r="B40" s="99" t="s">
        <v>65</v>
      </c>
      <c r="C40" s="99"/>
    </row>
    <row r="41" spans="2:17" ht="12.75" customHeight="1">
      <c r="B41" s="3" t="s">
        <v>213</v>
      </c>
      <c r="I41" s="140">
        <f>I9/I$8</f>
        <v>0.64709126885975754</v>
      </c>
      <c r="J41" s="140">
        <f>J9/J$8</f>
        <v>0.65777456233415321</v>
      </c>
      <c r="K41" s="140">
        <f>K9/K$8</f>
        <v>0.66729495499981772</v>
      </c>
      <c r="L41" s="140">
        <f>K41</f>
        <v>0.66729495499981772</v>
      </c>
      <c r="M41" s="140">
        <f>M9/M$8</f>
        <v>0.66928394217897225</v>
      </c>
      <c r="N41" s="140">
        <f>N9/N$8</f>
        <v>0.65828500226230369</v>
      </c>
      <c r="O41" s="140">
        <f>O9/O$8</f>
        <v>0.64160539356338864</v>
      </c>
      <c r="P41" s="140">
        <f>P9/P$8</f>
        <v>0.64160539356338864</v>
      </c>
      <c r="Q41" s="140">
        <f>Q9/Q$8</f>
        <v>0.64160539356338864</v>
      </c>
    </row>
    <row r="42" spans="2:17" ht="12.75" customHeight="1">
      <c r="B42" s="3" t="s">
        <v>9</v>
      </c>
      <c r="I42" s="140">
        <f t="shared" ref="I42:Q42" si="43">I38/I8</f>
        <v>0.66018962816390481</v>
      </c>
      <c r="J42" s="140">
        <f t="shared" si="43"/>
        <v>0.65859272009536263</v>
      </c>
      <c r="K42" s="140">
        <f t="shared" si="43"/>
        <v>0.66005567720562175</v>
      </c>
      <c r="L42" s="140">
        <f t="shared" si="43"/>
        <v>0.62100956075079727</v>
      </c>
      <c r="M42" s="140">
        <f t="shared" si="43"/>
        <v>0.62335494217743326</v>
      </c>
      <c r="N42" s="140">
        <f t="shared" si="43"/>
        <v>0.63381965952928687</v>
      </c>
      <c r="O42" s="140">
        <f t="shared" si="43"/>
        <v>0.65049926822820181</v>
      </c>
      <c r="P42" s="140">
        <f t="shared" si="43"/>
        <v>0.65049926822820192</v>
      </c>
      <c r="Q42" s="140">
        <f t="shared" si="43"/>
        <v>0.65049926822820192</v>
      </c>
    </row>
    <row r="43" spans="2:17" ht="12.75" customHeight="1">
      <c r="B43" s="3" t="s">
        <v>223</v>
      </c>
      <c r="I43" s="140">
        <f t="shared" ref="I43:Q43" si="44">I10/I8</f>
        <v>0.35290873114024246</v>
      </c>
      <c r="J43" s="140">
        <f t="shared" si="44"/>
        <v>0.34359550798209593</v>
      </c>
      <c r="K43" s="140">
        <f t="shared" si="44"/>
        <v>0.33324956155557989</v>
      </c>
      <c r="L43" s="140">
        <f t="shared" si="44"/>
        <v>0.32606291813884386</v>
      </c>
      <c r="M43" s="140">
        <f t="shared" si="44"/>
        <v>0.33071605782102781</v>
      </c>
      <c r="N43" s="140">
        <f t="shared" si="44"/>
        <v>0.34171499773769631</v>
      </c>
      <c r="O43" s="140">
        <f t="shared" si="44"/>
        <v>0.35839460643661131</v>
      </c>
      <c r="P43" s="140">
        <f t="shared" si="44"/>
        <v>0.35839460643661136</v>
      </c>
      <c r="Q43" s="140">
        <f t="shared" si="44"/>
        <v>0.35839460643661136</v>
      </c>
    </row>
    <row r="44" spans="2:17" ht="12.75" customHeight="1">
      <c r="B44" s="3" t="s">
        <v>10</v>
      </c>
      <c r="I44" s="140">
        <f t="shared" ref="I44:Q44" si="45">I15/I8</f>
        <v>0.18101409844175129</v>
      </c>
      <c r="J44" s="140">
        <f t="shared" si="45"/>
        <v>0.19384674149047132</v>
      </c>
      <c r="K44" s="140">
        <f t="shared" si="45"/>
        <v>0.18224007285042013</v>
      </c>
      <c r="L44" s="140">
        <f t="shared" ca="1" si="45"/>
        <v>0.19697633551831079</v>
      </c>
      <c r="M44" s="140">
        <f t="shared" ca="1" si="45"/>
        <v>0.20623709853398628</v>
      </c>
      <c r="N44" s="140">
        <f t="shared" ca="1" si="45"/>
        <v>0.21997637051927138</v>
      </c>
      <c r="O44" s="140">
        <f t="shared" ca="1" si="45"/>
        <v>0.23830561645962919</v>
      </c>
      <c r="P44" s="140">
        <f t="shared" ca="1" si="45"/>
        <v>0.23995874921661034</v>
      </c>
      <c r="Q44" s="140">
        <f t="shared" ca="1" si="45"/>
        <v>0.24154036945188739</v>
      </c>
    </row>
    <row r="45" spans="2:17" ht="12.75" customHeight="1">
      <c r="I45" s="140"/>
      <c r="J45" s="140"/>
      <c r="K45" s="140"/>
      <c r="L45" s="140"/>
      <c r="M45" s="140"/>
      <c r="N45" s="140"/>
      <c r="O45" s="140"/>
      <c r="P45" s="140"/>
      <c r="Q45" s="140"/>
    </row>
    <row r="46" spans="2:17" ht="12.75" customHeight="1">
      <c r="B46" s="99" t="s">
        <v>16</v>
      </c>
      <c r="C46" s="99"/>
      <c r="I46" s="232"/>
      <c r="J46" s="232"/>
      <c r="K46" s="232"/>
      <c r="L46" s="232"/>
      <c r="M46" s="232"/>
      <c r="N46" s="232"/>
      <c r="O46" s="232"/>
      <c r="P46" s="232"/>
      <c r="Q46" s="232"/>
    </row>
    <row r="47" spans="2:17" ht="12.75" customHeight="1">
      <c r="B47" s="3" t="str">
        <f>B22</f>
        <v>Number of Apartments</v>
      </c>
      <c r="C47" s="99"/>
      <c r="I47" s="101">
        <v>0</v>
      </c>
      <c r="J47" s="232">
        <f t="shared" ref="J47:Q47" si="46">J22/I22-1</f>
        <v>3.2046410295383243E-3</v>
      </c>
      <c r="K47" s="232">
        <f t="shared" si="46"/>
        <v>3.5479350008207344E-3</v>
      </c>
      <c r="L47" s="232">
        <f t="shared" si="46"/>
        <v>8.0740585892309369E-3</v>
      </c>
      <c r="M47" s="232">
        <f t="shared" si="46"/>
        <v>1.1716935802619233E-4</v>
      </c>
      <c r="N47" s="232">
        <f t="shared" si="46"/>
        <v>-1.4069567758796198E-2</v>
      </c>
      <c r="O47" s="232">
        <f t="shared" si="46"/>
        <v>-2.2785776565911409E-2</v>
      </c>
      <c r="P47" s="232">
        <f t="shared" si="46"/>
        <v>-2.2785776565911076E-2</v>
      </c>
      <c r="Q47" s="232">
        <f t="shared" si="46"/>
        <v>-2.2785776565911298E-2</v>
      </c>
    </row>
    <row r="48" spans="2:17" ht="12.75" customHeight="1">
      <c r="B48" s="3" t="str">
        <f>B23</f>
        <v>Revenue per Apartment ($s)</v>
      </c>
      <c r="C48" s="99"/>
      <c r="I48" s="101">
        <v>0</v>
      </c>
      <c r="J48" s="232">
        <f>J23/I23-1</f>
        <v>1.5545935573214376E-2</v>
      </c>
      <c r="K48" s="232">
        <f>K23/J23-1</f>
        <v>3.961802550368021E-2</v>
      </c>
      <c r="L48" s="403">
        <v>0.03</v>
      </c>
      <c r="M48" s="403">
        <v>0.03</v>
      </c>
      <c r="N48" s="403">
        <v>0.03</v>
      </c>
      <c r="O48" s="403">
        <v>0.03</v>
      </c>
      <c r="P48" s="403">
        <v>0.03</v>
      </c>
      <c r="Q48" s="403">
        <v>0.03</v>
      </c>
    </row>
    <row r="49" spans="2:17" s="167" customFormat="1" ht="12.75" customHeight="1">
      <c r="B49" s="3" t="s">
        <v>282</v>
      </c>
      <c r="C49" s="3"/>
      <c r="D49" s="3"/>
      <c r="E49" s="3"/>
      <c r="F49" s="3"/>
      <c r="G49" s="3"/>
      <c r="H49" s="3"/>
      <c r="I49" s="140">
        <v>0</v>
      </c>
      <c r="J49" s="140">
        <f t="shared" ref="J49:Q49" si="47">J8/I8-1</f>
        <v>1.8800395745733223E-2</v>
      </c>
      <c r="K49" s="140">
        <f t="shared" si="47"/>
        <v>4.3306522683848936E-2</v>
      </c>
      <c r="L49" s="140">
        <f t="shared" si="47"/>
        <v>3.8316280346908149E-2</v>
      </c>
      <c r="M49" s="140">
        <f t="shared" si="47"/>
        <v>3.012068443876692E-2</v>
      </c>
      <c r="N49" s="140">
        <f t="shared" si="47"/>
        <v>1.5508345208439911E-2</v>
      </c>
      <c r="O49" s="140">
        <f t="shared" si="47"/>
        <v>6.5306501371114045E-3</v>
      </c>
      <c r="P49" s="140">
        <f t="shared" si="47"/>
        <v>6.5306501371114045E-3</v>
      </c>
      <c r="Q49" s="140">
        <f t="shared" si="47"/>
        <v>6.5306501371114045E-3</v>
      </c>
    </row>
    <row r="50" spans="2:17" s="167" customFormat="1" ht="12.75" customHeight="1">
      <c r="B50" s="3" t="s">
        <v>9</v>
      </c>
      <c r="C50" s="3"/>
      <c r="D50" s="3"/>
      <c r="E50" s="3"/>
      <c r="F50" s="3"/>
      <c r="G50" s="3"/>
      <c r="H50" s="3"/>
      <c r="I50" s="140">
        <v>0</v>
      </c>
      <c r="J50" s="140">
        <f>IF(AND(J38&gt;=0,I38&gt;0),J38/I38-1,"NM")</f>
        <v>1.6336057466555642E-2</v>
      </c>
      <c r="K50" s="140">
        <f t="shared" ref="K50:Q50" si="48">IF(AND(K38&gt;=0,J38&gt;0),K38/J38-1,"NM")</f>
        <v>4.5624059226492708E-2</v>
      </c>
      <c r="L50" s="140">
        <f t="shared" si="48"/>
        <v>-2.3106141729670404E-2</v>
      </c>
      <c r="M50" s="140">
        <f t="shared" si="48"/>
        <v>3.4011165476700134E-2</v>
      </c>
      <c r="N50" s="140">
        <f t="shared" si="48"/>
        <v>3.255642982606366E-2</v>
      </c>
      <c r="O50" s="140">
        <f t="shared" si="48"/>
        <v>3.3018527462058467E-2</v>
      </c>
      <c r="P50" s="140">
        <f t="shared" si="48"/>
        <v>6.5306501371114045E-3</v>
      </c>
      <c r="Q50" s="140">
        <f t="shared" si="48"/>
        <v>6.5306501371114045E-3</v>
      </c>
    </row>
    <row r="51" spans="2:17" s="167" customFormat="1" ht="12.75" customHeight="1">
      <c r="B51" s="3" t="s">
        <v>223</v>
      </c>
      <c r="C51" s="3"/>
      <c r="D51" s="3"/>
      <c r="E51" s="3"/>
      <c r="F51" s="3"/>
      <c r="G51" s="3"/>
      <c r="H51" s="3"/>
      <c r="I51" s="140">
        <v>0</v>
      </c>
      <c r="J51" s="140">
        <f>IF(AND(J36&gt;=0,I36&gt;0),J36/I36-1,"NM")</f>
        <v>-8.0856362561710915E-3</v>
      </c>
      <c r="K51" s="140">
        <f t="shared" ref="K51:Q51" si="49">IF(AND(K36&gt;=0,J36&gt;0),K36/J36-1,"NM")</f>
        <v>1.1891695832607629E-2</v>
      </c>
      <c r="L51" s="140">
        <f t="shared" si="49"/>
        <v>1.5924626398999164E-2</v>
      </c>
      <c r="M51" s="140">
        <f t="shared" si="49"/>
        <v>4.4821207459171841E-2</v>
      </c>
      <c r="N51" s="140">
        <f t="shared" si="49"/>
        <v>4.9282076509590267E-2</v>
      </c>
      <c r="O51" s="140">
        <f t="shared" si="49"/>
        <v>5.5660882930225641E-2</v>
      </c>
      <c r="P51" s="140">
        <f t="shared" si="49"/>
        <v>6.5306501371114045E-3</v>
      </c>
      <c r="Q51" s="140">
        <f t="shared" si="49"/>
        <v>6.5306501371114045E-3</v>
      </c>
    </row>
    <row r="52" spans="2:17" s="167" customFormat="1" ht="12.75" customHeight="1">
      <c r="B52" s="3" t="s">
        <v>322</v>
      </c>
      <c r="C52" s="3"/>
      <c r="D52" s="3"/>
      <c r="E52" s="3"/>
      <c r="F52" s="3"/>
      <c r="G52" s="3"/>
      <c r="H52" s="3"/>
      <c r="I52" s="140">
        <v>0</v>
      </c>
      <c r="J52" s="140">
        <f>+J33/I33-1</f>
        <v>7.2890522815845182E-2</v>
      </c>
      <c r="K52" s="140">
        <f t="shared" ref="K52:Q52" si="50">+K33/J33-1</f>
        <v>4.0829460519534289E-2</v>
      </c>
      <c r="L52" s="140">
        <f t="shared" ca="1" si="50"/>
        <v>-1.6609313566157136E-3</v>
      </c>
      <c r="M52" s="140">
        <f t="shared" ca="1" si="50"/>
        <v>4.7001113088010804E-2</v>
      </c>
      <c r="N52" s="140">
        <f t="shared" ca="1" si="50"/>
        <v>3.6341969883102454E-2</v>
      </c>
      <c r="O52" s="140">
        <f t="shared" ca="1" si="50"/>
        <v>3.6485733336266257E-2</v>
      </c>
      <c r="P52" s="140">
        <f t="shared" ca="1" si="50"/>
        <v>9.6777432861276935E-3</v>
      </c>
      <c r="Q52" s="140">
        <f t="shared" ca="1" si="50"/>
        <v>9.5327159620959279E-3</v>
      </c>
    </row>
    <row r="53" spans="2:17" s="167" customFormat="1" ht="12.75" customHeight="1">
      <c r="B53" s="3" t="str">
        <f>B20</f>
        <v>Diluted EPS</v>
      </c>
      <c r="C53" s="3"/>
      <c r="D53" s="3"/>
      <c r="E53" s="3"/>
      <c r="F53" s="3"/>
      <c r="G53" s="3"/>
      <c r="H53" s="3"/>
      <c r="I53" s="140">
        <v>0</v>
      </c>
      <c r="J53" s="140">
        <f t="shared" ref="J53:Q53" si="51">IF(AND(J20&gt;=0,I20&gt;0),J20/I20-1,"NM")</f>
        <v>0.12685905518658069</v>
      </c>
      <c r="K53" s="140">
        <f t="shared" si="51"/>
        <v>-2.2809778706494588E-2</v>
      </c>
      <c r="L53" s="140">
        <f t="shared" ca="1" si="51"/>
        <v>0.11770408155989309</v>
      </c>
      <c r="M53" s="140">
        <f t="shared" ca="1" si="51"/>
        <v>8.1386269039896542E-2</v>
      </c>
      <c r="N53" s="140">
        <f t="shared" ca="1" si="51"/>
        <v>7.7333977276490051E-2</v>
      </c>
      <c r="O53" s="140">
        <f t="shared" ca="1" si="51"/>
        <v>8.4531641594195683E-2</v>
      </c>
      <c r="P53" s="140">
        <f t="shared" ca="1" si="51"/>
        <v>1.3575790905652863E-2</v>
      </c>
      <c r="Q53" s="140">
        <f t="shared" ca="1" si="51"/>
        <v>1.3225284190568232E-2</v>
      </c>
    </row>
    <row r="54" spans="2:17" ht="12.75" customHeight="1">
      <c r="B54" s="254"/>
      <c r="C54" s="25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</row>
    <row r="55" spans="2:17" ht="16" customHeight="1" thickBot="1">
      <c r="B55" s="239" t="s">
        <v>40</v>
      </c>
      <c r="C55" s="239"/>
      <c r="D55" s="240"/>
      <c r="E55" s="240"/>
      <c r="F55" s="240"/>
      <c r="G55" s="240"/>
      <c r="H55" s="240"/>
      <c r="I55" s="240"/>
      <c r="J55" s="240"/>
      <c r="K55" s="240"/>
      <c r="L55" s="240"/>
      <c r="M55" s="240"/>
      <c r="N55" s="240"/>
      <c r="O55" s="240"/>
      <c r="P55" s="241"/>
      <c r="Q55" s="241"/>
    </row>
    <row r="56" spans="2:17" ht="15" customHeight="1">
      <c r="B56" s="230" t="str">
        <f>$B$7</f>
        <v>Twelve months ended December 31,</v>
      </c>
      <c r="C56" s="230"/>
      <c r="D56" s="230"/>
      <c r="E56" s="230"/>
      <c r="F56" s="230"/>
      <c r="G56" s="230"/>
      <c r="H56" s="230"/>
      <c r="I56" s="259"/>
      <c r="J56" s="259">
        <f t="shared" ref="J56:Q56" si="52">J7</f>
        <v>2017</v>
      </c>
      <c r="K56" s="283">
        <f t="shared" si="52"/>
        <v>2018</v>
      </c>
      <c r="L56" s="284">
        <f t="shared" si="52"/>
        <v>2019</v>
      </c>
      <c r="M56" s="260">
        <f t="shared" si="52"/>
        <v>2020</v>
      </c>
      <c r="N56" s="260">
        <f t="shared" si="52"/>
        <v>2021</v>
      </c>
      <c r="O56" s="260">
        <f t="shared" si="52"/>
        <v>2022</v>
      </c>
      <c r="P56" s="260">
        <f t="shared" si="52"/>
        <v>2023</v>
      </c>
      <c r="Q56" s="260">
        <f t="shared" si="52"/>
        <v>2024</v>
      </c>
    </row>
    <row r="57" spans="2:17" ht="15" customHeight="1">
      <c r="B57" s="99" t="s">
        <v>2</v>
      </c>
      <c r="C57" s="99"/>
    </row>
    <row r="58" spans="2:17" ht="12.75" customHeight="1">
      <c r="B58" s="3" t="str">
        <f>+'Balance Sheet'!B8</f>
        <v>Cash</v>
      </c>
      <c r="J58" s="73">
        <f>'Balance Sheet'!H8</f>
        <v>50.646999999999998</v>
      </c>
      <c r="K58" s="73">
        <f>'Balance Sheet'!I8</f>
        <v>47.442</v>
      </c>
      <c r="L58" s="111">
        <f ca="1">L102</f>
        <v>286.88728155625995</v>
      </c>
      <c r="M58" s="111">
        <f t="shared" ref="M58:Q58" ca="1" si="53">M102</f>
        <v>541.14119130852237</v>
      </c>
      <c r="N58" s="111">
        <f t="shared" ca="1" si="53"/>
        <v>806.5099331378384</v>
      </c>
      <c r="O58" s="111">
        <f t="shared" ca="1" si="53"/>
        <v>1096.6490295858421</v>
      </c>
      <c r="P58" s="111">
        <f t="shared" ca="1" si="53"/>
        <v>1347.097168057835</v>
      </c>
      <c r="Q58" s="111">
        <f t="shared" ca="1" si="53"/>
        <v>1574.1829621282768</v>
      </c>
    </row>
    <row r="59" spans="2:17" ht="12.75" customHeight="1">
      <c r="B59" s="3" t="str">
        <f>+'Balance Sheet'!B9</f>
        <v>Restricted Deposits</v>
      </c>
      <c r="J59" s="75">
        <f>'Balance Sheet'!H9</f>
        <v>50.115000000000002</v>
      </c>
      <c r="K59" s="75">
        <f>'Balance Sheet'!I9</f>
        <v>68.870999999999995</v>
      </c>
      <c r="L59" s="118">
        <f>+L201</f>
        <v>74.187110543771908</v>
      </c>
      <c r="M59" s="118">
        <f t="shared" ref="M59:Q59" si="54">+M201</f>
        <v>79.179547089884778</v>
      </c>
      <c r="N59" s="118">
        <f t="shared" si="54"/>
        <v>83.208130839602632</v>
      </c>
      <c r="O59" s="118">
        <f t="shared" si="54"/>
        <v>86.570464030679062</v>
      </c>
      <c r="P59" s="118">
        <f t="shared" si="54"/>
        <v>89.97316488906182</v>
      </c>
      <c r="Q59" s="118">
        <f t="shared" si="54"/>
        <v>93.416617267511313</v>
      </c>
    </row>
    <row r="60" spans="2:17" ht="12.75" customHeight="1">
      <c r="B60" s="3" t="str">
        <f>+'Balance Sheet'!B10</f>
        <v>Investments in Real Estate, Net</v>
      </c>
      <c r="J60" s="100">
        <f>'Balance Sheet'!H10</f>
        <v>19986.518</v>
      </c>
      <c r="K60" s="100">
        <f>'Balance Sheet'!I10</f>
        <v>19814.741000000002</v>
      </c>
      <c r="L60" s="54">
        <f t="shared" ref="L60:Q60" si="55">+K60-L84-L89</f>
        <v>19225.502272004636</v>
      </c>
      <c r="M60" s="54">
        <f t="shared" si="55"/>
        <v>18624.87976748445</v>
      </c>
      <c r="N60" s="54">
        <f t="shared" si="55"/>
        <v>18016.43876690813</v>
      </c>
      <c r="O60" s="54">
        <f t="shared" si="55"/>
        <v>17404.024251027975</v>
      </c>
      <c r="P60" s="54">
        <f t="shared" si="55"/>
        <v>16787.610270205718</v>
      </c>
      <c r="Q60" s="54">
        <f t="shared" si="55"/>
        <v>16167.170705335084</v>
      </c>
    </row>
    <row r="61" spans="2:17" ht="12.75" customHeight="1">
      <c r="B61" s="117" t="str">
        <f>+'Balance Sheet'!B11</f>
        <v>Goodwill</v>
      </c>
      <c r="C61" s="110"/>
      <c r="J61" s="100">
        <f>'Balance Sheet'!H11</f>
        <v>0</v>
      </c>
      <c r="K61" s="100">
        <f>'Balance Sheet'!I11</f>
        <v>0</v>
      </c>
      <c r="L61" s="54">
        <f>+K61</f>
        <v>0</v>
      </c>
      <c r="M61" s="54">
        <f t="shared" ref="M61:Q61" si="56">+L61</f>
        <v>0</v>
      </c>
      <c r="N61" s="54">
        <f t="shared" si="56"/>
        <v>0</v>
      </c>
      <c r="O61" s="54">
        <f t="shared" si="56"/>
        <v>0</v>
      </c>
      <c r="P61" s="54">
        <f t="shared" si="56"/>
        <v>0</v>
      </c>
      <c r="Q61" s="54">
        <f t="shared" si="56"/>
        <v>0</v>
      </c>
    </row>
    <row r="62" spans="2:17" ht="12.75" customHeight="1">
      <c r="B62" s="3" t="str">
        <f>+'Balance Sheet'!B12</f>
        <v>Other Intangible Assets</v>
      </c>
      <c r="J62" s="100">
        <f>'Balance Sheet'!H12</f>
        <v>0</v>
      </c>
      <c r="K62" s="100">
        <f>'Balance Sheet'!I12</f>
        <v>0</v>
      </c>
      <c r="L62" s="118">
        <f>+K62</f>
        <v>0</v>
      </c>
      <c r="M62" s="118">
        <f t="shared" ref="M62:Q62" si="57">+L62</f>
        <v>0</v>
      </c>
      <c r="N62" s="118">
        <f t="shared" si="57"/>
        <v>0</v>
      </c>
      <c r="O62" s="118">
        <f t="shared" si="57"/>
        <v>0</v>
      </c>
      <c r="P62" s="118">
        <f t="shared" si="57"/>
        <v>0</v>
      </c>
      <c r="Q62" s="118">
        <f t="shared" si="57"/>
        <v>0</v>
      </c>
    </row>
    <row r="63" spans="2:17" ht="12.75" customHeight="1">
      <c r="B63" s="3" t="str">
        <f>+'Balance Sheet'!B13</f>
        <v>Other Long-Term Assets</v>
      </c>
      <c r="J63" s="100">
        <f>'Balance Sheet'!H13</f>
        <v>483.31900000000002</v>
      </c>
      <c r="K63" s="100">
        <f>'Balance Sheet'!I13</f>
        <v>463.15499999999997</v>
      </c>
      <c r="L63" s="118">
        <f>+K63</f>
        <v>463.15499999999997</v>
      </c>
      <c r="M63" s="118">
        <f t="shared" ref="M63:Q63" si="58">+L63</f>
        <v>463.15499999999997</v>
      </c>
      <c r="N63" s="118">
        <f t="shared" si="58"/>
        <v>463.15499999999997</v>
      </c>
      <c r="O63" s="118">
        <f t="shared" si="58"/>
        <v>463.15499999999997</v>
      </c>
      <c r="P63" s="118">
        <f t="shared" si="58"/>
        <v>463.15499999999997</v>
      </c>
      <c r="Q63" s="118">
        <f t="shared" si="58"/>
        <v>463.15499999999997</v>
      </c>
    </row>
    <row r="64" spans="2:17" ht="12.75" customHeight="1">
      <c r="B64" s="110" t="s">
        <v>4</v>
      </c>
      <c r="C64" s="110"/>
      <c r="J64" s="367">
        <f>'Balance Sheet'!H14</f>
        <v>20570.598999999998</v>
      </c>
      <c r="K64" s="368">
        <f>'Balance Sheet'!I14</f>
        <v>20394.208999999999</v>
      </c>
      <c r="L64" s="368">
        <f t="shared" ref="L64:Q64" ca="1" si="59">+SUM(L58:L63)</f>
        <v>20049.731664104667</v>
      </c>
      <c r="M64" s="368">
        <f t="shared" ca="1" si="59"/>
        <v>19708.355505882857</v>
      </c>
      <c r="N64" s="368">
        <f t="shared" ca="1" si="59"/>
        <v>19369.31183088557</v>
      </c>
      <c r="O64" s="368">
        <f t="shared" ca="1" si="59"/>
        <v>19050.398744644495</v>
      </c>
      <c r="P64" s="368">
        <f t="shared" ca="1" si="59"/>
        <v>18687.835603152613</v>
      </c>
      <c r="Q64" s="368">
        <f t="shared" ca="1" si="59"/>
        <v>18297.925284730871</v>
      </c>
    </row>
    <row r="65" spans="2:19" ht="12.75" customHeight="1">
      <c r="J65" s="106"/>
      <c r="K65" s="106"/>
      <c r="L65" s="106"/>
      <c r="M65" s="106"/>
      <c r="N65" s="106"/>
      <c r="O65" s="106"/>
      <c r="P65" s="106"/>
      <c r="Q65" s="106"/>
    </row>
    <row r="66" spans="2:19" ht="12.75" customHeight="1">
      <c r="B66" s="99" t="s">
        <v>5</v>
      </c>
      <c r="C66" s="99"/>
      <c r="J66" s="285"/>
      <c r="K66" s="285"/>
      <c r="L66" s="285"/>
      <c r="M66" s="149"/>
      <c r="N66" s="149"/>
      <c r="O66" s="149"/>
      <c r="P66" s="149"/>
      <c r="Q66" s="149"/>
    </row>
    <row r="67" spans="2:19" ht="12.75" customHeight="1">
      <c r="B67" s="3" t="str">
        <f>+'Balance Sheet'!B17</f>
        <v>Accounts payable and accrued expenses</v>
      </c>
      <c r="J67" s="75">
        <f>'Balance Sheet'!H17</f>
        <v>114.76600000000001</v>
      </c>
      <c r="K67" s="75">
        <f>'Balance Sheet'!I17</f>
        <v>102.471</v>
      </c>
      <c r="L67" s="118">
        <f>L204</f>
        <v>107.45636609406135</v>
      </c>
      <c r="M67" s="118">
        <f t="shared" ref="M67:Q67" si="60">M204</f>
        <v>109.92875506847248</v>
      </c>
      <c r="N67" s="118">
        <f t="shared" si="60"/>
        <v>109.79899416560282</v>
      </c>
      <c r="O67" s="118">
        <f t="shared" si="60"/>
        <v>107.71580003317968</v>
      </c>
      <c r="P67" s="118">
        <f t="shared" si="60"/>
        <v>108.41925423743542</v>
      </c>
      <c r="Q67" s="118">
        <f t="shared" si="60"/>
        <v>109.12730245498665</v>
      </c>
    </row>
    <row r="68" spans="2:19" ht="12.75" customHeight="1">
      <c r="B68" s="3" t="str">
        <f>+'Balance Sheet'!B18</f>
        <v>Accrued interest payable</v>
      </c>
      <c r="J68" s="75">
        <f>'Balance Sheet'!H18</f>
        <v>58.034999999999997</v>
      </c>
      <c r="K68" s="75">
        <f>'Balance Sheet'!I18</f>
        <v>62.622</v>
      </c>
      <c r="L68" s="118">
        <f>L207</f>
        <v>62.622</v>
      </c>
      <c r="M68" s="118">
        <f t="shared" ref="M68:Q68" ca="1" si="61">M207</f>
        <v>62.417141767065985</v>
      </c>
      <c r="N68" s="118">
        <f t="shared" ca="1" si="61"/>
        <v>62.212283534131956</v>
      </c>
      <c r="O68" s="118">
        <f t="shared" ca="1" si="61"/>
        <v>62.007425301197934</v>
      </c>
      <c r="P68" s="118">
        <f t="shared" ca="1" si="61"/>
        <v>61.802567068263919</v>
      </c>
      <c r="Q68" s="118">
        <f t="shared" ca="1" si="61"/>
        <v>61.59770883532989</v>
      </c>
    </row>
    <row r="69" spans="2:19" ht="12.75" customHeight="1">
      <c r="B69" s="3" t="str">
        <f>+'Balance Sheet'!B19</f>
        <v>Distributions payable</v>
      </c>
      <c r="J69" s="75">
        <f>'Balance Sheet'!H19</f>
        <v>192.828</v>
      </c>
      <c r="K69" s="75">
        <f>'Balance Sheet'!I19</f>
        <v>206.601</v>
      </c>
      <c r="L69" s="118">
        <f ca="1">L210</f>
        <v>231.86343005055195</v>
      </c>
      <c r="M69" s="118">
        <f t="shared" ref="M69:Q69" ca="1" si="62">M210</f>
        <v>250.07662551055287</v>
      </c>
      <c r="N69" s="118">
        <f t="shared" ca="1" si="62"/>
        <v>270.87307573245442</v>
      </c>
      <c r="O69" s="118">
        <f ca="1">O210</f>
        <v>295.35959869128573</v>
      </c>
      <c r="P69" s="118">
        <f t="shared" ca="1" si="62"/>
        <v>299.35078749526519</v>
      </c>
      <c r="Q69" s="118">
        <f t="shared" ca="1" si="62"/>
        <v>303.29171435097049</v>
      </c>
    </row>
    <row r="70" spans="2:19" ht="12.75" customHeight="1">
      <c r="B70" s="3" t="str">
        <f>+'Balance Sheet'!B20</f>
        <v>Security Deposits</v>
      </c>
      <c r="J70" s="75">
        <f>'Balance Sheet'!H20</f>
        <v>65.009</v>
      </c>
      <c r="K70" s="75">
        <f>'Balance Sheet'!I20</f>
        <v>67.257999999999996</v>
      </c>
      <c r="L70" s="118">
        <f>L213</f>
        <v>69.835076383572343</v>
      </c>
      <c r="M70" s="118">
        <f t="shared" ref="M70:Q70" si="63">M213</f>
        <v>71.93855668207911</v>
      </c>
      <c r="N70" s="118">
        <f t="shared" si="63"/>
        <v>73.054204652901703</v>
      </c>
      <c r="O70" s="118">
        <f t="shared" si="63"/>
        <v>73.531296104534746</v>
      </c>
      <c r="P70" s="118">
        <f t="shared" si="63"/>
        <v>74.011503273521811</v>
      </c>
      <c r="Q70" s="118">
        <f t="shared" si="63"/>
        <v>74.494846507522851</v>
      </c>
    </row>
    <row r="71" spans="2:19" ht="12.75" customHeight="1">
      <c r="B71" s="3" t="str">
        <f>+'Balance Sheet'!B21</f>
        <v>Long-Term Debt</v>
      </c>
      <c r="J71" s="100">
        <f>'Balance Sheet'!H21</f>
        <v>8957.2909999999993</v>
      </c>
      <c r="K71" s="100">
        <f>'Balance Sheet'!I21</f>
        <v>8817.9390000000003</v>
      </c>
      <c r="L71" s="54">
        <f ca="1">L125</f>
        <v>8789.0924699999996</v>
      </c>
      <c r="M71" s="54">
        <f t="shared" ref="M71:Q71" ca="1" si="64">M125</f>
        <v>8760.2459399999989</v>
      </c>
      <c r="N71" s="54">
        <f t="shared" ca="1" si="64"/>
        <v>8731.3994099999982</v>
      </c>
      <c r="O71" s="54">
        <f t="shared" ca="1" si="64"/>
        <v>8702.5528799999993</v>
      </c>
      <c r="P71" s="54">
        <f t="shared" ca="1" si="64"/>
        <v>8673.7063499999986</v>
      </c>
      <c r="Q71" s="54">
        <f t="shared" ca="1" si="64"/>
        <v>8644.8598199999997</v>
      </c>
      <c r="S71" s="414"/>
    </row>
    <row r="72" spans="2:19" ht="12.75" customHeight="1">
      <c r="B72" s="161" t="str">
        <f>+'Balance Sheet'!B22</f>
        <v>Other Long-Term Liabilities</v>
      </c>
      <c r="C72" s="369"/>
      <c r="D72" s="4"/>
      <c r="E72" s="4"/>
      <c r="F72" s="4"/>
      <c r="G72" s="4"/>
      <c r="H72" s="4"/>
      <c r="I72" s="4"/>
      <c r="J72" s="54">
        <f>'Balance Sheet'!H22</f>
        <v>341.85199999999998</v>
      </c>
      <c r="K72" s="54">
        <f>'Balance Sheet'!I22</f>
        <v>358.56299999999999</v>
      </c>
      <c r="L72" s="54">
        <f>+K72</f>
        <v>358.56299999999999</v>
      </c>
      <c r="M72" s="54">
        <f t="shared" ref="M72:Q73" si="65">+L72</f>
        <v>358.56299999999999</v>
      </c>
      <c r="N72" s="54">
        <f t="shared" si="65"/>
        <v>358.56299999999999</v>
      </c>
      <c r="O72" s="54">
        <f t="shared" si="65"/>
        <v>358.56299999999999</v>
      </c>
      <c r="P72" s="54">
        <f t="shared" si="65"/>
        <v>358.56299999999999</v>
      </c>
      <c r="Q72" s="54">
        <f t="shared" si="65"/>
        <v>358.56299999999999</v>
      </c>
    </row>
    <row r="73" spans="2:19" ht="12.75" customHeight="1">
      <c r="B73" s="3" t="str">
        <f>+'Balance Sheet'!B23</f>
        <v>Minority Interest</v>
      </c>
      <c r="J73" s="75">
        <f>'Balance Sheet'!H23</f>
        <v>4.7080000000000002</v>
      </c>
      <c r="K73" s="75">
        <f>'Balance Sheet'!I23</f>
        <v>-2.2930000000000001</v>
      </c>
      <c r="L73" s="118">
        <f>+K73</f>
        <v>-2.2930000000000001</v>
      </c>
      <c r="M73" s="118">
        <f t="shared" si="65"/>
        <v>-2.2930000000000001</v>
      </c>
      <c r="N73" s="118">
        <f t="shared" si="65"/>
        <v>-2.2930000000000001</v>
      </c>
      <c r="O73" s="118">
        <f t="shared" si="65"/>
        <v>-2.2930000000000001</v>
      </c>
      <c r="P73" s="118">
        <f t="shared" si="65"/>
        <v>-2.2930000000000001</v>
      </c>
      <c r="Q73" s="118">
        <f t="shared" si="65"/>
        <v>-2.2930000000000001</v>
      </c>
    </row>
    <row r="74" spans="2:19" ht="12.75" customHeight="1">
      <c r="B74" s="3" t="str">
        <f>+'Balance Sheet'!B24</f>
        <v>Preferred Stock</v>
      </c>
      <c r="J74" s="75">
        <f>'Balance Sheet'!H24</f>
        <v>0</v>
      </c>
      <c r="K74" s="75">
        <f>'Balance Sheet'!I24</f>
        <v>0</v>
      </c>
      <c r="L74" s="118">
        <f t="shared" ref="L74:P74" si="66">K74</f>
        <v>0</v>
      </c>
      <c r="M74" s="118">
        <f t="shared" si="66"/>
        <v>0</v>
      </c>
      <c r="N74" s="118">
        <f t="shared" si="66"/>
        <v>0</v>
      </c>
      <c r="O74" s="118">
        <f t="shared" si="66"/>
        <v>0</v>
      </c>
      <c r="P74" s="118">
        <f t="shared" si="66"/>
        <v>0</v>
      </c>
      <c r="Q74" s="118">
        <f>P74</f>
        <v>0</v>
      </c>
    </row>
    <row r="75" spans="2:19" ht="12.75" customHeight="1">
      <c r="B75" s="3" t="str">
        <f>+'Balance Sheet'!B25</f>
        <v>Shareholders' Equity</v>
      </c>
      <c r="J75" s="75">
        <f>'Balance Sheet'!H25</f>
        <v>10836.11</v>
      </c>
      <c r="K75" s="75">
        <f>'Balance Sheet'!I25</f>
        <v>10781.048000000001</v>
      </c>
      <c r="L75" s="118">
        <f ca="1">K75+L15+L94</f>
        <v>10432.592321576483</v>
      </c>
      <c r="M75" s="118">
        <f t="shared" ref="M75:Q75" ca="1" si="67">L75+M15+M94</f>
        <v>10097.478486854689</v>
      </c>
      <c r="N75" s="118">
        <f t="shared" ca="1" si="67"/>
        <v>9765.703862800483</v>
      </c>
      <c r="O75" s="118">
        <f t="shared" ca="1" si="67"/>
        <v>9452.9617445142994</v>
      </c>
      <c r="P75" s="118">
        <f t="shared" ca="1" si="67"/>
        <v>9114.2751410781275</v>
      </c>
      <c r="Q75" s="118">
        <f t="shared" ca="1" si="67"/>
        <v>8748.2838925820633</v>
      </c>
    </row>
    <row r="76" spans="2:19" ht="12.75" customHeight="1">
      <c r="B76" s="110" t="s">
        <v>72</v>
      </c>
      <c r="C76" s="110"/>
      <c r="J76" s="248">
        <f>'Balance Sheet'!H26</f>
        <v>20570.599000000002</v>
      </c>
      <c r="K76" s="249">
        <f>'Balance Sheet'!I26</f>
        <v>20394.209000000003</v>
      </c>
      <c r="L76" s="249">
        <f t="shared" ref="L76:Q76" ca="1" si="68">+SUM(L67:L75)</f>
        <v>20049.731664104671</v>
      </c>
      <c r="M76" s="249">
        <f t="shared" ca="1" si="68"/>
        <v>19708.355505882857</v>
      </c>
      <c r="N76" s="249">
        <f t="shared" ca="1" si="68"/>
        <v>19369.31183088557</v>
      </c>
      <c r="O76" s="249">
        <f t="shared" ca="1" si="68"/>
        <v>19050.398744644495</v>
      </c>
      <c r="P76" s="249">
        <f t="shared" ca="1" si="68"/>
        <v>18687.835603152613</v>
      </c>
      <c r="Q76" s="249">
        <f t="shared" ca="1" si="68"/>
        <v>18297.925284730874</v>
      </c>
    </row>
    <row r="77" spans="2:19" ht="12.75" customHeight="1">
      <c r="J77" s="106"/>
      <c r="K77" s="106"/>
      <c r="L77" s="106"/>
      <c r="M77" s="106"/>
      <c r="N77" s="106"/>
      <c r="O77" s="106"/>
      <c r="P77" s="106"/>
      <c r="Q77" s="106"/>
    </row>
    <row r="78" spans="2:19" ht="12.75" customHeight="1">
      <c r="B78" s="3" t="s">
        <v>1</v>
      </c>
      <c r="J78" s="54">
        <f t="shared" ref="J78:Q78" si="69">J64-J76</f>
        <v>0</v>
      </c>
      <c r="K78" s="54">
        <f t="shared" si="69"/>
        <v>0</v>
      </c>
      <c r="L78" s="54">
        <f t="shared" ca="1" si="69"/>
        <v>0</v>
      </c>
      <c r="M78" s="54">
        <f t="shared" ca="1" si="69"/>
        <v>0</v>
      </c>
      <c r="N78" s="54">
        <f t="shared" ca="1" si="69"/>
        <v>0</v>
      </c>
      <c r="O78" s="54">
        <f t="shared" ca="1" si="69"/>
        <v>0</v>
      </c>
      <c r="P78" s="54">
        <f t="shared" ca="1" si="69"/>
        <v>0</v>
      </c>
      <c r="Q78" s="54">
        <f t="shared" ca="1" si="69"/>
        <v>0</v>
      </c>
    </row>
    <row r="79" spans="2:19" ht="12.75" customHeight="1">
      <c r="B79" s="3" t="s">
        <v>316</v>
      </c>
      <c r="J79" s="54">
        <f>+J59-(J67+J68+J69+J70)</f>
        <v>-380.52300000000002</v>
      </c>
      <c r="K79" s="54">
        <f t="shared" ref="K79:Q79" si="70">+K59-(K67+K68+K69+K70)</f>
        <v>-370.08100000000002</v>
      </c>
      <c r="L79" s="54">
        <f t="shared" ca="1" si="70"/>
        <v>-397.58976198441377</v>
      </c>
      <c r="M79" s="54">
        <f t="shared" ca="1" si="70"/>
        <v>-415.18153193828573</v>
      </c>
      <c r="N79" s="54">
        <f t="shared" ca="1" si="70"/>
        <v>-432.73042724548827</v>
      </c>
      <c r="O79" s="54">
        <f t="shared" ca="1" si="70"/>
        <v>-452.04365609951901</v>
      </c>
      <c r="P79" s="54">
        <f t="shared" ca="1" si="70"/>
        <v>-453.61094718542455</v>
      </c>
      <c r="Q79" s="54">
        <f t="shared" ca="1" si="70"/>
        <v>-455.09495488129863</v>
      </c>
    </row>
    <row r="80" spans="2:19" ht="12.75" customHeight="1">
      <c r="J80" s="272"/>
      <c r="K80" s="272"/>
      <c r="L80" s="272"/>
      <c r="M80" s="272"/>
      <c r="N80" s="272"/>
      <c r="O80" s="272"/>
      <c r="P80" s="272"/>
      <c r="Q80" s="272"/>
    </row>
    <row r="81" spans="2:18" ht="16" customHeight="1" thickBot="1">
      <c r="B81" s="239" t="s">
        <v>41</v>
      </c>
      <c r="C81" s="239"/>
      <c r="D81" s="240"/>
      <c r="E81" s="240"/>
      <c r="F81" s="240"/>
      <c r="G81" s="240"/>
      <c r="H81" s="240"/>
      <c r="I81" s="240"/>
      <c r="J81" s="240"/>
      <c r="K81" s="240"/>
      <c r="L81" s="240"/>
      <c r="M81" s="240"/>
      <c r="N81" s="240"/>
      <c r="O81" s="240"/>
      <c r="P81" s="241"/>
      <c r="Q81" s="241"/>
    </row>
    <row r="82" spans="2:18" ht="15" customHeight="1">
      <c r="B82" s="230" t="str">
        <f>$B$7</f>
        <v>Twelve months ended December 31,</v>
      </c>
      <c r="C82" s="230"/>
      <c r="D82" s="230"/>
      <c r="E82" s="230"/>
      <c r="F82" s="230"/>
      <c r="G82" s="230"/>
      <c r="H82" s="230"/>
      <c r="I82" s="259"/>
      <c r="J82" s="259"/>
      <c r="K82" s="283"/>
      <c r="L82" s="284">
        <f t="shared" ref="L82:Q82" si="71">L7</f>
        <v>2019</v>
      </c>
      <c r="M82" s="260">
        <f t="shared" si="71"/>
        <v>2020</v>
      </c>
      <c r="N82" s="260">
        <f t="shared" si="71"/>
        <v>2021</v>
      </c>
      <c r="O82" s="260">
        <f t="shared" si="71"/>
        <v>2022</v>
      </c>
      <c r="P82" s="260">
        <f t="shared" si="71"/>
        <v>2023</v>
      </c>
      <c r="Q82" s="260">
        <f t="shared" si="71"/>
        <v>2024</v>
      </c>
    </row>
    <row r="83" spans="2:18" ht="15" customHeight="1">
      <c r="B83" s="3" t="s">
        <v>10</v>
      </c>
      <c r="L83" s="244">
        <f t="shared" ref="L83:Q83" ca="1" si="72">+L15</f>
        <v>527.35095473968715</v>
      </c>
      <c r="M83" s="244">
        <f t="shared" ca="1" si="72"/>
        <v>568.77510693392469</v>
      </c>
      <c r="N83" s="244">
        <f t="shared" ca="1" si="72"/>
        <v>616.0746223310922</v>
      </c>
      <c r="O83" s="244">
        <f t="shared" ca="1" si="72"/>
        <v>671.7668514065424</v>
      </c>
      <c r="P83" s="244">
        <f t="shared" ca="1" si="72"/>
        <v>680.84442446696869</v>
      </c>
      <c r="Q83" s="244">
        <f t="shared" ca="1" si="72"/>
        <v>689.8076815854472</v>
      </c>
    </row>
    <row r="84" spans="2:18" s="14" customFormat="1">
      <c r="B84" s="9" t="s">
        <v>188</v>
      </c>
      <c r="C84" s="9"/>
      <c r="D84" s="9"/>
      <c r="E84" s="9"/>
      <c r="F84" s="9"/>
      <c r="G84" s="9"/>
      <c r="H84" s="9"/>
      <c r="I84" s="9"/>
      <c r="J84" s="9"/>
      <c r="K84" s="9"/>
      <c r="L84" s="31">
        <f t="shared" ref="L84:Q84" si="73">L198-L85</f>
        <v>789.64</v>
      </c>
      <c r="M84" s="31">
        <f t="shared" si="73"/>
        <v>807.06000000000006</v>
      </c>
      <c r="N84" s="31">
        <f t="shared" si="73"/>
        <v>818.08</v>
      </c>
      <c r="O84" s="31">
        <f t="shared" si="73"/>
        <v>823.42259426416808</v>
      </c>
      <c r="P84" s="31">
        <f t="shared" si="73"/>
        <v>828.80007914229998</v>
      </c>
      <c r="Q84" s="31">
        <f t="shared" si="73"/>
        <v>834.21268249278864</v>
      </c>
    </row>
    <row r="85" spans="2:18">
      <c r="B85" s="3" t="s">
        <v>119</v>
      </c>
      <c r="L85" s="226">
        <v>0</v>
      </c>
      <c r="M85" s="226">
        <v>0</v>
      </c>
      <c r="N85" s="226">
        <v>0</v>
      </c>
      <c r="O85" s="226">
        <v>0</v>
      </c>
      <c r="P85" s="226">
        <v>0</v>
      </c>
      <c r="Q85" s="226">
        <v>0</v>
      </c>
    </row>
    <row r="86" spans="2:18">
      <c r="B86" s="3" t="s">
        <v>317</v>
      </c>
      <c r="L86" s="31">
        <f ca="1">+-(L79-K79)</f>
        <v>27.508761984413752</v>
      </c>
      <c r="M86" s="31">
        <f t="shared" ref="M86:Q86" ca="1" si="74">+-(M79-L79)</f>
        <v>17.59176995387196</v>
      </c>
      <c r="N86" s="31">
        <f t="shared" ca="1" si="74"/>
        <v>17.548895307202542</v>
      </c>
      <c r="O86" s="31">
        <f t="shared" ca="1" si="74"/>
        <v>19.31322885403074</v>
      </c>
      <c r="P86" s="31">
        <f t="shared" ca="1" si="74"/>
        <v>1.5672910859055378</v>
      </c>
      <c r="Q86" s="31">
        <f t="shared" ca="1" si="74"/>
        <v>1.4840076958740838</v>
      </c>
    </row>
    <row r="87" spans="2:18" ht="12.75" customHeight="1">
      <c r="B87" s="287" t="s">
        <v>116</v>
      </c>
      <c r="C87" s="287"/>
      <c r="L87" s="275">
        <f t="shared" ref="L87:Q87" ca="1" si="75">SUM(L83:L86)</f>
        <v>1344.4997167241008</v>
      </c>
      <c r="M87" s="275">
        <f t="shared" ca="1" si="75"/>
        <v>1393.4268768877967</v>
      </c>
      <c r="N87" s="275">
        <f t="shared" ca="1" si="75"/>
        <v>1451.7035176382947</v>
      </c>
      <c r="O87" s="275">
        <f t="shared" ca="1" si="75"/>
        <v>1514.5026745247412</v>
      </c>
      <c r="P87" s="275">
        <f t="shared" ca="1" si="75"/>
        <v>1511.2117946951741</v>
      </c>
      <c r="Q87" s="275">
        <f t="shared" ca="1" si="75"/>
        <v>1525.50437177411</v>
      </c>
    </row>
    <row r="88" spans="2:18" ht="12.75" customHeight="1">
      <c r="L88" s="319"/>
      <c r="M88" s="319"/>
      <c r="N88" s="319"/>
      <c r="O88" s="319"/>
      <c r="P88" s="319"/>
      <c r="Q88" s="319"/>
    </row>
    <row r="89" spans="2:18" ht="12.75" customHeight="1">
      <c r="B89" s="3" t="s">
        <v>38</v>
      </c>
      <c r="L89" s="31">
        <f t="shared" ref="L89:Q89" si="76">-L195</f>
        <v>-200.40127200463536</v>
      </c>
      <c r="M89" s="31">
        <f t="shared" si="76"/>
        <v>-206.43749547981446</v>
      </c>
      <c r="N89" s="31">
        <f t="shared" si="76"/>
        <v>-209.63899942368116</v>
      </c>
      <c r="O89" s="31">
        <f t="shared" si="76"/>
        <v>-211.00807838401133</v>
      </c>
      <c r="P89" s="31">
        <f t="shared" si="76"/>
        <v>-212.3860983200415</v>
      </c>
      <c r="Q89" s="31">
        <f t="shared" si="76"/>
        <v>-213.77311762215584</v>
      </c>
    </row>
    <row r="90" spans="2:18" ht="12.75" customHeight="1">
      <c r="B90" s="3" t="s">
        <v>187</v>
      </c>
      <c r="L90" s="250">
        <v>0</v>
      </c>
      <c r="M90" s="250">
        <v>0</v>
      </c>
      <c r="N90" s="250">
        <v>0</v>
      </c>
      <c r="O90" s="250">
        <v>0</v>
      </c>
      <c r="P90" s="250">
        <v>0</v>
      </c>
      <c r="Q90" s="250">
        <v>0</v>
      </c>
    </row>
    <row r="91" spans="2:18" ht="12.75" customHeight="1">
      <c r="B91" s="255" t="s">
        <v>117</v>
      </c>
      <c r="C91" s="255"/>
      <c r="D91" s="142"/>
      <c r="E91" s="142"/>
      <c r="F91" s="142"/>
      <c r="G91" s="142"/>
      <c r="H91" s="142"/>
      <c r="I91" s="142"/>
      <c r="J91" s="142"/>
      <c r="K91" s="142"/>
      <c r="L91" s="275">
        <f t="shared" ref="L91:Q91" si="77">SUM(L89:L90)</f>
        <v>-200.40127200463536</v>
      </c>
      <c r="M91" s="274">
        <f t="shared" si="77"/>
        <v>-206.43749547981446</v>
      </c>
      <c r="N91" s="274">
        <f t="shared" si="77"/>
        <v>-209.63899942368116</v>
      </c>
      <c r="O91" s="274">
        <f t="shared" si="77"/>
        <v>-211.00807838401133</v>
      </c>
      <c r="P91" s="224">
        <f t="shared" si="77"/>
        <v>-212.3860983200415</v>
      </c>
      <c r="Q91" s="224">
        <f t="shared" si="77"/>
        <v>-213.77311762215584</v>
      </c>
    </row>
    <row r="92" spans="2:18" ht="12.75" customHeight="1">
      <c r="B92" s="110"/>
      <c r="C92" s="110"/>
      <c r="L92" s="31"/>
      <c r="M92" s="118"/>
      <c r="N92" s="118"/>
      <c r="O92" s="118"/>
      <c r="P92" s="118"/>
      <c r="Q92" s="118"/>
    </row>
    <row r="93" spans="2:18" ht="12.75" customHeight="1">
      <c r="B93" s="3" t="s">
        <v>58</v>
      </c>
      <c r="L93" s="31">
        <f>-L135</f>
        <v>-28.846529999999994</v>
      </c>
      <c r="M93" s="118">
        <f t="shared" ref="M93:Q93" si="78">-M135</f>
        <v>-28.846529999999994</v>
      </c>
      <c r="N93" s="118">
        <f t="shared" si="78"/>
        <v>-28.846529999999994</v>
      </c>
      <c r="O93" s="118">
        <f t="shared" si="78"/>
        <v>-28.846529999999994</v>
      </c>
      <c r="P93" s="118">
        <f t="shared" si="78"/>
        <v>-28.846529999999994</v>
      </c>
      <c r="Q93" s="118">
        <f t="shared" si="78"/>
        <v>-28.846529999999994</v>
      </c>
    </row>
    <row r="94" spans="2:18" ht="12.75" customHeight="1">
      <c r="B94" s="3" t="s">
        <v>186</v>
      </c>
      <c r="F94" s="256">
        <f>'Spread Cover'!J20</f>
        <v>2.2719999999999998</v>
      </c>
      <c r="G94" s="3" t="s">
        <v>57</v>
      </c>
      <c r="L94" s="31">
        <f>-$F94*L191</f>
        <v>-875.80663316320556</v>
      </c>
      <c r="M94" s="31">
        <f>-M107*M191</f>
        <v>-903.88894165571969</v>
      </c>
      <c r="N94" s="31">
        <f t="shared" ref="N94:Q94" si="79">-N107*N191</f>
        <v>-947.84924638529753</v>
      </c>
      <c r="O94" s="31">
        <f t="shared" si="79"/>
        <v>-984.5089696927264</v>
      </c>
      <c r="P94" s="31">
        <f t="shared" si="79"/>
        <v>-1019.5310279031397</v>
      </c>
      <c r="Q94" s="31">
        <f t="shared" si="79"/>
        <v>-1055.7989300815123</v>
      </c>
    </row>
    <row r="95" spans="2:18" ht="12.75" customHeight="1">
      <c r="B95" s="3" t="s">
        <v>17</v>
      </c>
      <c r="L95" s="31">
        <v>0</v>
      </c>
      <c r="M95" s="31">
        <v>0</v>
      </c>
      <c r="N95" s="31">
        <v>0</v>
      </c>
      <c r="O95" s="31">
        <v>0</v>
      </c>
      <c r="P95" s="31">
        <v>0</v>
      </c>
      <c r="Q95" s="31">
        <v>0</v>
      </c>
    </row>
    <row r="96" spans="2:18" ht="12.75" customHeight="1">
      <c r="B96" s="3" t="s">
        <v>128</v>
      </c>
      <c r="F96" s="276">
        <v>10</v>
      </c>
      <c r="G96" s="117" t="s">
        <v>56</v>
      </c>
      <c r="H96" s="117"/>
      <c r="I96" s="4"/>
      <c r="L96" s="234">
        <f t="shared" ref="L96:Q96" ca="1" si="80">L117</f>
        <v>0</v>
      </c>
      <c r="M96" s="234">
        <f t="shared" ca="1" si="80"/>
        <v>0</v>
      </c>
      <c r="N96" s="234">
        <f t="shared" ca="1" si="80"/>
        <v>0</v>
      </c>
      <c r="O96" s="234">
        <f t="shared" ca="1" si="80"/>
        <v>0</v>
      </c>
      <c r="P96" s="234">
        <f t="shared" ca="1" si="80"/>
        <v>0</v>
      </c>
      <c r="Q96" s="234">
        <f t="shared" ca="1" si="80"/>
        <v>0</v>
      </c>
      <c r="R96" s="270"/>
    </row>
    <row r="97" spans="2:17" ht="12.75" customHeight="1">
      <c r="B97" s="255" t="s">
        <v>118</v>
      </c>
      <c r="C97" s="255"/>
      <c r="I97" s="276"/>
      <c r="L97" s="275">
        <f t="shared" ref="L97:Q97" ca="1" si="81">SUM(L93:L96)</f>
        <v>-904.65316316320559</v>
      </c>
      <c r="M97" s="275">
        <f t="shared" ca="1" si="81"/>
        <v>-932.73547165571972</v>
      </c>
      <c r="N97" s="275">
        <f t="shared" ca="1" si="81"/>
        <v>-976.69577638529756</v>
      </c>
      <c r="O97" s="275">
        <f t="shared" ca="1" si="81"/>
        <v>-1013.3554996927264</v>
      </c>
      <c r="P97" s="275">
        <f t="shared" ca="1" si="81"/>
        <v>-1048.3775579031396</v>
      </c>
      <c r="Q97" s="275">
        <f t="shared" ca="1" si="81"/>
        <v>-1084.6454600815123</v>
      </c>
    </row>
    <row r="98" spans="2:17" ht="12.75" customHeight="1">
      <c r="I98" s="276"/>
      <c r="L98" s="15"/>
      <c r="M98" s="54"/>
      <c r="N98" s="54"/>
      <c r="O98" s="54"/>
      <c r="P98" s="54"/>
      <c r="Q98" s="54"/>
    </row>
    <row r="99" spans="2:17" ht="12.75" customHeight="1">
      <c r="B99" s="3" t="s">
        <v>157</v>
      </c>
      <c r="L99" s="31">
        <f t="shared" ref="L99:Q99" ca="1" si="82">L87+L91+L97</f>
        <v>239.44528155625994</v>
      </c>
      <c r="M99" s="31">
        <f t="shared" ca="1" si="82"/>
        <v>254.25390975226242</v>
      </c>
      <c r="N99" s="31">
        <f t="shared" ca="1" si="82"/>
        <v>265.36874182931604</v>
      </c>
      <c r="O99" s="31">
        <f t="shared" ca="1" si="82"/>
        <v>290.13909644800356</v>
      </c>
      <c r="P99" s="31">
        <f t="shared" ca="1" si="82"/>
        <v>250.44813847199293</v>
      </c>
      <c r="Q99" s="31">
        <f t="shared" ca="1" si="82"/>
        <v>227.08579407044181</v>
      </c>
    </row>
    <row r="100" spans="2:17" ht="12.75" customHeight="1">
      <c r="L100" s="31"/>
      <c r="M100" s="118"/>
      <c r="N100" s="118"/>
      <c r="O100" s="118"/>
      <c r="P100" s="118"/>
      <c r="Q100" s="118"/>
    </row>
    <row r="101" spans="2:17" ht="12.75" customHeight="1">
      <c r="B101" s="3" t="s">
        <v>50</v>
      </c>
      <c r="L101" s="234">
        <f t="shared" ref="L101:Q101" si="83">K58</f>
        <v>47.442</v>
      </c>
      <c r="M101" s="179">
        <f t="shared" ca="1" si="83"/>
        <v>286.88728155625995</v>
      </c>
      <c r="N101" s="179">
        <f t="shared" ca="1" si="83"/>
        <v>541.14119130852237</v>
      </c>
      <c r="O101" s="179">
        <f t="shared" ca="1" si="83"/>
        <v>806.5099331378384</v>
      </c>
      <c r="P101" s="179">
        <f t="shared" ca="1" si="83"/>
        <v>1096.6490295858421</v>
      </c>
      <c r="Q101" s="179">
        <f t="shared" ca="1" si="83"/>
        <v>1347.097168057835</v>
      </c>
    </row>
    <row r="102" spans="2:17" ht="12.75" customHeight="1">
      <c r="B102" s="3" t="s">
        <v>18</v>
      </c>
      <c r="L102" s="289">
        <f t="shared" ref="L102:Q102" ca="1" si="84">L101+L99</f>
        <v>286.88728155625995</v>
      </c>
      <c r="M102" s="289">
        <f t="shared" ca="1" si="84"/>
        <v>541.14119130852237</v>
      </c>
      <c r="N102" s="289">
        <f t="shared" ca="1" si="84"/>
        <v>806.5099331378384</v>
      </c>
      <c r="O102" s="289">
        <f t="shared" ca="1" si="84"/>
        <v>1096.6490295858421</v>
      </c>
      <c r="P102" s="289">
        <f t="shared" ca="1" si="84"/>
        <v>1347.097168057835</v>
      </c>
      <c r="Q102" s="289">
        <f t="shared" ca="1" si="84"/>
        <v>1574.1829621282768</v>
      </c>
    </row>
    <row r="103" spans="2:17" ht="12.75" customHeight="1">
      <c r="L103" s="54"/>
      <c r="M103" s="54"/>
      <c r="N103" s="54"/>
      <c r="O103" s="54"/>
      <c r="P103" s="54"/>
      <c r="Q103" s="54"/>
    </row>
    <row r="104" spans="2:17" s="14" customFormat="1" ht="12.75" customHeight="1">
      <c r="B104" s="9" t="s">
        <v>19</v>
      </c>
      <c r="C104" s="9"/>
      <c r="D104" s="9"/>
      <c r="E104" s="9"/>
      <c r="F104" s="9"/>
      <c r="G104" s="9"/>
      <c r="H104" s="9"/>
      <c r="I104" s="9"/>
      <c r="J104" s="9"/>
      <c r="K104" s="9"/>
      <c r="L104" s="31">
        <f t="shared" ref="L104:Q104" si="85">L113</f>
        <v>0</v>
      </c>
      <c r="M104" s="31">
        <f t="shared" ca="1" si="85"/>
        <v>0</v>
      </c>
      <c r="N104" s="31">
        <f t="shared" ca="1" si="85"/>
        <v>0</v>
      </c>
      <c r="O104" s="31">
        <f t="shared" ca="1" si="85"/>
        <v>0</v>
      </c>
      <c r="P104" s="31">
        <f t="shared" ca="1" si="85"/>
        <v>0</v>
      </c>
      <c r="Q104" s="31">
        <f t="shared" ca="1" si="85"/>
        <v>0</v>
      </c>
    </row>
    <row r="105" spans="2:17" s="14" customFormat="1" ht="12.75" customHeight="1">
      <c r="B105" s="9" t="s">
        <v>20</v>
      </c>
      <c r="C105" s="9"/>
      <c r="D105" s="9"/>
      <c r="E105" s="9"/>
      <c r="F105" s="9"/>
      <c r="G105" s="9"/>
      <c r="H105" s="9"/>
      <c r="I105" s="9"/>
      <c r="J105" s="9"/>
      <c r="K105" s="9"/>
      <c r="L105" s="31">
        <f t="shared" ref="L105:Q105" ca="1" si="86">L118</f>
        <v>0</v>
      </c>
      <c r="M105" s="31">
        <f t="shared" ca="1" si="86"/>
        <v>0</v>
      </c>
      <c r="N105" s="31">
        <f t="shared" ca="1" si="86"/>
        <v>0</v>
      </c>
      <c r="O105" s="31">
        <f t="shared" ca="1" si="86"/>
        <v>0</v>
      </c>
      <c r="P105" s="31">
        <f t="shared" ca="1" si="86"/>
        <v>0</v>
      </c>
      <c r="Q105" s="31">
        <f t="shared" ca="1" si="86"/>
        <v>0</v>
      </c>
    </row>
    <row r="106" spans="2:17" s="14" customFormat="1" ht="12.75" customHeight="1">
      <c r="B106" s="9"/>
      <c r="C106" s="9"/>
      <c r="D106" s="9"/>
      <c r="E106" s="9"/>
      <c r="F106" s="9"/>
      <c r="G106" s="9"/>
      <c r="H106" s="9"/>
      <c r="I106" s="9"/>
      <c r="J106" s="9"/>
      <c r="K106" s="9"/>
      <c r="L106" s="31"/>
      <c r="M106" s="31"/>
      <c r="N106" s="31"/>
      <c r="O106" s="31"/>
      <c r="P106" s="31"/>
      <c r="Q106" s="31"/>
    </row>
    <row r="107" spans="2:17" s="14" customFormat="1" ht="12.75" customHeight="1">
      <c r="B107" s="9" t="s">
        <v>393</v>
      </c>
      <c r="C107" s="9"/>
      <c r="D107" s="9"/>
      <c r="E107" s="9"/>
      <c r="F107" s="9"/>
      <c r="G107" s="9"/>
      <c r="H107" s="9"/>
      <c r="I107" s="9"/>
      <c r="J107" s="9"/>
      <c r="K107" s="9"/>
      <c r="L107" s="426">
        <f>+F94</f>
        <v>2.2719999999999998</v>
      </c>
      <c r="M107" s="427">
        <v>2.35</v>
      </c>
      <c r="N107" s="427">
        <v>2.4500000000000002</v>
      </c>
      <c r="O107" s="427">
        <v>2.5299999999999998</v>
      </c>
      <c r="P107" s="427">
        <v>2.62</v>
      </c>
      <c r="Q107" s="426">
        <f>+P107*(1+Q108)</f>
        <v>2.713201581027668</v>
      </c>
    </row>
    <row r="108" spans="2:17" s="14" customFormat="1" ht="12.75" customHeight="1">
      <c r="B108" s="9" t="s">
        <v>356</v>
      </c>
      <c r="C108" s="9"/>
      <c r="D108" s="9"/>
      <c r="E108" s="9"/>
      <c r="F108" s="9"/>
      <c r="G108" s="9"/>
      <c r="H108" s="9"/>
      <c r="I108" s="9"/>
      <c r="J108" s="9"/>
      <c r="K108" s="9"/>
      <c r="L108" s="426"/>
      <c r="M108" s="245">
        <f>+M107/L107-1</f>
        <v>3.4330985915492995E-2</v>
      </c>
      <c r="N108" s="245">
        <f t="shared" ref="N108:P108" si="87">+N107/M107-1</f>
        <v>4.2553191489361764E-2</v>
      </c>
      <c r="O108" s="245">
        <f t="shared" si="87"/>
        <v>3.2653061224489743E-2</v>
      </c>
      <c r="P108" s="245">
        <f t="shared" si="87"/>
        <v>3.5573122529644285E-2</v>
      </c>
      <c r="Q108" s="277">
        <f>+P108</f>
        <v>3.5573122529644285E-2</v>
      </c>
    </row>
    <row r="109" spans="2:17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</row>
    <row r="110" spans="2:17" ht="16" customHeight="1" thickBot="1">
      <c r="B110" s="239" t="s">
        <v>91</v>
      </c>
      <c r="C110" s="239"/>
      <c r="D110" s="240"/>
      <c r="E110" s="240"/>
      <c r="F110" s="240"/>
      <c r="G110" s="240"/>
      <c r="H110" s="240"/>
      <c r="I110" s="240"/>
      <c r="J110" s="240"/>
      <c r="K110" s="240"/>
      <c r="L110" s="240"/>
      <c r="M110" s="240"/>
      <c r="N110" s="240"/>
      <c r="O110" s="240"/>
      <c r="P110" s="241"/>
      <c r="Q110" s="241"/>
    </row>
    <row r="111" spans="2:17" ht="15" customHeight="1">
      <c r="B111" s="230" t="str">
        <f>$B$7</f>
        <v>Twelve months ended December 31,</v>
      </c>
      <c r="C111" s="230"/>
      <c r="D111" s="230"/>
      <c r="E111" s="230"/>
      <c r="F111" s="230"/>
      <c r="G111" s="230"/>
      <c r="H111" s="230"/>
      <c r="I111" s="259"/>
      <c r="J111" s="259"/>
      <c r="K111" s="283">
        <f t="shared" ref="K111:Q111" si="88">K7</f>
        <v>2018</v>
      </c>
      <c r="L111" s="284">
        <f t="shared" si="88"/>
        <v>2019</v>
      </c>
      <c r="M111" s="260">
        <f t="shared" si="88"/>
        <v>2020</v>
      </c>
      <c r="N111" s="260">
        <f t="shared" si="88"/>
        <v>2021</v>
      </c>
      <c r="O111" s="260">
        <f t="shared" si="88"/>
        <v>2022</v>
      </c>
      <c r="P111" s="260">
        <f t="shared" si="88"/>
        <v>2023</v>
      </c>
      <c r="Q111" s="260">
        <f t="shared" si="88"/>
        <v>2024</v>
      </c>
    </row>
    <row r="112" spans="2:17" s="14" customFormat="1" ht="15" customHeight="1">
      <c r="B112" s="182" t="s">
        <v>128</v>
      </c>
      <c r="C112" s="182"/>
      <c r="D112" s="9"/>
      <c r="E112" s="9"/>
      <c r="F112" s="9"/>
      <c r="G112" s="9"/>
      <c r="H112" s="9"/>
      <c r="I112" s="19"/>
      <c r="J112" s="19"/>
      <c r="K112" s="19"/>
      <c r="L112" s="19"/>
      <c r="M112" s="19"/>
      <c r="N112" s="19"/>
      <c r="O112" s="19"/>
      <c r="P112" s="19"/>
      <c r="Q112" s="19"/>
    </row>
    <row r="113" spans="2:17" s="14" customFormat="1" ht="12.75" customHeight="1">
      <c r="B113" s="9" t="s">
        <v>122</v>
      </c>
      <c r="C113" s="182"/>
      <c r="D113" s="9"/>
      <c r="E113" s="9"/>
      <c r="F113" s="9"/>
      <c r="G113" s="9"/>
      <c r="H113" s="9"/>
      <c r="I113" s="19"/>
      <c r="J113" s="19"/>
      <c r="L113" s="227">
        <f>K121</f>
        <v>0</v>
      </c>
      <c r="M113" s="227">
        <f ca="1">L118</f>
        <v>0</v>
      </c>
      <c r="N113" s="227">
        <f ca="1">M118</f>
        <v>0</v>
      </c>
      <c r="O113" s="227">
        <f ca="1">N118</f>
        <v>0</v>
      </c>
      <c r="P113" s="227">
        <f ca="1">O118</f>
        <v>0</v>
      </c>
      <c r="Q113" s="227">
        <f ca="1">P118</f>
        <v>0</v>
      </c>
    </row>
    <row r="114" spans="2:17" s="14" customFormat="1" ht="12.75" customHeight="1">
      <c r="B114" s="9" t="s">
        <v>123</v>
      </c>
      <c r="C114" s="182"/>
      <c r="D114" s="9"/>
      <c r="E114" s="9"/>
      <c r="F114" s="9"/>
      <c r="G114" s="9"/>
      <c r="H114" s="9"/>
      <c r="I114" s="19"/>
      <c r="J114" s="19"/>
      <c r="K114" s="288"/>
      <c r="L114" s="23">
        <f t="shared" ref="L114:Q114" si="89">L101</f>
        <v>47.442</v>
      </c>
      <c r="M114" s="23">
        <f t="shared" ca="1" si="89"/>
        <v>286.88728155625995</v>
      </c>
      <c r="N114" s="23">
        <f t="shared" ca="1" si="89"/>
        <v>541.14119130852237</v>
      </c>
      <c r="O114" s="23">
        <f t="shared" ca="1" si="89"/>
        <v>806.5099331378384</v>
      </c>
      <c r="P114" s="23">
        <f t="shared" ca="1" si="89"/>
        <v>1096.6490295858421</v>
      </c>
      <c r="Q114" s="23">
        <f t="shared" ca="1" si="89"/>
        <v>1347.097168057835</v>
      </c>
    </row>
    <row r="115" spans="2:17" s="14" customFormat="1" ht="12.75" customHeight="1">
      <c r="B115" s="9" t="s">
        <v>124</v>
      </c>
      <c r="C115" s="182"/>
      <c r="D115" s="9"/>
      <c r="E115" s="9"/>
      <c r="F115" s="9"/>
      <c r="G115" s="9"/>
      <c r="H115" s="9"/>
      <c r="I115" s="19"/>
      <c r="J115" s="19"/>
      <c r="K115" s="288"/>
      <c r="L115" s="23">
        <f t="shared" ref="L115:Q115" ca="1" si="90">L87+L91+SUM(L93:L95)</f>
        <v>239.44528155625994</v>
      </c>
      <c r="M115" s="23">
        <f t="shared" ca="1" si="90"/>
        <v>254.25390975226242</v>
      </c>
      <c r="N115" s="23">
        <f t="shared" ca="1" si="90"/>
        <v>265.36874182931604</v>
      </c>
      <c r="O115" s="23">
        <f t="shared" ca="1" si="90"/>
        <v>290.13909644800356</v>
      </c>
      <c r="P115" s="23">
        <f t="shared" ca="1" si="90"/>
        <v>250.44813847199293</v>
      </c>
      <c r="Q115" s="23">
        <f t="shared" ca="1" si="90"/>
        <v>227.08579407044181</v>
      </c>
    </row>
    <row r="116" spans="2:17" s="14" customFormat="1" ht="12.75" customHeight="1">
      <c r="B116" s="9" t="s">
        <v>125</v>
      </c>
      <c r="C116" s="182"/>
      <c r="D116" s="9"/>
      <c r="E116" s="9"/>
      <c r="F116" s="9"/>
      <c r="G116" s="9"/>
      <c r="H116" s="9"/>
      <c r="I116" s="19"/>
      <c r="J116" s="19"/>
      <c r="K116" s="288"/>
      <c r="L116" s="23">
        <f>-F96</f>
        <v>-10</v>
      </c>
      <c r="M116" s="23">
        <f>L116</f>
        <v>-10</v>
      </c>
      <c r="N116" s="23">
        <f>M116</f>
        <v>-10</v>
      </c>
      <c r="O116" s="23">
        <f>N116</f>
        <v>-10</v>
      </c>
      <c r="P116" s="23">
        <f>O116</f>
        <v>-10</v>
      </c>
      <c r="Q116" s="23">
        <f>P116</f>
        <v>-10</v>
      </c>
    </row>
    <row r="117" spans="2:17" s="14" customFormat="1" ht="12.75" customHeight="1">
      <c r="B117" s="9" t="s">
        <v>127</v>
      </c>
      <c r="C117" s="182"/>
      <c r="D117" s="9"/>
      <c r="E117" s="9"/>
      <c r="F117" s="9"/>
      <c r="G117" s="9"/>
      <c r="H117" s="9"/>
      <c r="I117" s="19"/>
      <c r="J117" s="19"/>
      <c r="K117" s="288"/>
      <c r="L117" s="23">
        <f t="shared" ref="L117:Q117" ca="1" si="91">-MIN(SUM(L114:L116),L113)</f>
        <v>0</v>
      </c>
      <c r="M117" s="23">
        <f t="shared" ca="1" si="91"/>
        <v>0</v>
      </c>
      <c r="N117" s="23">
        <f t="shared" ca="1" si="91"/>
        <v>0</v>
      </c>
      <c r="O117" s="23">
        <f t="shared" ca="1" si="91"/>
        <v>0</v>
      </c>
      <c r="P117" s="23">
        <f t="shared" ca="1" si="91"/>
        <v>0</v>
      </c>
      <c r="Q117" s="23">
        <f t="shared" ca="1" si="91"/>
        <v>0</v>
      </c>
    </row>
    <row r="118" spans="2:17" s="14" customFormat="1" ht="12.75" customHeight="1">
      <c r="B118" s="9" t="s">
        <v>126</v>
      </c>
      <c r="C118" s="182"/>
      <c r="D118" s="9"/>
      <c r="E118" s="9"/>
      <c r="F118" s="9"/>
      <c r="G118" s="9"/>
      <c r="H118" s="9"/>
      <c r="I118" s="19"/>
      <c r="J118" s="19"/>
      <c r="K118" s="288"/>
      <c r="L118" s="289">
        <f t="shared" ref="L118:Q118" ca="1" si="92">L113+L117</f>
        <v>0</v>
      </c>
      <c r="M118" s="289">
        <f t="shared" ca="1" si="92"/>
        <v>0</v>
      </c>
      <c r="N118" s="289">
        <f t="shared" ca="1" si="92"/>
        <v>0</v>
      </c>
      <c r="O118" s="289">
        <f t="shared" ca="1" si="92"/>
        <v>0</v>
      </c>
      <c r="P118" s="289">
        <f t="shared" ca="1" si="92"/>
        <v>0</v>
      </c>
      <c r="Q118" s="289">
        <f t="shared" ca="1" si="92"/>
        <v>0</v>
      </c>
    </row>
    <row r="119" spans="2:17" s="14" customFormat="1" ht="12.75" customHeight="1">
      <c r="B119" s="9"/>
      <c r="C119" s="182"/>
      <c r="D119" s="9"/>
      <c r="E119" s="9"/>
      <c r="F119" s="9"/>
      <c r="G119" s="9"/>
      <c r="H119" s="9"/>
      <c r="I119" s="19"/>
      <c r="J119" s="19"/>
      <c r="K119" s="288"/>
      <c r="L119" s="15"/>
      <c r="M119" s="15"/>
      <c r="N119" s="15"/>
      <c r="O119" s="15"/>
      <c r="P119" s="15"/>
      <c r="Q119" s="15"/>
    </row>
    <row r="120" spans="2:17" ht="12.75" customHeight="1">
      <c r="B120" s="99" t="s">
        <v>46</v>
      </c>
      <c r="C120" s="99"/>
      <c r="I120" s="102"/>
      <c r="J120" s="102"/>
      <c r="K120" s="290"/>
      <c r="L120" s="242"/>
      <c r="M120" s="242"/>
      <c r="N120" s="242"/>
      <c r="O120" s="242"/>
      <c r="P120" s="242"/>
      <c r="Q120" s="242"/>
    </row>
    <row r="121" spans="2:17" ht="12.75" customHeight="1">
      <c r="B121" s="3" t="s">
        <v>21</v>
      </c>
      <c r="J121" s="279"/>
      <c r="K121" s="134">
        <v>0</v>
      </c>
      <c r="L121" s="31">
        <f t="shared" ref="L121:Q121" ca="1" si="93">L118</f>
        <v>0</v>
      </c>
      <c r="M121" s="31">
        <f t="shared" ca="1" si="93"/>
        <v>0</v>
      </c>
      <c r="N121" s="31">
        <f t="shared" ca="1" si="93"/>
        <v>0</v>
      </c>
      <c r="O121" s="31">
        <f t="shared" ca="1" si="93"/>
        <v>0</v>
      </c>
      <c r="P121" s="31">
        <f t="shared" ca="1" si="93"/>
        <v>0</v>
      </c>
      <c r="Q121" s="31">
        <f t="shared" ca="1" si="93"/>
        <v>0</v>
      </c>
    </row>
    <row r="122" spans="2:17" ht="12.75" customHeight="1">
      <c r="B122" s="1" t="s">
        <v>307</v>
      </c>
      <c r="C122" s="1"/>
      <c r="J122" s="175"/>
      <c r="K122" s="136">
        <v>2443.9529999999995</v>
      </c>
      <c r="L122" s="54">
        <f t="shared" ref="L122:Q124" si="94">K122-L132</f>
        <v>2419.5134699999994</v>
      </c>
      <c r="M122" s="54">
        <f t="shared" si="94"/>
        <v>2395.0739399999993</v>
      </c>
      <c r="N122" s="54">
        <f t="shared" si="94"/>
        <v>2370.6344099999992</v>
      </c>
      <c r="O122" s="54">
        <f t="shared" si="94"/>
        <v>2346.1948799999991</v>
      </c>
      <c r="P122" s="54">
        <f t="shared" si="94"/>
        <v>2321.755349999999</v>
      </c>
      <c r="Q122" s="54">
        <f t="shared" si="94"/>
        <v>2297.3158199999989</v>
      </c>
    </row>
    <row r="123" spans="2:17" ht="12.75" customHeight="1">
      <c r="B123" s="1" t="s">
        <v>308</v>
      </c>
      <c r="C123" s="1"/>
      <c r="J123" s="175"/>
      <c r="K123" s="136">
        <v>440.7</v>
      </c>
      <c r="L123" s="54">
        <f t="shared" si="94"/>
        <v>436.29300000000001</v>
      </c>
      <c r="M123" s="54">
        <f t="shared" si="94"/>
        <v>431.88600000000002</v>
      </c>
      <c r="N123" s="54">
        <f t="shared" si="94"/>
        <v>427.47900000000004</v>
      </c>
      <c r="O123" s="54">
        <f t="shared" si="94"/>
        <v>423.07200000000006</v>
      </c>
      <c r="P123" s="54">
        <f t="shared" si="94"/>
        <v>418.66500000000008</v>
      </c>
      <c r="Q123" s="54">
        <f t="shared" si="94"/>
        <v>414.2580000000001</v>
      </c>
    </row>
    <row r="124" spans="2:17" ht="12.75" customHeight="1">
      <c r="B124" s="1" t="s">
        <v>309</v>
      </c>
      <c r="C124" s="1"/>
      <c r="J124" s="175"/>
      <c r="K124" s="136">
        <v>5933.2860000000001</v>
      </c>
      <c r="L124" s="54">
        <f t="shared" si="94"/>
        <v>5933.2860000000001</v>
      </c>
      <c r="M124" s="54">
        <f t="shared" si="94"/>
        <v>5933.2860000000001</v>
      </c>
      <c r="N124" s="54">
        <f t="shared" si="94"/>
        <v>5933.2860000000001</v>
      </c>
      <c r="O124" s="54">
        <f t="shared" si="94"/>
        <v>5933.2860000000001</v>
      </c>
      <c r="P124" s="54">
        <f t="shared" si="94"/>
        <v>5933.2860000000001</v>
      </c>
      <c r="Q124" s="54">
        <f t="shared" si="94"/>
        <v>5933.2860000000001</v>
      </c>
    </row>
    <row r="125" spans="2:17" ht="12.75" customHeight="1">
      <c r="B125" s="110" t="s">
        <v>22</v>
      </c>
      <c r="C125" s="110"/>
      <c r="J125" s="209"/>
      <c r="K125" s="273">
        <f>SUM(K121:K124)</f>
        <v>8817.9389999999985</v>
      </c>
      <c r="L125" s="278">
        <f t="shared" ref="L125:Q125" ca="1" si="95">SUM(L121:L124)</f>
        <v>8789.0924699999996</v>
      </c>
      <c r="M125" s="278">
        <f t="shared" ca="1" si="95"/>
        <v>8760.2459399999989</v>
      </c>
      <c r="N125" s="278">
        <f t="shared" ca="1" si="95"/>
        <v>8731.3994099999982</v>
      </c>
      <c r="O125" s="278">
        <f t="shared" ca="1" si="95"/>
        <v>8702.5528799999993</v>
      </c>
      <c r="P125" s="286">
        <f t="shared" ca="1" si="95"/>
        <v>8673.7063499999986</v>
      </c>
      <c r="Q125" s="286">
        <f t="shared" ca="1" si="95"/>
        <v>8644.8598199999997</v>
      </c>
    </row>
    <row r="126" spans="2:17" ht="12.75" customHeight="1">
      <c r="B126" s="3" t="s">
        <v>6</v>
      </c>
      <c r="J126" s="209"/>
      <c r="K126" s="118">
        <v>0</v>
      </c>
      <c r="L126" s="118">
        <v>0</v>
      </c>
      <c r="M126" s="118">
        <v>0</v>
      </c>
      <c r="N126" s="118">
        <v>0</v>
      </c>
      <c r="O126" s="118">
        <v>0</v>
      </c>
      <c r="P126" s="118">
        <v>0</v>
      </c>
      <c r="Q126" s="118">
        <v>0</v>
      </c>
    </row>
    <row r="127" spans="2:17" ht="12.75" customHeight="1">
      <c r="B127" s="3" t="s">
        <v>7</v>
      </c>
      <c r="J127" s="209"/>
      <c r="K127" s="118">
        <v>0</v>
      </c>
      <c r="L127" s="118">
        <v>0</v>
      </c>
      <c r="M127" s="118">
        <v>0</v>
      </c>
      <c r="N127" s="118">
        <v>0</v>
      </c>
      <c r="O127" s="118">
        <v>0</v>
      </c>
      <c r="P127" s="118">
        <v>0</v>
      </c>
      <c r="Q127" s="118">
        <v>0</v>
      </c>
    </row>
    <row r="128" spans="2:17" ht="12.75" customHeight="1">
      <c r="B128" s="3" t="s">
        <v>49</v>
      </c>
      <c r="J128" s="209"/>
      <c r="K128" s="179">
        <f t="shared" ref="K128:Q128" si="96">+K75</f>
        <v>10781.048000000001</v>
      </c>
      <c r="L128" s="179">
        <f t="shared" ca="1" si="96"/>
        <v>10432.592321576483</v>
      </c>
      <c r="M128" s="179">
        <f t="shared" ca="1" si="96"/>
        <v>10097.478486854689</v>
      </c>
      <c r="N128" s="179">
        <f t="shared" ca="1" si="96"/>
        <v>9765.703862800483</v>
      </c>
      <c r="O128" s="179">
        <f t="shared" ca="1" si="96"/>
        <v>9452.9617445142994</v>
      </c>
      <c r="P128" s="179">
        <f t="shared" ca="1" si="96"/>
        <v>9114.2751410781275</v>
      </c>
      <c r="Q128" s="179">
        <f t="shared" ca="1" si="96"/>
        <v>8748.2838925820633</v>
      </c>
    </row>
    <row r="129" spans="2:17" ht="12.75" customHeight="1">
      <c r="B129" s="110" t="s">
        <v>23</v>
      </c>
      <c r="C129" s="110"/>
      <c r="J129" s="202"/>
      <c r="K129" s="273">
        <f t="shared" ref="K129:Q129" si="97">SUM(K125:K128)</f>
        <v>19598.987000000001</v>
      </c>
      <c r="L129" s="278">
        <f t="shared" ca="1" si="97"/>
        <v>19221.684791576481</v>
      </c>
      <c r="M129" s="278">
        <f t="shared" ca="1" si="97"/>
        <v>18857.724426854686</v>
      </c>
      <c r="N129" s="278">
        <f t="shared" ca="1" si="97"/>
        <v>18497.103272800479</v>
      </c>
      <c r="O129" s="278">
        <f t="shared" ca="1" si="97"/>
        <v>18155.514624514297</v>
      </c>
      <c r="P129" s="286">
        <f t="shared" ca="1" si="97"/>
        <v>17787.981491078128</v>
      </c>
      <c r="Q129" s="286">
        <f t="shared" ca="1" si="97"/>
        <v>17393.143712582063</v>
      </c>
    </row>
    <row r="130" spans="2:17" ht="12.75" customHeight="1">
      <c r="B130" s="110"/>
      <c r="C130" s="110"/>
      <c r="J130" s="202"/>
      <c r="K130" s="54"/>
      <c r="L130" s="54"/>
      <c r="M130" s="54"/>
      <c r="N130" s="54"/>
      <c r="O130" s="54"/>
      <c r="P130" s="54"/>
      <c r="Q130" s="54"/>
    </row>
    <row r="131" spans="2:17" ht="12.75" customHeight="1">
      <c r="B131" s="99" t="s">
        <v>24</v>
      </c>
      <c r="C131" s="99"/>
      <c r="K131" s="118"/>
      <c r="L131" s="118"/>
      <c r="M131" s="118"/>
      <c r="N131" s="118"/>
      <c r="O131" s="118"/>
      <c r="P131" s="118"/>
      <c r="Q131" s="118"/>
    </row>
    <row r="132" spans="2:17" ht="12.75" customHeight="1">
      <c r="B132" s="3" t="str">
        <f>B122</f>
        <v>Mortgage Debt</v>
      </c>
      <c r="F132" s="370">
        <v>0.01</v>
      </c>
      <c r="K132" s="118"/>
      <c r="L132" s="141">
        <f t="shared" ref="L132:Q132" si="98">+$F$132*$K$122</f>
        <v>24.439529999999994</v>
      </c>
      <c r="M132" s="141">
        <f t="shared" si="98"/>
        <v>24.439529999999994</v>
      </c>
      <c r="N132" s="141">
        <f t="shared" si="98"/>
        <v>24.439529999999994</v>
      </c>
      <c r="O132" s="141">
        <f t="shared" si="98"/>
        <v>24.439529999999994</v>
      </c>
      <c r="P132" s="141">
        <f t="shared" si="98"/>
        <v>24.439529999999994</v>
      </c>
      <c r="Q132" s="141">
        <f t="shared" si="98"/>
        <v>24.439529999999994</v>
      </c>
    </row>
    <row r="133" spans="2:17" ht="12.75" customHeight="1">
      <c r="B133" s="3" t="str">
        <f>B123</f>
        <v>Tax Exempt Bonds</v>
      </c>
      <c r="F133" s="370">
        <v>0.01</v>
      </c>
      <c r="K133" s="118"/>
      <c r="L133" s="141">
        <f t="shared" ref="L133:Q133" si="99">+$F$133*$K$123</f>
        <v>4.407</v>
      </c>
      <c r="M133" s="141">
        <f t="shared" si="99"/>
        <v>4.407</v>
      </c>
      <c r="N133" s="141">
        <f t="shared" si="99"/>
        <v>4.407</v>
      </c>
      <c r="O133" s="141">
        <f t="shared" si="99"/>
        <v>4.407</v>
      </c>
      <c r="P133" s="141">
        <f t="shared" si="99"/>
        <v>4.407</v>
      </c>
      <c r="Q133" s="141">
        <f t="shared" si="99"/>
        <v>4.407</v>
      </c>
    </row>
    <row r="134" spans="2:17" ht="12.75" customHeight="1">
      <c r="B134" s="3" t="str">
        <f>B124</f>
        <v>Unsecured Notes</v>
      </c>
      <c r="K134" s="54"/>
      <c r="L134" s="141">
        <v>0</v>
      </c>
      <c r="M134" s="141">
        <v>0</v>
      </c>
      <c r="N134" s="141">
        <v>0</v>
      </c>
      <c r="O134" s="141">
        <v>0</v>
      </c>
      <c r="P134" s="141">
        <v>0</v>
      </c>
      <c r="Q134" s="141">
        <v>0</v>
      </c>
    </row>
    <row r="135" spans="2:17" ht="12.75" customHeight="1">
      <c r="B135" s="110" t="s">
        <v>25</v>
      </c>
      <c r="C135" s="110"/>
      <c r="K135" s="54"/>
      <c r="L135" s="278">
        <f t="shared" ref="L135:Q135" si="100">SUM(L132:L134)</f>
        <v>28.846529999999994</v>
      </c>
      <c r="M135" s="278">
        <f t="shared" si="100"/>
        <v>28.846529999999994</v>
      </c>
      <c r="N135" s="278">
        <f t="shared" si="100"/>
        <v>28.846529999999994</v>
      </c>
      <c r="O135" s="278">
        <f t="shared" si="100"/>
        <v>28.846529999999994</v>
      </c>
      <c r="P135" s="278">
        <f t="shared" si="100"/>
        <v>28.846529999999994</v>
      </c>
      <c r="Q135" s="278">
        <f t="shared" si="100"/>
        <v>28.846529999999994</v>
      </c>
    </row>
    <row r="136" spans="2:17" ht="12.75" customHeight="1">
      <c r="B136" s="110"/>
      <c r="C136" s="110"/>
      <c r="K136" s="118"/>
      <c r="L136" s="54"/>
      <c r="M136" s="54"/>
      <c r="N136" s="54"/>
      <c r="O136" s="54"/>
      <c r="P136" s="54"/>
      <c r="Q136" s="54"/>
    </row>
    <row r="137" spans="2:17" ht="12.75" customHeight="1">
      <c r="B137" s="99" t="s">
        <v>37</v>
      </c>
      <c r="C137" s="99"/>
      <c r="E137" s="102"/>
      <c r="F137" s="4"/>
      <c r="G137" s="4"/>
      <c r="H137" s="4"/>
      <c r="K137" s="118"/>
      <c r="L137" s="118"/>
      <c r="M137" s="118"/>
      <c r="N137" s="118"/>
      <c r="O137" s="118"/>
      <c r="P137" s="118"/>
      <c r="Q137" s="118"/>
    </row>
    <row r="138" spans="2:17" ht="12.75" customHeight="1">
      <c r="B138" s="3" t="str">
        <f>B121</f>
        <v>Revolver</v>
      </c>
      <c r="E138" s="237"/>
      <c r="F138" s="258" t="s">
        <v>137</v>
      </c>
      <c r="G138" s="4"/>
      <c r="H138" s="4"/>
      <c r="K138" s="118"/>
      <c r="L138" s="118">
        <f t="shared" ref="L138:Q138" ca="1" si="101">AVERAGE(K121:L121)*L157</f>
        <v>0</v>
      </c>
      <c r="M138" s="118">
        <f t="shared" ca="1" si="101"/>
        <v>0</v>
      </c>
      <c r="N138" s="118">
        <f t="shared" ca="1" si="101"/>
        <v>0</v>
      </c>
      <c r="O138" s="118">
        <f t="shared" ca="1" si="101"/>
        <v>0</v>
      </c>
      <c r="P138" s="118">
        <f t="shared" ca="1" si="101"/>
        <v>0</v>
      </c>
      <c r="Q138" s="118">
        <f t="shared" ca="1" si="101"/>
        <v>0</v>
      </c>
    </row>
    <row r="139" spans="2:17" ht="12.75" customHeight="1">
      <c r="B139" s="3" t="s">
        <v>160</v>
      </c>
      <c r="E139" s="237"/>
      <c r="F139" s="291">
        <v>1500</v>
      </c>
      <c r="G139" s="4"/>
      <c r="H139" s="4"/>
      <c r="K139" s="118"/>
      <c r="L139" s="54">
        <f t="shared" ref="L139:Q139" ca="1" si="102">($F139-AVERAGE(K121:L121))*L158</f>
        <v>0</v>
      </c>
      <c r="M139" s="54">
        <f t="shared" ca="1" si="102"/>
        <v>0</v>
      </c>
      <c r="N139" s="54">
        <f t="shared" ca="1" si="102"/>
        <v>0</v>
      </c>
      <c r="O139" s="54">
        <f t="shared" ca="1" si="102"/>
        <v>0</v>
      </c>
      <c r="P139" s="54">
        <f t="shared" ca="1" si="102"/>
        <v>0</v>
      </c>
      <c r="Q139" s="54">
        <f t="shared" ca="1" si="102"/>
        <v>0</v>
      </c>
    </row>
    <row r="140" spans="2:17" ht="12.75" customHeight="1">
      <c r="B140" s="3" t="str">
        <f>B122</f>
        <v>Mortgage Debt</v>
      </c>
      <c r="E140" s="237"/>
      <c r="F140" s="292"/>
      <c r="G140" s="4"/>
      <c r="H140" s="4"/>
      <c r="K140" s="118"/>
      <c r="L140" s="54">
        <f t="shared" ref="L140:Q142" si="103">AVERAGE(K122:L122)*L159</f>
        <v>100.9169292525</v>
      </c>
      <c r="M140" s="54">
        <f t="shared" si="103"/>
        <v>99.902688757499973</v>
      </c>
      <c r="N140" s="54">
        <f t="shared" si="103"/>
        <v>98.888448262499978</v>
      </c>
      <c r="O140" s="54">
        <f t="shared" si="103"/>
        <v>97.874207767499954</v>
      </c>
      <c r="P140" s="54">
        <f t="shared" si="103"/>
        <v>96.859967272499972</v>
      </c>
      <c r="Q140" s="54">
        <f t="shared" si="103"/>
        <v>95.845726777499948</v>
      </c>
    </row>
    <row r="141" spans="2:17" ht="12.75" customHeight="1">
      <c r="B141" s="3" t="str">
        <f>B123</f>
        <v>Tax Exempt Bonds</v>
      </c>
      <c r="E141" s="237"/>
      <c r="F141" s="231"/>
      <c r="G141" s="4"/>
      <c r="H141" s="4"/>
      <c r="K141" s="118"/>
      <c r="L141" s="54">
        <f t="shared" si="103"/>
        <v>13.154894999999998</v>
      </c>
      <c r="M141" s="54">
        <f t="shared" si="103"/>
        <v>13.022685000000001</v>
      </c>
      <c r="N141" s="54">
        <f t="shared" si="103"/>
        <v>12.890475</v>
      </c>
      <c r="O141" s="54">
        <f t="shared" si="103"/>
        <v>12.758265000000002</v>
      </c>
      <c r="P141" s="54">
        <f t="shared" si="103"/>
        <v>12.626055000000001</v>
      </c>
      <c r="Q141" s="54">
        <f t="shared" si="103"/>
        <v>12.493845000000002</v>
      </c>
    </row>
    <row r="142" spans="2:17" ht="12.75" customHeight="1">
      <c r="B142" s="3" t="str">
        <f>B124</f>
        <v>Unsecured Notes</v>
      </c>
      <c r="E142" s="237"/>
      <c r="F142" s="371"/>
      <c r="G142" s="4"/>
      <c r="H142" s="4"/>
      <c r="K142" s="118"/>
      <c r="L142" s="54">
        <f t="shared" si="103"/>
        <v>252.16465500000001</v>
      </c>
      <c r="M142" s="54">
        <f t="shared" si="103"/>
        <v>252.16465500000001</v>
      </c>
      <c r="N142" s="54">
        <f t="shared" si="103"/>
        <v>252.16465500000001</v>
      </c>
      <c r="O142" s="54">
        <f t="shared" si="103"/>
        <v>252.16465500000001</v>
      </c>
      <c r="P142" s="54">
        <f t="shared" si="103"/>
        <v>252.16465500000001</v>
      </c>
      <c r="Q142" s="54">
        <f t="shared" si="103"/>
        <v>252.16465500000001</v>
      </c>
    </row>
    <row r="143" spans="2:17" ht="12.75" customHeight="1">
      <c r="B143" s="110" t="s">
        <v>26</v>
      </c>
      <c r="C143" s="110"/>
      <c r="E143" s="237"/>
      <c r="F143" s="4"/>
      <c r="G143" s="4"/>
      <c r="H143" s="4"/>
      <c r="K143" s="118"/>
      <c r="L143" s="293">
        <f t="shared" ref="L143:Q143" ca="1" si="104">SUM(L138:L142)</f>
        <v>366.23647925249998</v>
      </c>
      <c r="M143" s="294">
        <f t="shared" ca="1" si="104"/>
        <v>365.09002875749997</v>
      </c>
      <c r="N143" s="294">
        <f t="shared" ca="1" si="104"/>
        <v>363.94357826249995</v>
      </c>
      <c r="O143" s="294">
        <f t="shared" ca="1" si="104"/>
        <v>362.7971277675</v>
      </c>
      <c r="P143" s="295">
        <f t="shared" ca="1" si="104"/>
        <v>361.65067727249999</v>
      </c>
      <c r="Q143" s="295">
        <f t="shared" ca="1" si="104"/>
        <v>360.50422677749998</v>
      </c>
    </row>
    <row r="144" spans="2:17" ht="12.75" customHeight="1">
      <c r="B144" s="3" t="s">
        <v>129</v>
      </c>
      <c r="E144" s="237"/>
      <c r="F144" s="296"/>
      <c r="G144" s="4"/>
      <c r="H144" s="4"/>
      <c r="K144" s="118"/>
      <c r="L144" s="179">
        <f t="shared" ref="L144:Q144" ca="1" si="105">-AVERAGE(K58:L58)*L162</f>
        <v>-0.8358232038906499</v>
      </c>
      <c r="M144" s="179">
        <f t="shared" ca="1" si="105"/>
        <v>-2.0700711821619557</v>
      </c>
      <c r="N144" s="179">
        <f t="shared" ca="1" si="105"/>
        <v>-3.3691278111159022</v>
      </c>
      <c r="O144" s="179">
        <f t="shared" ca="1" si="105"/>
        <v>-4.7578974068092013</v>
      </c>
      <c r="P144" s="179">
        <f t="shared" ca="1" si="105"/>
        <v>-6.1093654941091931</v>
      </c>
      <c r="Q144" s="179">
        <f t="shared" ca="1" si="105"/>
        <v>-7.30320032546528</v>
      </c>
    </row>
    <row r="145" spans="2:17" ht="12.75" customHeight="1">
      <c r="B145" s="110" t="s">
        <v>12</v>
      </c>
      <c r="C145" s="110"/>
      <c r="E145" s="4"/>
      <c r="F145" s="4"/>
      <c r="G145" s="4"/>
      <c r="H145" s="4"/>
      <c r="K145" s="118"/>
      <c r="L145" s="293">
        <f t="shared" ref="L145:Q145" ca="1" si="106">SUM(L143:L144)</f>
        <v>365.40065604860933</v>
      </c>
      <c r="M145" s="293">
        <f t="shared" ca="1" si="106"/>
        <v>363.01995757533803</v>
      </c>
      <c r="N145" s="293">
        <f t="shared" ca="1" si="106"/>
        <v>360.57445045138405</v>
      </c>
      <c r="O145" s="293">
        <f t="shared" ca="1" si="106"/>
        <v>358.03923036069079</v>
      </c>
      <c r="P145" s="293">
        <f t="shared" ca="1" si="106"/>
        <v>355.54131177839082</v>
      </c>
      <c r="Q145" s="293">
        <f t="shared" ca="1" si="106"/>
        <v>353.20102645203468</v>
      </c>
    </row>
    <row r="146" spans="2:17" ht="12.75" customHeight="1">
      <c r="L146" s="197"/>
      <c r="M146" s="197"/>
      <c r="N146" s="197"/>
      <c r="O146" s="197"/>
      <c r="P146" s="197"/>
      <c r="Q146" s="197"/>
    </row>
    <row r="147" spans="2:17" ht="16" customHeight="1" thickBot="1">
      <c r="B147" s="239" t="s">
        <v>175</v>
      </c>
      <c r="C147" s="239"/>
      <c r="D147" s="240"/>
      <c r="E147" s="240"/>
      <c r="F147" s="240"/>
      <c r="G147" s="240"/>
      <c r="H147" s="240"/>
      <c r="I147" s="240"/>
      <c r="J147" s="240"/>
      <c r="K147" s="240"/>
      <c r="L147" s="240"/>
      <c r="M147" s="240"/>
      <c r="N147" s="240"/>
      <c r="O147" s="240"/>
      <c r="P147" s="241"/>
      <c r="Q147" s="241"/>
    </row>
    <row r="148" spans="2:17" ht="15" customHeight="1">
      <c r="B148" s="230" t="str">
        <f>+B7</f>
        <v>Twelve months ended December 31,</v>
      </c>
      <c r="C148" s="230"/>
      <c r="D148" s="230"/>
      <c r="E148" s="230"/>
      <c r="F148" s="230"/>
      <c r="G148" s="230"/>
      <c r="H148" s="230"/>
      <c r="I148" s="259"/>
      <c r="J148" s="259"/>
      <c r="K148" s="283"/>
      <c r="L148" s="284">
        <f t="shared" ref="L148:Q148" si="107">L7</f>
        <v>2019</v>
      </c>
      <c r="M148" s="260">
        <f t="shared" si="107"/>
        <v>2020</v>
      </c>
      <c r="N148" s="260">
        <f t="shared" si="107"/>
        <v>2021</v>
      </c>
      <c r="O148" s="260">
        <f t="shared" si="107"/>
        <v>2022</v>
      </c>
      <c r="P148" s="260">
        <f t="shared" si="107"/>
        <v>2023</v>
      </c>
      <c r="Q148" s="260">
        <f t="shared" si="107"/>
        <v>2024</v>
      </c>
    </row>
    <row r="149" spans="2:17" ht="15" customHeight="1">
      <c r="B149" s="99" t="s">
        <v>161</v>
      </c>
      <c r="J149" s="140"/>
      <c r="K149" s="140"/>
      <c r="L149" s="140"/>
      <c r="M149" s="140"/>
      <c r="N149" s="140"/>
      <c r="O149" s="140"/>
      <c r="P149" s="140"/>
      <c r="Q149" s="140"/>
    </row>
    <row r="150" spans="2:17" ht="12.75" customHeight="1">
      <c r="B150" s="3" t="s">
        <v>162</v>
      </c>
      <c r="J150" s="140"/>
      <c r="K150" s="140"/>
      <c r="L150" s="238">
        <v>240</v>
      </c>
      <c r="M150" s="238">
        <f>L152</f>
        <v>250</v>
      </c>
      <c r="N150" s="238">
        <f t="shared" ref="N150:Q150" si="108">M152</f>
        <v>255</v>
      </c>
      <c r="O150" s="238">
        <f t="shared" si="108"/>
        <v>260</v>
      </c>
      <c r="P150" s="238">
        <f t="shared" si="108"/>
        <v>265</v>
      </c>
      <c r="Q150" s="238">
        <f t="shared" si="108"/>
        <v>270</v>
      </c>
    </row>
    <row r="151" spans="2:17" ht="12.75" customHeight="1">
      <c r="B151" s="3" t="s">
        <v>163</v>
      </c>
      <c r="J151" s="140"/>
      <c r="K151" s="140"/>
      <c r="L151" s="238">
        <f>AVERAGE(L152,L150)</f>
        <v>245</v>
      </c>
      <c r="M151" s="238">
        <f t="shared" ref="M151:Q151" si="109">AVERAGE(M152,M150)</f>
        <v>252.5</v>
      </c>
      <c r="N151" s="238">
        <f t="shared" si="109"/>
        <v>257.5</v>
      </c>
      <c r="O151" s="238">
        <f t="shared" si="109"/>
        <v>262.5</v>
      </c>
      <c r="P151" s="238">
        <f t="shared" si="109"/>
        <v>267.5</v>
      </c>
      <c r="Q151" s="238">
        <f t="shared" si="109"/>
        <v>272.5</v>
      </c>
    </row>
    <row r="152" spans="2:17" ht="12.75" customHeight="1">
      <c r="B152" s="3" t="s">
        <v>164</v>
      </c>
      <c r="J152" s="140"/>
      <c r="K152" s="140"/>
      <c r="L152" s="238">
        <v>250</v>
      </c>
      <c r="M152" s="238">
        <f>L152+5</f>
        <v>255</v>
      </c>
      <c r="N152" s="238">
        <f t="shared" ref="N152:Q152" si="110">M152+5</f>
        <v>260</v>
      </c>
      <c r="O152" s="238">
        <f t="shared" si="110"/>
        <v>265</v>
      </c>
      <c r="P152" s="238">
        <f t="shared" si="110"/>
        <v>270</v>
      </c>
      <c r="Q152" s="238">
        <f t="shared" si="110"/>
        <v>275</v>
      </c>
    </row>
    <row r="153" spans="2:17" ht="12.75" customHeight="1">
      <c r="B153" s="110" t="s">
        <v>165</v>
      </c>
      <c r="J153" s="140"/>
      <c r="K153" s="140"/>
      <c r="L153" s="297">
        <f t="shared" ref="L153:Q153" si="111">AVERAGE(L150:L152)</f>
        <v>245</v>
      </c>
      <c r="M153" s="298">
        <f t="shared" si="111"/>
        <v>252.5</v>
      </c>
      <c r="N153" s="298">
        <f t="shared" si="111"/>
        <v>257.5</v>
      </c>
      <c r="O153" s="298">
        <f t="shared" si="111"/>
        <v>262.5</v>
      </c>
      <c r="P153" s="298">
        <f t="shared" si="111"/>
        <v>267.5</v>
      </c>
      <c r="Q153" s="299">
        <f t="shared" si="111"/>
        <v>272.5</v>
      </c>
    </row>
    <row r="154" spans="2:17" ht="12.75" customHeight="1">
      <c r="B154" s="110"/>
      <c r="J154" s="140"/>
      <c r="K154" s="140"/>
      <c r="L154" s="140"/>
      <c r="M154" s="140"/>
      <c r="N154" s="140"/>
      <c r="O154" s="140"/>
      <c r="P154" s="140"/>
      <c r="Q154" s="140"/>
    </row>
    <row r="155" spans="2:17" ht="12.75" customHeight="1">
      <c r="B155" s="110"/>
      <c r="E155" s="102" t="s">
        <v>173</v>
      </c>
      <c r="G155" s="211" t="s">
        <v>167</v>
      </c>
      <c r="H155" s="211"/>
      <c r="J155" s="140"/>
      <c r="K155" s="140"/>
      <c r="L155" s="140"/>
      <c r="M155" s="140"/>
      <c r="N155" s="140"/>
      <c r="O155" s="140"/>
      <c r="P155" s="140"/>
      <c r="Q155" s="140"/>
    </row>
    <row r="156" spans="2:17" ht="12.75" customHeight="1">
      <c r="B156" s="214" t="s">
        <v>166</v>
      </c>
      <c r="E156" s="102" t="s">
        <v>170</v>
      </c>
      <c r="F156" s="66" t="s">
        <v>174</v>
      </c>
      <c r="G156" s="66" t="s">
        <v>168</v>
      </c>
      <c r="H156" s="66" t="s">
        <v>169</v>
      </c>
      <c r="J156" s="140"/>
      <c r="K156" s="140"/>
      <c r="L156" s="140"/>
      <c r="M156" s="140"/>
      <c r="N156" s="140"/>
      <c r="O156" s="140"/>
      <c r="P156" s="140"/>
      <c r="Q156" s="140"/>
    </row>
    <row r="157" spans="2:17" ht="12.75" customHeight="1">
      <c r="B157" s="117" t="str">
        <f>+B138</f>
        <v>Revolver</v>
      </c>
      <c r="E157" s="300" t="s">
        <v>171</v>
      </c>
      <c r="F157" s="301">
        <v>0</v>
      </c>
      <c r="G157" s="302">
        <v>50</v>
      </c>
      <c r="H157" s="303">
        <v>0.02</v>
      </c>
      <c r="J157" s="140"/>
      <c r="K157" s="140"/>
      <c r="L157" s="266">
        <f t="shared" ref="L157:Q162" si="112">IF($E157="F",$F157,(MAX(L$153,$H157)+$G157)/10000)</f>
        <v>2.9499999999999998E-2</v>
      </c>
      <c r="M157" s="266">
        <f t="shared" si="112"/>
        <v>3.0249999999999999E-2</v>
      </c>
      <c r="N157" s="266">
        <f t="shared" si="112"/>
        <v>3.075E-2</v>
      </c>
      <c r="O157" s="266">
        <f t="shared" si="112"/>
        <v>3.125E-2</v>
      </c>
      <c r="P157" s="266">
        <f t="shared" si="112"/>
        <v>3.175E-2</v>
      </c>
      <c r="Q157" s="266">
        <f t="shared" si="112"/>
        <v>3.2250000000000001E-2</v>
      </c>
    </row>
    <row r="158" spans="2:17" ht="12.75" customHeight="1">
      <c r="B158" s="117" t="str">
        <f>+B139</f>
        <v>Undrawn Revolver Fee</v>
      </c>
      <c r="E158" s="236" t="s">
        <v>172</v>
      </c>
      <c r="F158" s="237">
        <v>0</v>
      </c>
      <c r="G158" s="238">
        <v>25</v>
      </c>
      <c r="H158" s="238">
        <v>0.02</v>
      </c>
      <c r="J158" s="140"/>
      <c r="K158" s="140"/>
      <c r="L158" s="266">
        <f t="shared" si="112"/>
        <v>0</v>
      </c>
      <c r="M158" s="266">
        <f t="shared" si="112"/>
        <v>0</v>
      </c>
      <c r="N158" s="266">
        <f t="shared" si="112"/>
        <v>0</v>
      </c>
      <c r="O158" s="266">
        <f t="shared" si="112"/>
        <v>0</v>
      </c>
      <c r="P158" s="266">
        <f t="shared" si="112"/>
        <v>0</v>
      </c>
      <c r="Q158" s="266">
        <f t="shared" si="112"/>
        <v>0</v>
      </c>
    </row>
    <row r="159" spans="2:17" ht="12.75" customHeight="1">
      <c r="B159" s="117" t="str">
        <f>+B140</f>
        <v>Mortgage Debt</v>
      </c>
      <c r="E159" s="236" t="s">
        <v>172</v>
      </c>
      <c r="F159" s="237">
        <v>4.1500000000000002E-2</v>
      </c>
      <c r="G159" s="238">
        <v>10</v>
      </c>
      <c r="H159" s="238">
        <v>100</v>
      </c>
      <c r="J159" s="140"/>
      <c r="K159" s="140"/>
      <c r="L159" s="266">
        <f t="shared" si="112"/>
        <v>4.1500000000000002E-2</v>
      </c>
      <c r="M159" s="266">
        <f t="shared" si="112"/>
        <v>4.1500000000000002E-2</v>
      </c>
      <c r="N159" s="266">
        <f t="shared" si="112"/>
        <v>4.1500000000000002E-2</v>
      </c>
      <c r="O159" s="266">
        <f t="shared" si="112"/>
        <v>4.1500000000000002E-2</v>
      </c>
      <c r="P159" s="266">
        <f t="shared" si="112"/>
        <v>4.1500000000000002E-2</v>
      </c>
      <c r="Q159" s="266">
        <f t="shared" si="112"/>
        <v>4.1500000000000002E-2</v>
      </c>
    </row>
    <row r="160" spans="2:17" ht="12.75" customHeight="1">
      <c r="B160" s="117" t="str">
        <f>+B141</f>
        <v>Tax Exempt Bonds</v>
      </c>
      <c r="E160" s="236" t="s">
        <v>172</v>
      </c>
      <c r="F160" s="237">
        <v>0.03</v>
      </c>
      <c r="G160" s="238">
        <v>0</v>
      </c>
      <c r="H160" s="238">
        <v>0</v>
      </c>
      <c r="J160" s="140"/>
      <c r="K160" s="140"/>
      <c r="L160" s="266">
        <f t="shared" si="112"/>
        <v>0.03</v>
      </c>
      <c r="M160" s="266">
        <f t="shared" si="112"/>
        <v>0.03</v>
      </c>
      <c r="N160" s="266">
        <f t="shared" si="112"/>
        <v>0.03</v>
      </c>
      <c r="O160" s="266">
        <f t="shared" si="112"/>
        <v>0.03</v>
      </c>
      <c r="P160" s="266">
        <f t="shared" si="112"/>
        <v>0.03</v>
      </c>
      <c r="Q160" s="266">
        <f t="shared" si="112"/>
        <v>0.03</v>
      </c>
    </row>
    <row r="161" spans="2:17" ht="12.75" customHeight="1">
      <c r="B161" s="117" t="str">
        <f>+B142</f>
        <v>Unsecured Notes</v>
      </c>
      <c r="E161" s="236" t="s">
        <v>172</v>
      </c>
      <c r="F161" s="237">
        <v>4.2500000000000003E-2</v>
      </c>
      <c r="G161" s="238">
        <v>0</v>
      </c>
      <c r="H161" s="238">
        <v>0.02</v>
      </c>
      <c r="J161" s="140"/>
      <c r="K161" s="140"/>
      <c r="L161" s="266">
        <f t="shared" si="112"/>
        <v>4.2500000000000003E-2</v>
      </c>
      <c r="M161" s="266">
        <f t="shared" si="112"/>
        <v>4.2500000000000003E-2</v>
      </c>
      <c r="N161" s="266">
        <f t="shared" si="112"/>
        <v>4.2500000000000003E-2</v>
      </c>
      <c r="O161" s="266">
        <f t="shared" si="112"/>
        <v>4.2500000000000003E-2</v>
      </c>
      <c r="P161" s="266">
        <f t="shared" si="112"/>
        <v>4.2500000000000003E-2</v>
      </c>
      <c r="Q161" s="266">
        <f t="shared" si="112"/>
        <v>4.2500000000000003E-2</v>
      </c>
    </row>
    <row r="162" spans="2:17" ht="12.75" customHeight="1">
      <c r="B162" s="117" t="str">
        <f>+B144</f>
        <v>Interest Income</v>
      </c>
      <c r="E162" s="236" t="s">
        <v>172</v>
      </c>
      <c r="F162" s="237">
        <v>5.0000000000000001E-3</v>
      </c>
      <c r="G162" s="238">
        <v>0</v>
      </c>
      <c r="H162" s="238">
        <v>0.02</v>
      </c>
      <c r="J162" s="140"/>
      <c r="K162" s="140"/>
      <c r="L162" s="266">
        <f t="shared" si="112"/>
        <v>5.0000000000000001E-3</v>
      </c>
      <c r="M162" s="266">
        <f t="shared" si="112"/>
        <v>5.0000000000000001E-3</v>
      </c>
      <c r="N162" s="266">
        <f t="shared" si="112"/>
        <v>5.0000000000000001E-3</v>
      </c>
      <c r="O162" s="266">
        <f t="shared" si="112"/>
        <v>5.0000000000000001E-3</v>
      </c>
      <c r="P162" s="266">
        <f t="shared" si="112"/>
        <v>5.0000000000000001E-3</v>
      </c>
      <c r="Q162" s="266">
        <f t="shared" si="112"/>
        <v>5.0000000000000001E-3</v>
      </c>
    </row>
    <row r="163" spans="2:17" ht="12.75" customHeight="1">
      <c r="J163" s="140"/>
      <c r="K163" s="140"/>
      <c r="L163" s="140"/>
      <c r="M163" s="140"/>
      <c r="N163" s="140"/>
      <c r="O163" s="140"/>
      <c r="P163" s="140"/>
      <c r="Q163" s="140"/>
    </row>
    <row r="164" spans="2:17" ht="16" customHeight="1" thickBot="1">
      <c r="B164" s="239" t="s">
        <v>219</v>
      </c>
      <c r="C164" s="239"/>
      <c r="D164" s="240"/>
      <c r="E164" s="240"/>
      <c r="F164" s="240"/>
      <c r="G164" s="240"/>
      <c r="H164" s="240"/>
      <c r="I164" s="240"/>
      <c r="J164" s="240"/>
      <c r="K164" s="240"/>
      <c r="L164" s="240"/>
      <c r="M164" s="240"/>
      <c r="N164" s="240"/>
      <c r="O164" s="240"/>
      <c r="P164" s="241"/>
      <c r="Q164" s="241"/>
    </row>
    <row r="165" spans="2:17" ht="15" customHeight="1">
      <c r="B165" s="230" t="str">
        <f>+B7</f>
        <v>Twelve months ended December 31,</v>
      </c>
      <c r="C165" s="230"/>
      <c r="D165" s="230"/>
      <c r="E165" s="230"/>
      <c r="F165" s="230"/>
      <c r="G165" s="230"/>
      <c r="H165" s="230"/>
      <c r="I165" s="259"/>
      <c r="J165" s="259">
        <f t="shared" ref="J165:Q165" si="113">J7</f>
        <v>2017</v>
      </c>
      <c r="K165" s="283">
        <f t="shared" si="113"/>
        <v>2018</v>
      </c>
      <c r="L165" s="284">
        <f t="shared" si="113"/>
        <v>2019</v>
      </c>
      <c r="M165" s="260">
        <f t="shared" si="113"/>
        <v>2020</v>
      </c>
      <c r="N165" s="260">
        <f t="shared" si="113"/>
        <v>2021</v>
      </c>
      <c r="O165" s="260">
        <f t="shared" si="113"/>
        <v>2022</v>
      </c>
      <c r="P165" s="260">
        <f t="shared" si="113"/>
        <v>2023</v>
      </c>
      <c r="Q165" s="260">
        <f t="shared" si="113"/>
        <v>2024</v>
      </c>
    </row>
    <row r="166" spans="2:17" ht="15" customHeight="1">
      <c r="B166" s="3" t="s">
        <v>8</v>
      </c>
      <c r="J166" s="140">
        <f t="shared" ref="J166:Q166" si="114">+(J71)/(+J71+J75+J73)</f>
        <v>0.45243164385043039</v>
      </c>
      <c r="K166" s="140">
        <f t="shared" si="114"/>
        <v>0.44997074506546875</v>
      </c>
      <c r="L166" s="140">
        <f t="shared" ca="1" si="114"/>
        <v>0.45730336138171157</v>
      </c>
      <c r="M166" s="140">
        <f t="shared" ca="1" si="114"/>
        <v>0.46460066289033808</v>
      </c>
      <c r="N166" s="140">
        <f t="shared" ca="1" si="114"/>
        <v>0.47209997189540742</v>
      </c>
      <c r="O166" s="140">
        <f t="shared" ca="1" si="114"/>
        <v>0.47939440502659775</v>
      </c>
      <c r="P166" s="140">
        <f t="shared" ca="1" si="114"/>
        <v>0.48767897595592147</v>
      </c>
      <c r="Q166" s="140">
        <f t="shared" ca="1" si="114"/>
        <v>0.49709240582150199</v>
      </c>
    </row>
    <row r="167" spans="2:17" ht="12.75" customHeight="1">
      <c r="B167" s="1" t="s">
        <v>216</v>
      </c>
      <c r="C167" s="70"/>
      <c r="D167" s="70"/>
      <c r="E167" s="70"/>
      <c r="J167" s="140">
        <f t="shared" ref="J167:Q167" si="115">+J75/J64</f>
        <v>0.52677659021985701</v>
      </c>
      <c r="K167" s="140">
        <f t="shared" si="115"/>
        <v>0.52863280944115076</v>
      </c>
      <c r="L167" s="140">
        <f t="shared" ca="1" si="115"/>
        <v>0.52033575792209275</v>
      </c>
      <c r="M167" s="140">
        <f t="shared" ca="1" si="115"/>
        <v>0.51234505506259187</v>
      </c>
      <c r="N167" s="140">
        <f t="shared" ca="1" si="115"/>
        <v>0.50418434831682879</v>
      </c>
      <c r="O167" s="140">
        <f t="shared" ca="1" si="115"/>
        <v>0.49620807791079669</v>
      </c>
      <c r="P167" s="140">
        <f t="shared" ca="1" si="115"/>
        <v>0.48771165022131091</v>
      </c>
      <c r="Q167" s="140">
        <f t="shared" ca="1" si="115"/>
        <v>0.47810250377851704</v>
      </c>
    </row>
    <row r="168" spans="2:17" ht="12.75" customHeight="1">
      <c r="B168" s="1" t="s">
        <v>217</v>
      </c>
      <c r="C168" s="70"/>
      <c r="D168" s="70"/>
      <c r="E168" s="70"/>
      <c r="J168" s="140">
        <f t="shared" ref="J168:Q168" si="116">+J71/J75</f>
        <v>0.82661499375698466</v>
      </c>
      <c r="K168" s="140">
        <f t="shared" si="116"/>
        <v>0.81791111587667542</v>
      </c>
      <c r="L168" s="140">
        <f t="shared" ca="1" si="116"/>
        <v>0.84246486386921982</v>
      </c>
      <c r="M168" s="140">
        <f t="shared" ca="1" si="116"/>
        <v>0.86756767557409964</v>
      </c>
      <c r="N168" s="140">
        <f t="shared" ca="1" si="116"/>
        <v>0.89408807933032286</v>
      </c>
      <c r="O168" s="140">
        <f t="shared" ca="1" si="116"/>
        <v>0.92061653428886725</v>
      </c>
      <c r="P168" s="140">
        <f t="shared" ca="1" si="116"/>
        <v>0.95166167531058166</v>
      </c>
      <c r="Q168" s="140">
        <f t="shared" ca="1" si="116"/>
        <v>0.98817778734069661</v>
      </c>
    </row>
    <row r="169" spans="2:17" ht="12.75" customHeight="1">
      <c r="B169" s="1" t="s">
        <v>54</v>
      </c>
      <c r="C169" s="70"/>
      <c r="D169" s="70"/>
      <c r="E169" s="70"/>
      <c r="J169" s="104">
        <f t="shared" ref="J169:Q169" si="117">+J71/J38</f>
        <v>5.5032046201578968</v>
      </c>
      <c r="K169" s="104">
        <f t="shared" si="117"/>
        <v>5.1812017086684952</v>
      </c>
      <c r="L169" s="104">
        <f t="shared" ca="1" si="117"/>
        <v>5.2864005246377817</v>
      </c>
      <c r="M169" s="104">
        <f t="shared" ca="1" si="117"/>
        <v>5.0957381272625923</v>
      </c>
      <c r="N169" s="104">
        <f t="shared" ca="1" si="117"/>
        <v>4.9188192269713493</v>
      </c>
      <c r="O169" s="104">
        <f t="shared" ca="1" si="117"/>
        <v>4.7458670413945852</v>
      </c>
      <c r="P169" s="104">
        <f t="shared" ca="1" si="117"/>
        <v>4.6994453852094322</v>
      </c>
      <c r="Q169" s="104">
        <f t="shared" ca="1" si="117"/>
        <v>4.6534263318978084</v>
      </c>
    </row>
    <row r="170" spans="2:17" ht="12.75" customHeight="1">
      <c r="B170" s="1" t="s">
        <v>105</v>
      </c>
      <c r="C170" s="70"/>
      <c r="D170" s="70"/>
      <c r="E170" s="70"/>
      <c r="J170" s="104">
        <f t="shared" ref="J170:Q170" si="118">+(J71-J58)/J38</f>
        <v>5.4720879796024944</v>
      </c>
      <c r="K170" s="104">
        <f t="shared" si="118"/>
        <v>5.1533259690582929</v>
      </c>
      <c r="L170" s="104">
        <f t="shared" ca="1" si="118"/>
        <v>5.1138456128641749</v>
      </c>
      <c r="M170" s="104">
        <f t="shared" ca="1" si="118"/>
        <v>4.7809622842474884</v>
      </c>
      <c r="N170" s="104">
        <f t="shared" ca="1" si="118"/>
        <v>4.4644732075556854</v>
      </c>
      <c r="O170" s="104">
        <f t="shared" ca="1" si="118"/>
        <v>4.1478183357728389</v>
      </c>
      <c r="P170" s="104">
        <f t="shared" ca="1" si="118"/>
        <v>3.9695832807749092</v>
      </c>
      <c r="Q170" s="104">
        <f t="shared" ca="1" si="118"/>
        <v>3.806062164089635</v>
      </c>
    </row>
    <row r="171" spans="2:17" ht="12.75" customHeight="1">
      <c r="B171" s="1" t="s">
        <v>328</v>
      </c>
      <c r="C171" s="70"/>
      <c r="D171" s="70"/>
      <c r="E171" s="70"/>
      <c r="J171" s="104">
        <f t="shared" ref="J171:Q171" si="119">+-J38/J11</f>
        <v>4.213653308480894</v>
      </c>
      <c r="K171" s="104">
        <f t="shared" si="119"/>
        <v>4.1575608338035881</v>
      </c>
      <c r="L171" s="104">
        <f t="shared" ca="1" si="119"/>
        <v>4.5500340483999651</v>
      </c>
      <c r="M171" s="104">
        <f t="shared" ca="1" si="119"/>
        <v>4.7356401721415109</v>
      </c>
      <c r="N171" s="104">
        <f t="shared" ca="1" si="119"/>
        <v>4.9229796760196054</v>
      </c>
      <c r="O171" s="104">
        <f t="shared" ca="1" si="119"/>
        <v>5.1215390568771824</v>
      </c>
      <c r="P171" s="104">
        <f t="shared" ca="1" si="119"/>
        <v>5.1912033058548772</v>
      </c>
      <c r="Q171" s="104">
        <f t="shared" ca="1" si="119"/>
        <v>5.2597264207157473</v>
      </c>
    </row>
    <row r="172" spans="2:17" ht="12.75" customHeight="1">
      <c r="B172" s="1"/>
      <c r="C172" s="70"/>
      <c r="D172" s="70"/>
      <c r="E172" s="70"/>
      <c r="J172" s="140"/>
      <c r="K172" s="140"/>
      <c r="L172" s="140"/>
      <c r="M172" s="140"/>
      <c r="N172" s="140"/>
      <c r="O172" s="140"/>
      <c r="P172" s="140"/>
      <c r="Q172" s="140"/>
    </row>
    <row r="173" spans="2:17" ht="12.75" customHeight="1">
      <c r="B173" s="1" t="s">
        <v>326</v>
      </c>
      <c r="C173" s="70"/>
      <c r="D173" s="70"/>
      <c r="E173" s="70"/>
      <c r="J173" s="210">
        <f t="shared" ref="J173:Q173" si="120">+J64-J62-J61</f>
        <v>20570.598999999998</v>
      </c>
      <c r="K173" s="210">
        <f t="shared" si="120"/>
        <v>20394.208999999999</v>
      </c>
      <c r="L173" s="210">
        <f t="shared" ca="1" si="120"/>
        <v>20049.731664104667</v>
      </c>
      <c r="M173" s="210">
        <f t="shared" ca="1" si="120"/>
        <v>19708.355505882857</v>
      </c>
      <c r="N173" s="210">
        <f t="shared" ca="1" si="120"/>
        <v>19369.31183088557</v>
      </c>
      <c r="O173" s="210">
        <f t="shared" ca="1" si="120"/>
        <v>19050.398744644495</v>
      </c>
      <c r="P173" s="210">
        <f t="shared" ca="1" si="120"/>
        <v>18687.835603152613</v>
      </c>
      <c r="Q173" s="210">
        <f t="shared" ca="1" si="120"/>
        <v>18297.925284730871</v>
      </c>
    </row>
    <row r="174" spans="2:17" ht="12.75" customHeight="1">
      <c r="B174" s="1" t="s">
        <v>318</v>
      </c>
      <c r="C174" s="70"/>
      <c r="D174" s="70"/>
      <c r="E174" s="70"/>
      <c r="J174" s="210">
        <f t="shared" ref="J174:Q174" si="121">+J32</f>
        <v>1252.1459999999997</v>
      </c>
      <c r="K174" s="210">
        <f t="shared" si="121"/>
        <v>1306.7340000000002</v>
      </c>
      <c r="L174" s="210">
        <f t="shared" ca="1" si="121"/>
        <v>1310.8506074379925</v>
      </c>
      <c r="M174" s="210">
        <f t="shared" ca="1" si="121"/>
        <v>1369.4551506019725</v>
      </c>
      <c r="N174" s="210">
        <f t="shared" ca="1" si="121"/>
        <v>1427.5010722038382</v>
      </c>
      <c r="O174" s="210">
        <f t="shared" ca="1" si="121"/>
        <v>1488.2137559148869</v>
      </c>
      <c r="P174" s="210">
        <f t="shared" ca="1" si="121"/>
        <v>1502.6163065995149</v>
      </c>
      <c r="Q174" s="210">
        <f t="shared" ca="1" si="121"/>
        <v>1516.9403210503419</v>
      </c>
    </row>
    <row r="175" spans="2:17" ht="12.75" customHeight="1">
      <c r="B175" s="1" t="s">
        <v>327</v>
      </c>
      <c r="C175" s="70"/>
      <c r="D175" s="70"/>
      <c r="E175" s="70"/>
      <c r="J175" s="140">
        <f>+J174/J173</f>
        <v>6.0870663027362493E-2</v>
      </c>
      <c r="K175" s="140">
        <f t="shared" ref="K175:Q175" si="122">+K174/K173</f>
        <v>6.4073777021702596E-2</v>
      </c>
      <c r="L175" s="140">
        <f t="shared" ca="1" si="122"/>
        <v>6.5379957667205488E-2</v>
      </c>
      <c r="M175" s="140">
        <f t="shared" ca="1" si="122"/>
        <v>6.9486018262315E-2</v>
      </c>
      <c r="N175" s="140">
        <f t="shared" ca="1" si="122"/>
        <v>7.3699111494895719E-2</v>
      </c>
      <c r="O175" s="140">
        <f t="shared" ca="1" si="122"/>
        <v>7.8119821840120687E-2</v>
      </c>
      <c r="P175" s="140">
        <f t="shared" ca="1" si="122"/>
        <v>8.0406117568051896E-2</v>
      </c>
      <c r="Q175" s="140">
        <f t="shared" ca="1" si="122"/>
        <v>8.2902312554319374E-2</v>
      </c>
    </row>
    <row r="176" spans="2:17" ht="12.75" customHeight="1">
      <c r="B176" s="1" t="s">
        <v>218</v>
      </c>
      <c r="C176" s="70"/>
      <c r="D176" s="70"/>
      <c r="E176" s="70"/>
      <c r="J176" s="140">
        <f>+J15/J75</f>
        <v>4.4210883795014977E-2</v>
      </c>
      <c r="K176" s="140">
        <f t="shared" ref="K176:Q176" si="123">+K174/K75</f>
        <v>0.12120658399814194</v>
      </c>
      <c r="L176" s="140">
        <f t="shared" ca="1" si="123"/>
        <v>0.12564955737098218</v>
      </c>
      <c r="M176" s="140">
        <f t="shared" ca="1" si="123"/>
        <v>0.13562347791924345</v>
      </c>
      <c r="N176" s="140">
        <f t="shared" ca="1" si="123"/>
        <v>0.14617492935060986</v>
      </c>
      <c r="O176" s="140">
        <f t="shared" ca="1" si="123"/>
        <v>0.15743359553724212</v>
      </c>
      <c r="P176" s="140">
        <f t="shared" ca="1" si="123"/>
        <v>0.16486404934466029</v>
      </c>
      <c r="Q176" s="140">
        <f t="shared" ca="1" si="123"/>
        <v>0.17339861619449751</v>
      </c>
    </row>
    <row r="177" spans="2:18" ht="12.75" customHeight="1">
      <c r="J177" s="140"/>
      <c r="K177" s="140"/>
      <c r="L177" s="140"/>
      <c r="M177" s="140"/>
      <c r="N177" s="140"/>
      <c r="O177" s="140"/>
      <c r="P177" s="140"/>
      <c r="Q177" s="140"/>
    </row>
    <row r="178" spans="2:18" ht="16" customHeight="1" thickBot="1">
      <c r="B178" s="239" t="s">
        <v>111</v>
      </c>
      <c r="C178" s="239"/>
      <c r="D178" s="240"/>
      <c r="E178" s="240"/>
      <c r="F178" s="240"/>
      <c r="G178" s="240"/>
      <c r="H178" s="240"/>
      <c r="I178" s="240"/>
      <c r="J178" s="240"/>
      <c r="K178" s="240"/>
      <c r="L178" s="240"/>
      <c r="M178" s="240"/>
      <c r="N178" s="240"/>
      <c r="O178" s="240"/>
      <c r="P178" s="241"/>
      <c r="Q178" s="241"/>
    </row>
    <row r="179" spans="2:18" ht="15" customHeight="1">
      <c r="B179" s="246" t="str">
        <f>$B$7</f>
        <v>Twelve months ended December 31,</v>
      </c>
      <c r="C179" s="282"/>
      <c r="D179" s="282"/>
      <c r="E179" s="282"/>
      <c r="F179" s="282"/>
      <c r="G179" s="282"/>
      <c r="H179" s="282"/>
      <c r="I179" s="259"/>
      <c r="J179" s="259"/>
      <c r="K179" s="283"/>
      <c r="L179" s="284">
        <f t="shared" ref="L179:Q179" si="124">L7</f>
        <v>2019</v>
      </c>
      <c r="M179" s="260">
        <f t="shared" si="124"/>
        <v>2020</v>
      </c>
      <c r="N179" s="260">
        <f t="shared" si="124"/>
        <v>2021</v>
      </c>
      <c r="O179" s="260">
        <f t="shared" si="124"/>
        <v>2022</v>
      </c>
      <c r="P179" s="260">
        <f t="shared" si="124"/>
        <v>2023</v>
      </c>
      <c r="Q179" s="260">
        <f t="shared" si="124"/>
        <v>2024</v>
      </c>
    </row>
    <row r="180" spans="2:18" s="14" customFormat="1" ht="12.75" customHeight="1">
      <c r="B180" s="9"/>
      <c r="C180" s="9"/>
      <c r="D180" s="9"/>
      <c r="E180" s="9"/>
      <c r="F180" s="9"/>
      <c r="G180" s="19"/>
      <c r="H180" s="19"/>
      <c r="I180" s="19"/>
      <c r="L180" s="261"/>
      <c r="M180" s="261"/>
      <c r="N180" s="261"/>
      <c r="O180" s="261"/>
      <c r="P180" s="261"/>
      <c r="Q180" s="261"/>
      <c r="R180" s="9"/>
    </row>
    <row r="181" spans="2:18" s="14" customFormat="1" ht="12.75" customHeight="1">
      <c r="B181" s="9" t="s">
        <v>178</v>
      </c>
      <c r="C181" s="9"/>
      <c r="D181" s="9"/>
      <c r="E181" s="9"/>
      <c r="F181" s="9"/>
      <c r="G181" s="19"/>
      <c r="H181" s="19"/>
      <c r="I181" s="19"/>
      <c r="L181" s="253">
        <f>L187+(adshares-ashares)</f>
        <v>370.60147600832391</v>
      </c>
      <c r="M181" s="23">
        <f>+L184</f>
        <v>385.54411764705878</v>
      </c>
      <c r="N181" s="23">
        <f>+M184</f>
        <v>384.69943820224717</v>
      </c>
      <c r="O181" s="23">
        <f>+N184</f>
        <v>386.9430894308943</v>
      </c>
      <c r="P181" s="23">
        <f>+O184</f>
        <v>389.19982612402606</v>
      </c>
      <c r="Q181" s="23">
        <f>+P184</f>
        <v>389.19982612402606</v>
      </c>
      <c r="R181" s="9"/>
    </row>
    <row r="182" spans="2:18" s="14" customFormat="1" ht="12.75" customHeight="1">
      <c r="B182" s="9" t="s">
        <v>176</v>
      </c>
      <c r="C182" s="9"/>
      <c r="D182" s="9"/>
      <c r="E182" s="9"/>
      <c r="F182" s="9"/>
      <c r="G182" s="19"/>
      <c r="H182" s="19"/>
      <c r="I182" s="19"/>
      <c r="L182" s="26">
        <f>+Inputs!D40-L181</f>
        <v>14.94264163873487</v>
      </c>
      <c r="M182" s="26">
        <f>+Inputs!E40-M181</f>
        <v>-0.84467944481161794</v>
      </c>
      <c r="N182" s="26">
        <f>+Inputs!F40-N181</f>
        <v>2.2436512286471384</v>
      </c>
      <c r="O182" s="26">
        <f>+Inputs!G40-O181</f>
        <v>2.2567366931317565</v>
      </c>
      <c r="P182" s="26">
        <v>0</v>
      </c>
      <c r="Q182" s="26">
        <v>0</v>
      </c>
      <c r="R182" s="9"/>
    </row>
    <row r="183" spans="2:18" s="14" customFormat="1" ht="12.75" customHeight="1">
      <c r="B183" s="9" t="s">
        <v>149</v>
      </c>
      <c r="C183" s="9"/>
      <c r="D183" s="9"/>
      <c r="E183" s="9"/>
      <c r="F183" s="9"/>
      <c r="G183" s="19"/>
      <c r="H183" s="19"/>
      <c r="I183" s="19"/>
      <c r="L183" s="23">
        <v>0</v>
      </c>
      <c r="M183" s="23">
        <v>0</v>
      </c>
      <c r="N183" s="23">
        <v>0</v>
      </c>
      <c r="O183" s="23">
        <v>0</v>
      </c>
      <c r="P183" s="23">
        <v>0</v>
      </c>
      <c r="Q183" s="23">
        <v>0</v>
      </c>
      <c r="R183" s="9"/>
    </row>
    <row r="184" spans="2:18" s="14" customFormat="1" ht="12.75" customHeight="1">
      <c r="B184" s="9" t="s">
        <v>150</v>
      </c>
      <c r="C184" s="9"/>
      <c r="D184" s="9"/>
      <c r="E184" s="9"/>
      <c r="F184" s="9"/>
      <c r="G184" s="19"/>
      <c r="H184" s="19"/>
      <c r="I184" s="19"/>
      <c r="L184" s="257">
        <f t="shared" ref="L184:Q184" si="125">SUM(L181:L183)</f>
        <v>385.54411764705878</v>
      </c>
      <c r="M184" s="257">
        <f t="shared" si="125"/>
        <v>384.69943820224717</v>
      </c>
      <c r="N184" s="257">
        <f t="shared" si="125"/>
        <v>386.9430894308943</v>
      </c>
      <c r="O184" s="257">
        <f t="shared" si="125"/>
        <v>389.19982612402606</v>
      </c>
      <c r="P184" s="257">
        <f t="shared" si="125"/>
        <v>389.19982612402606</v>
      </c>
      <c r="Q184" s="257">
        <f t="shared" si="125"/>
        <v>389.19982612402606</v>
      </c>
      <c r="R184" s="9"/>
    </row>
    <row r="185" spans="2:18" s="14" customFormat="1" ht="12.75" customHeight="1">
      <c r="B185" s="14" t="s">
        <v>70</v>
      </c>
      <c r="F185" s="14" t="s">
        <v>151</v>
      </c>
      <c r="G185" s="304">
        <v>0.5</v>
      </c>
      <c r="H185" s="304"/>
      <c r="I185" s="19"/>
      <c r="L185" s="23">
        <f t="shared" ref="L185:Q185" si="126">((L181+L182)*$G185)+(L184*(1-$G185))</f>
        <v>385.54411764705878</v>
      </c>
      <c r="M185" s="23">
        <f t="shared" si="126"/>
        <v>384.69943820224717</v>
      </c>
      <c r="N185" s="23">
        <f t="shared" si="126"/>
        <v>386.9430894308943</v>
      </c>
      <c r="O185" s="23">
        <f t="shared" si="126"/>
        <v>389.19982612402606</v>
      </c>
      <c r="P185" s="23">
        <f t="shared" si="126"/>
        <v>389.19982612402606</v>
      </c>
      <c r="Q185" s="23">
        <f t="shared" si="126"/>
        <v>389.19982612402606</v>
      </c>
    </row>
    <row r="186" spans="2:18" s="14" customFormat="1" ht="12.75" customHeight="1">
      <c r="B186" s="9"/>
      <c r="C186" s="9"/>
      <c r="D186" s="9"/>
      <c r="E186" s="9"/>
      <c r="F186" s="9"/>
      <c r="G186" s="9"/>
      <c r="H186" s="9"/>
      <c r="I186" s="262"/>
      <c r="J186" s="262"/>
      <c r="K186" s="262"/>
      <c r="L186" s="263"/>
      <c r="M186" s="263"/>
      <c r="N186" s="263"/>
      <c r="O186" s="263"/>
      <c r="P186" s="263"/>
      <c r="Q186" s="263"/>
    </row>
    <row r="187" spans="2:18" s="14" customFormat="1" ht="12.75" customHeight="1">
      <c r="B187" s="9" t="s">
        <v>177</v>
      </c>
      <c r="C187" s="9"/>
      <c r="D187" s="9"/>
      <c r="E187" s="9"/>
      <c r="F187" s="9"/>
      <c r="G187" s="19"/>
      <c r="H187" s="19"/>
      <c r="I187" s="19"/>
      <c r="L187" s="253">
        <f>afyshares</f>
        <v>370.53563000000003</v>
      </c>
      <c r="M187" s="23">
        <f>+L190</f>
        <v>385.4782716387349</v>
      </c>
      <c r="N187" s="23">
        <f>+M190</f>
        <v>384.63359219392328</v>
      </c>
      <c r="O187" s="23">
        <f>+N190</f>
        <v>386.87724342257042</v>
      </c>
      <c r="P187" s="23">
        <f>+O190</f>
        <v>389.13398011570217</v>
      </c>
      <c r="Q187" s="23">
        <f>+P190</f>
        <v>389.13398011570217</v>
      </c>
      <c r="R187" s="9"/>
    </row>
    <row r="188" spans="2:18" s="14" customFormat="1" ht="12.75" customHeight="1">
      <c r="B188" s="9" t="s">
        <v>176</v>
      </c>
      <c r="C188" s="9"/>
      <c r="D188" s="9"/>
      <c r="E188" s="9"/>
      <c r="F188" s="9"/>
      <c r="G188" s="19"/>
      <c r="H188" s="19"/>
      <c r="I188" s="19"/>
      <c r="L188" s="23">
        <f>+L182</f>
        <v>14.94264163873487</v>
      </c>
      <c r="M188" s="23">
        <f t="shared" ref="M188:Q188" si="127">+M182</f>
        <v>-0.84467944481161794</v>
      </c>
      <c r="N188" s="23">
        <f t="shared" si="127"/>
        <v>2.2436512286471384</v>
      </c>
      <c r="O188" s="23">
        <f t="shared" si="127"/>
        <v>2.2567366931317565</v>
      </c>
      <c r="P188" s="23">
        <f t="shared" si="127"/>
        <v>0</v>
      </c>
      <c r="Q188" s="23">
        <f t="shared" si="127"/>
        <v>0</v>
      </c>
      <c r="R188" s="9"/>
    </row>
    <row r="189" spans="2:18" s="14" customFormat="1" ht="12.75" customHeight="1">
      <c r="B189" s="9" t="s">
        <v>149</v>
      </c>
      <c r="C189" s="9"/>
      <c r="D189" s="9"/>
      <c r="E189" s="9"/>
      <c r="F189" s="9"/>
      <c r="G189" s="19"/>
      <c r="H189" s="19"/>
      <c r="I189" s="19"/>
      <c r="L189" s="23">
        <f>+L183</f>
        <v>0</v>
      </c>
      <c r="M189" s="23">
        <f t="shared" ref="M189:Q189" si="128">+M183</f>
        <v>0</v>
      </c>
      <c r="N189" s="23">
        <f t="shared" si="128"/>
        <v>0</v>
      </c>
      <c r="O189" s="23">
        <f t="shared" si="128"/>
        <v>0</v>
      </c>
      <c r="P189" s="23">
        <f t="shared" si="128"/>
        <v>0</v>
      </c>
      <c r="Q189" s="23">
        <f t="shared" si="128"/>
        <v>0</v>
      </c>
      <c r="R189" s="9"/>
    </row>
    <row r="190" spans="2:18" s="14" customFormat="1" ht="12.75" customHeight="1">
      <c r="B190" s="9" t="s">
        <v>150</v>
      </c>
      <c r="C190" s="9"/>
      <c r="D190" s="9"/>
      <c r="E190" s="9"/>
      <c r="F190" s="9"/>
      <c r="G190" s="19"/>
      <c r="H190" s="19"/>
      <c r="I190" s="19"/>
      <c r="L190" s="257">
        <f t="shared" ref="L190:Q190" si="129">SUM(L187:L189)</f>
        <v>385.4782716387349</v>
      </c>
      <c r="M190" s="257">
        <f t="shared" si="129"/>
        <v>384.63359219392328</v>
      </c>
      <c r="N190" s="257">
        <f t="shared" si="129"/>
        <v>386.87724342257042</v>
      </c>
      <c r="O190" s="257">
        <f t="shared" si="129"/>
        <v>389.13398011570217</v>
      </c>
      <c r="P190" s="257">
        <f t="shared" si="129"/>
        <v>389.13398011570217</v>
      </c>
      <c r="Q190" s="257">
        <f t="shared" si="129"/>
        <v>389.13398011570217</v>
      </c>
      <c r="R190" s="9"/>
    </row>
    <row r="191" spans="2:18" s="14" customFormat="1" ht="12.75" customHeight="1">
      <c r="B191" s="14" t="s">
        <v>179</v>
      </c>
      <c r="F191" s="14" t="s">
        <v>151</v>
      </c>
      <c r="G191" s="264">
        <f>+G185</f>
        <v>0.5</v>
      </c>
      <c r="H191" s="264"/>
      <c r="I191" s="19"/>
      <c r="L191" s="23">
        <f t="shared" ref="L191:Q191" si="130">((L187+L188)*$G191)+(L190*(1-$G191))</f>
        <v>385.4782716387349</v>
      </c>
      <c r="M191" s="23">
        <f t="shared" si="130"/>
        <v>384.63359219392328</v>
      </c>
      <c r="N191" s="23">
        <f t="shared" si="130"/>
        <v>386.87724342257042</v>
      </c>
      <c r="O191" s="23">
        <f t="shared" si="130"/>
        <v>389.13398011570217</v>
      </c>
      <c r="P191" s="23">
        <f t="shared" si="130"/>
        <v>389.13398011570217</v>
      </c>
      <c r="Q191" s="23">
        <f t="shared" si="130"/>
        <v>389.13398011570217</v>
      </c>
    </row>
    <row r="192" spans="2:18" s="14" customFormat="1" ht="12.75" customHeight="1">
      <c r="B192" s="208"/>
      <c r="C192" s="9"/>
      <c r="D192" s="9"/>
      <c r="E192" s="9"/>
      <c r="F192" s="9"/>
      <c r="G192" s="9"/>
      <c r="H192" s="9"/>
      <c r="I192" s="262"/>
      <c r="J192" s="262"/>
      <c r="K192" s="262"/>
      <c r="L192" s="263"/>
      <c r="M192" s="263"/>
      <c r="N192" s="263"/>
      <c r="O192" s="263"/>
      <c r="P192" s="263"/>
      <c r="Q192" s="263"/>
    </row>
    <row r="193" spans="2:20" ht="16" customHeight="1" thickBot="1">
      <c r="B193" s="239" t="s">
        <v>42</v>
      </c>
      <c r="C193" s="239"/>
      <c r="D193" s="240"/>
      <c r="E193" s="240"/>
      <c r="F193" s="240"/>
      <c r="G193" s="240"/>
      <c r="H193" s="240"/>
      <c r="I193" s="240"/>
      <c r="J193" s="240"/>
      <c r="K193" s="240"/>
      <c r="L193" s="240"/>
      <c r="M193" s="240"/>
      <c r="N193" s="240"/>
      <c r="O193" s="240"/>
      <c r="P193" s="241"/>
      <c r="Q193" s="241"/>
    </row>
    <row r="194" spans="2:20" ht="15" customHeight="1">
      <c r="B194" s="230" t="str">
        <f>$B$7</f>
        <v>Twelve months ended December 31,</v>
      </c>
      <c r="C194" s="230"/>
      <c r="D194" s="230"/>
      <c r="E194" s="230"/>
      <c r="F194" s="230"/>
      <c r="G194" s="230"/>
      <c r="H194" s="230"/>
      <c r="I194" s="259">
        <f t="shared" ref="I194:Q194" si="131">I7</f>
        <v>2016</v>
      </c>
      <c r="J194" s="259">
        <f t="shared" si="131"/>
        <v>2017</v>
      </c>
      <c r="K194" s="283">
        <f t="shared" si="131"/>
        <v>2018</v>
      </c>
      <c r="L194" s="284">
        <f t="shared" si="131"/>
        <v>2019</v>
      </c>
      <c r="M194" s="260">
        <f t="shared" si="131"/>
        <v>2020</v>
      </c>
      <c r="N194" s="260">
        <f t="shared" si="131"/>
        <v>2021</v>
      </c>
      <c r="O194" s="260">
        <f t="shared" si="131"/>
        <v>2022</v>
      </c>
      <c r="P194" s="260">
        <f t="shared" si="131"/>
        <v>2023</v>
      </c>
      <c r="Q194" s="260">
        <f t="shared" si="131"/>
        <v>2024</v>
      </c>
    </row>
    <row r="195" spans="2:20" s="14" customFormat="1" ht="15" customHeight="1">
      <c r="B195" s="9" t="s">
        <v>38</v>
      </c>
      <c r="C195" s="9"/>
      <c r="D195" s="9"/>
      <c r="E195" s="9"/>
      <c r="F195" s="9"/>
      <c r="G195" s="9"/>
      <c r="H195" s="9"/>
      <c r="I195" s="355">
        <f>-SUM('Cash Flow'!G33:G34)</f>
        <v>177.90799999999999</v>
      </c>
      <c r="J195" s="355">
        <f>-SUM('Cash Flow'!H33:H34)</f>
        <v>204.113</v>
      </c>
      <c r="K195" s="355">
        <f>-SUM('Cash Flow'!I33:I34)</f>
        <v>193.006</v>
      </c>
      <c r="L195" s="244">
        <f t="shared" ref="L195:Q195" si="132">L8*L196</f>
        <v>200.40127200463536</v>
      </c>
      <c r="M195" s="244">
        <f t="shared" si="132"/>
        <v>206.43749547981446</v>
      </c>
      <c r="N195" s="244">
        <f t="shared" si="132"/>
        <v>209.63899942368116</v>
      </c>
      <c r="O195" s="244">
        <f t="shared" si="132"/>
        <v>211.00807838401133</v>
      </c>
      <c r="P195" s="244">
        <f t="shared" si="132"/>
        <v>212.3860983200415</v>
      </c>
      <c r="Q195" s="244">
        <f t="shared" si="132"/>
        <v>213.77311762215584</v>
      </c>
    </row>
    <row r="196" spans="2:20" s="14" customFormat="1" ht="12.75" customHeight="1">
      <c r="B196" s="208" t="s">
        <v>109</v>
      </c>
      <c r="C196" s="9"/>
      <c r="D196" s="9"/>
      <c r="E196" s="9"/>
      <c r="F196" s="9"/>
      <c r="G196" s="9"/>
      <c r="H196" s="9"/>
      <c r="I196" s="245">
        <f>I195/I8</f>
        <v>7.3339929095556089E-2</v>
      </c>
      <c r="J196" s="245">
        <f>J195/J8</f>
        <v>8.2589829433124304E-2</v>
      </c>
      <c r="K196" s="245">
        <f>K195/K8</f>
        <v>7.4853961745772815E-2</v>
      </c>
      <c r="L196" s="277">
        <f>+K196</f>
        <v>7.4853961745772815E-2</v>
      </c>
      <c r="M196" s="277">
        <f t="shared" ref="M196:Q196" si="133">+L196</f>
        <v>7.4853961745772815E-2</v>
      </c>
      <c r="N196" s="245">
        <f t="shared" si="133"/>
        <v>7.4853961745772815E-2</v>
      </c>
      <c r="O196" s="245">
        <f t="shared" si="133"/>
        <v>7.4853961745772815E-2</v>
      </c>
      <c r="P196" s="245">
        <f t="shared" si="133"/>
        <v>7.4853961745772815E-2</v>
      </c>
      <c r="Q196" s="245">
        <f t="shared" si="133"/>
        <v>7.4853961745772815E-2</v>
      </c>
    </row>
    <row r="197" spans="2:20" s="14" customFormat="1" ht="12.75" customHeight="1">
      <c r="B197" s="208"/>
      <c r="C197" s="9"/>
      <c r="D197" s="9"/>
      <c r="E197" s="9"/>
      <c r="F197" s="9"/>
      <c r="G197" s="9"/>
      <c r="H197" s="9"/>
      <c r="I197" s="262"/>
      <c r="J197" s="262"/>
      <c r="K197" s="262"/>
      <c r="L197" s="263"/>
      <c r="M197" s="263"/>
      <c r="N197" s="263"/>
      <c r="O197" s="263"/>
      <c r="P197" s="263"/>
      <c r="Q197" s="263"/>
    </row>
    <row r="198" spans="2:20" s="14" customFormat="1" ht="12.75" customHeight="1">
      <c r="B198" s="9" t="s">
        <v>132</v>
      </c>
      <c r="C198" s="9"/>
      <c r="D198" s="9"/>
      <c r="E198" s="9"/>
      <c r="F198" s="9"/>
      <c r="G198" s="9"/>
      <c r="H198" s="9"/>
      <c r="I198" s="244">
        <f>I37</f>
        <v>745.40200000000004</v>
      </c>
      <c r="J198" s="244">
        <f>J37</f>
        <v>778.48599999999999</v>
      </c>
      <c r="K198" s="244">
        <f>K37</f>
        <v>842.64800000000002</v>
      </c>
      <c r="L198" s="244">
        <f t="shared" ref="L198:Q198" si="134">L8*L199</f>
        <v>789.64</v>
      </c>
      <c r="M198" s="244">
        <f t="shared" si="134"/>
        <v>807.06000000000006</v>
      </c>
      <c r="N198" s="244">
        <f t="shared" si="134"/>
        <v>818.08</v>
      </c>
      <c r="O198" s="244">
        <f t="shared" si="134"/>
        <v>823.42259426416808</v>
      </c>
      <c r="P198" s="244">
        <f t="shared" si="134"/>
        <v>828.80007914229998</v>
      </c>
      <c r="Q198" s="244">
        <f t="shared" si="134"/>
        <v>834.21268249278864</v>
      </c>
      <c r="T198" s="3"/>
    </row>
    <row r="199" spans="2:20" s="14" customFormat="1" ht="12.75" customHeight="1">
      <c r="B199" s="208" t="s">
        <v>109</v>
      </c>
      <c r="C199" s="9"/>
      <c r="D199" s="9"/>
      <c r="E199" s="9"/>
      <c r="F199" s="9"/>
      <c r="G199" s="9"/>
      <c r="H199" s="9"/>
      <c r="I199" s="245">
        <f>I198/I8</f>
        <v>0.30728089702366229</v>
      </c>
      <c r="J199" s="245">
        <f>J198/J8</f>
        <v>0.3149972121132667</v>
      </c>
      <c r="K199" s="245">
        <f>K198/K8</f>
        <v>0.32680611565004181</v>
      </c>
      <c r="L199" s="277">
        <f>+Inputs!D38/Inputs!D35</f>
        <v>0.29494664261195341</v>
      </c>
      <c r="M199" s="277">
        <f>+Inputs!E38/Inputs!E35</f>
        <v>0.2926388843564055</v>
      </c>
      <c r="N199" s="277">
        <f>+Inputs!F38/Inputs!F35</f>
        <v>0.2921046617915905</v>
      </c>
      <c r="O199" s="245">
        <f t="shared" ref="O199:Q199" si="135">+N199</f>
        <v>0.2921046617915905</v>
      </c>
      <c r="P199" s="245">
        <f t="shared" si="135"/>
        <v>0.2921046617915905</v>
      </c>
      <c r="Q199" s="245">
        <f t="shared" si="135"/>
        <v>0.2921046617915905</v>
      </c>
      <c r="T199" s="3"/>
    </row>
    <row r="200" spans="2:20" ht="12.75" customHeight="1">
      <c r="I200" s="228"/>
      <c r="J200" s="228"/>
      <c r="K200" s="228"/>
      <c r="L200" s="134"/>
      <c r="M200" s="134"/>
      <c r="N200" s="134"/>
      <c r="O200" s="134"/>
      <c r="P200" s="134"/>
      <c r="Q200" s="134"/>
      <c r="T200" s="3"/>
    </row>
    <row r="201" spans="2:20" ht="12.75" customHeight="1">
      <c r="B201" s="3" t="str">
        <f>+B59</f>
        <v>Restricted Deposits</v>
      </c>
      <c r="I201" s="228"/>
      <c r="J201" s="111">
        <f>+J59</f>
        <v>50.115000000000002</v>
      </c>
      <c r="K201" s="111">
        <f>+K59</f>
        <v>68.870999999999995</v>
      </c>
      <c r="L201" s="111">
        <f t="shared" ref="L201:Q201" si="136">L202*L8</f>
        <v>74.187110543771908</v>
      </c>
      <c r="M201" s="111">
        <f t="shared" si="136"/>
        <v>79.179547089884778</v>
      </c>
      <c r="N201" s="111">
        <f t="shared" si="136"/>
        <v>83.208130839602632</v>
      </c>
      <c r="O201" s="111">
        <f t="shared" si="136"/>
        <v>86.570464030679062</v>
      </c>
      <c r="P201" s="111">
        <f t="shared" si="136"/>
        <v>89.97316488906182</v>
      </c>
      <c r="Q201" s="111">
        <f t="shared" si="136"/>
        <v>93.416617267511313</v>
      </c>
    </row>
    <row r="202" spans="2:20" ht="12.75" customHeight="1">
      <c r="B202" s="3" t="s">
        <v>109</v>
      </c>
      <c r="I202" s="228"/>
      <c r="J202" s="101">
        <f>J201/J8</f>
        <v>2.0277930862027529E-2</v>
      </c>
      <c r="K202" s="101">
        <f>K201/K8</f>
        <v>2.6710398637312411E-2</v>
      </c>
      <c r="L202" s="408">
        <f>+K202+0.1%</f>
        <v>2.7710398637312412E-2</v>
      </c>
      <c r="M202" s="408">
        <f t="shared" ref="M202:Q202" si="137">+L202+0.1%</f>
        <v>2.8710398637312413E-2</v>
      </c>
      <c r="N202" s="408">
        <f t="shared" si="137"/>
        <v>2.9710398637312414E-2</v>
      </c>
      <c r="O202" s="408">
        <f t="shared" si="137"/>
        <v>3.0710398637312415E-2</v>
      </c>
      <c r="P202" s="408">
        <f t="shared" si="137"/>
        <v>3.1710398637312412E-2</v>
      </c>
      <c r="Q202" s="408">
        <f t="shared" si="137"/>
        <v>3.2710398637312413E-2</v>
      </c>
    </row>
    <row r="203" spans="2:20" ht="12.75" customHeight="1">
      <c r="I203" s="228"/>
      <c r="J203" s="228"/>
      <c r="K203" s="228"/>
      <c r="L203" s="134"/>
      <c r="M203" s="134"/>
      <c r="N203" s="134"/>
      <c r="O203" s="134"/>
      <c r="P203" s="134"/>
      <c r="Q203" s="134"/>
    </row>
    <row r="204" spans="2:20" ht="12.75" customHeight="1">
      <c r="B204" s="3" t="s">
        <v>315</v>
      </c>
      <c r="I204" s="228"/>
      <c r="J204" s="111">
        <f>J67</f>
        <v>114.76600000000001</v>
      </c>
      <c r="K204" s="111">
        <f>K67</f>
        <v>102.471</v>
      </c>
      <c r="L204" s="111">
        <f t="shared" ref="L204:Q204" si="138">L205/365*L9</f>
        <v>107.45636609406135</v>
      </c>
      <c r="M204" s="111">
        <f t="shared" si="138"/>
        <v>109.92875506847248</v>
      </c>
      <c r="N204" s="111">
        <f t="shared" si="138"/>
        <v>109.79899416560282</v>
      </c>
      <c r="O204" s="111">
        <f t="shared" si="138"/>
        <v>107.71580003317968</v>
      </c>
      <c r="P204" s="111">
        <f t="shared" si="138"/>
        <v>108.41925423743542</v>
      </c>
      <c r="Q204" s="111">
        <f t="shared" si="138"/>
        <v>109.12730245498665</v>
      </c>
    </row>
    <row r="205" spans="2:20" ht="12.75" customHeight="1">
      <c r="B205" s="3" t="s">
        <v>310</v>
      </c>
      <c r="I205" s="228"/>
      <c r="J205" s="158">
        <f>J204/J9*365</f>
        <v>25.768250792924334</v>
      </c>
      <c r="K205" s="158">
        <f>K204/K9*365</f>
        <v>21.738019709678621</v>
      </c>
      <c r="L205" s="409">
        <f>K205</f>
        <v>21.738019709678621</v>
      </c>
      <c r="M205" s="409">
        <f t="shared" ref="M205:Q205" si="139">L205</f>
        <v>21.738019709678621</v>
      </c>
      <c r="N205" s="409">
        <f t="shared" si="139"/>
        <v>21.738019709678621</v>
      </c>
      <c r="O205" s="409">
        <f t="shared" si="139"/>
        <v>21.738019709678621</v>
      </c>
      <c r="P205" s="409">
        <f t="shared" si="139"/>
        <v>21.738019709678621</v>
      </c>
      <c r="Q205" s="409">
        <f t="shared" si="139"/>
        <v>21.738019709678621</v>
      </c>
    </row>
    <row r="206" spans="2:20" s="14" customFormat="1" ht="12.75" customHeight="1">
      <c r="B206" s="9"/>
      <c r="C206" s="9"/>
      <c r="D206" s="9"/>
      <c r="E206" s="9"/>
      <c r="F206" s="9"/>
      <c r="G206" s="9"/>
      <c r="H206" s="9"/>
      <c r="I206" s="262"/>
      <c r="J206" s="262"/>
      <c r="K206" s="245"/>
      <c r="L206" s="50"/>
      <c r="M206" s="50"/>
      <c r="N206" s="50"/>
      <c r="O206" s="50"/>
      <c r="P206" s="50"/>
      <c r="Q206" s="50"/>
    </row>
    <row r="207" spans="2:20" s="14" customFormat="1" ht="12.75" customHeight="1">
      <c r="B207" s="9" t="s">
        <v>311</v>
      </c>
      <c r="C207" s="9"/>
      <c r="D207" s="9"/>
      <c r="E207" s="9"/>
      <c r="F207" s="9"/>
      <c r="G207" s="9"/>
      <c r="H207" s="9"/>
      <c r="I207" s="262"/>
      <c r="J207"/>
      <c r="K207" s="244">
        <f>K68</f>
        <v>62.622</v>
      </c>
      <c r="L207" s="52">
        <f>L208*K125</f>
        <v>62.622</v>
      </c>
      <c r="M207" s="52">
        <f t="shared" ref="M207:Q207" ca="1" si="140">M208*L125</f>
        <v>62.417141767065985</v>
      </c>
      <c r="N207" s="52">
        <f t="shared" ca="1" si="140"/>
        <v>62.212283534131956</v>
      </c>
      <c r="O207" s="52">
        <f t="shared" ca="1" si="140"/>
        <v>62.007425301197934</v>
      </c>
      <c r="P207" s="52">
        <f t="shared" ca="1" si="140"/>
        <v>61.802567068263919</v>
      </c>
      <c r="Q207" s="52">
        <f t="shared" ca="1" si="140"/>
        <v>61.59770883532989</v>
      </c>
    </row>
    <row r="208" spans="2:20" s="14" customFormat="1" ht="12.75" customHeight="1">
      <c r="B208" s="9" t="s">
        <v>312</v>
      </c>
      <c r="C208" s="9"/>
      <c r="D208" s="9"/>
      <c r="E208" s="9"/>
      <c r="F208" s="9"/>
      <c r="G208" s="9"/>
      <c r="H208" s="9"/>
      <c r="I208" s="262"/>
      <c r="J208"/>
      <c r="K208" s="245">
        <f>K207/K125</f>
        <v>7.1016594694066279E-3</v>
      </c>
      <c r="L208" s="408">
        <f>K208</f>
        <v>7.1016594694066279E-3</v>
      </c>
      <c r="M208" s="408">
        <f t="shared" ref="M208:Q208" si="141">L208</f>
        <v>7.1016594694066279E-3</v>
      </c>
      <c r="N208" s="408">
        <f t="shared" si="141"/>
        <v>7.1016594694066279E-3</v>
      </c>
      <c r="O208" s="408">
        <f t="shared" si="141"/>
        <v>7.1016594694066279E-3</v>
      </c>
      <c r="P208" s="408">
        <f t="shared" si="141"/>
        <v>7.1016594694066279E-3</v>
      </c>
      <c r="Q208" s="408">
        <f t="shared" si="141"/>
        <v>7.1016594694066279E-3</v>
      </c>
    </row>
    <row r="209" spans="2:17" s="14" customFormat="1" ht="12.75" customHeight="1">
      <c r="B209" s="9"/>
      <c r="C209" s="9"/>
      <c r="D209" s="9"/>
      <c r="E209" s="9"/>
      <c r="F209" s="9"/>
      <c r="G209" s="9"/>
      <c r="H209" s="9"/>
      <c r="I209" s="262"/>
      <c r="J209" s="410"/>
      <c r="K209" s="245"/>
      <c r="L209" s="405"/>
      <c r="M209" s="405"/>
      <c r="N209" s="405"/>
      <c r="O209" s="405"/>
      <c r="P209" s="405"/>
      <c r="Q209" s="405"/>
    </row>
    <row r="210" spans="2:17" s="14" customFormat="1" ht="12.75" customHeight="1">
      <c r="B210" s="9" t="str">
        <f>B69</f>
        <v>Distributions payable</v>
      </c>
      <c r="C210" s="9"/>
      <c r="D210" s="9"/>
      <c r="E210" s="9"/>
      <c r="F210" s="9"/>
      <c r="G210" s="9"/>
      <c r="H210" s="9"/>
      <c r="I210"/>
      <c r="J210" s="244">
        <f>J69</f>
        <v>192.828</v>
      </c>
      <c r="K210" s="244">
        <f>K69</f>
        <v>206.601</v>
      </c>
      <c r="L210" s="52">
        <f t="shared" ref="L210:Q210" ca="1" si="142">L211*L15</f>
        <v>231.86343005055195</v>
      </c>
      <c r="M210" s="52">
        <f t="shared" ca="1" si="142"/>
        <v>250.07662551055287</v>
      </c>
      <c r="N210" s="52">
        <f t="shared" ca="1" si="142"/>
        <v>270.87307573245442</v>
      </c>
      <c r="O210" s="52">
        <f t="shared" ca="1" si="142"/>
        <v>295.35959869128573</v>
      </c>
      <c r="P210" s="52">
        <f t="shared" ca="1" si="142"/>
        <v>299.35078749526519</v>
      </c>
      <c r="Q210" s="52">
        <f t="shared" ca="1" si="142"/>
        <v>303.29171435097049</v>
      </c>
    </row>
    <row r="211" spans="2:17" s="14" customFormat="1" ht="12.75" customHeight="1">
      <c r="B211" s="9" t="s">
        <v>313</v>
      </c>
      <c r="C211" s="9"/>
      <c r="D211" s="9"/>
      <c r="E211" s="9"/>
      <c r="F211" s="9"/>
      <c r="G211" s="9"/>
      <c r="H211" s="9"/>
      <c r="I211"/>
      <c r="J211" s="245">
        <f>J210/J15</f>
        <v>0.40250149246254252</v>
      </c>
      <c r="K211" s="245">
        <f>K210/K15</f>
        <v>0.43967575666001252</v>
      </c>
      <c r="L211" s="408">
        <f>K211</f>
        <v>0.43967575666001252</v>
      </c>
      <c r="M211" s="408">
        <f t="shared" ref="M211:Q211" si="143">L211</f>
        <v>0.43967575666001252</v>
      </c>
      <c r="N211" s="408">
        <f t="shared" si="143"/>
        <v>0.43967575666001252</v>
      </c>
      <c r="O211" s="408">
        <f t="shared" si="143"/>
        <v>0.43967575666001252</v>
      </c>
      <c r="P211" s="408">
        <f t="shared" si="143"/>
        <v>0.43967575666001252</v>
      </c>
      <c r="Q211" s="408">
        <f t="shared" si="143"/>
        <v>0.43967575666001252</v>
      </c>
    </row>
    <row r="212" spans="2:17" s="14" customFormat="1" ht="12.75" customHeight="1">
      <c r="B212" s="9"/>
      <c r="C212" s="9"/>
      <c r="D212" s="9"/>
      <c r="E212" s="9"/>
      <c r="F212" s="9"/>
      <c r="G212" s="9"/>
      <c r="H212" s="9"/>
      <c r="I212" s="410"/>
      <c r="J212" s="245"/>
      <c r="K212" s="245"/>
      <c r="L212" s="405"/>
      <c r="M212" s="405"/>
      <c r="N212" s="405"/>
      <c r="O212" s="405"/>
      <c r="P212" s="405"/>
      <c r="Q212" s="405"/>
    </row>
    <row r="213" spans="2:17" s="14" customFormat="1" ht="12.75" customHeight="1">
      <c r="B213" s="9" t="str">
        <f>B70</f>
        <v>Security Deposits</v>
      </c>
      <c r="C213" s="9"/>
      <c r="D213" s="9"/>
      <c r="E213" s="9"/>
      <c r="F213" s="9"/>
      <c r="G213" s="9"/>
      <c r="H213" s="9"/>
      <c r="I213" s="410"/>
      <c r="J213" s="244">
        <f>J70</f>
        <v>65.009</v>
      </c>
      <c r="K213" s="244">
        <f>K70</f>
        <v>67.257999999999996</v>
      </c>
      <c r="L213" s="52">
        <f>L214*Proj!L8</f>
        <v>69.835076383572343</v>
      </c>
      <c r="M213" s="52">
        <f>M214*Proj!M8</f>
        <v>71.93855668207911</v>
      </c>
      <c r="N213" s="52">
        <f>N214*Proj!N8</f>
        <v>73.054204652901703</v>
      </c>
      <c r="O213" s="52">
        <f>O214*Proj!O8</f>
        <v>73.531296104534746</v>
      </c>
      <c r="P213" s="52">
        <f>P214*Proj!P8</f>
        <v>74.011503273521811</v>
      </c>
      <c r="Q213" s="52">
        <f>Q214*Proj!Q8</f>
        <v>74.494846507522851</v>
      </c>
    </row>
    <row r="214" spans="2:17" s="14" customFormat="1" ht="12.75" customHeight="1">
      <c r="B214" s="9" t="s">
        <v>314</v>
      </c>
      <c r="C214" s="9"/>
      <c r="D214" s="9"/>
      <c r="E214" s="9"/>
      <c r="F214" s="9"/>
      <c r="G214" s="9"/>
      <c r="H214" s="9"/>
      <c r="I214" s="410"/>
      <c r="J214" s="245">
        <f>J213/J8</f>
        <v>2.630445989044293E-2</v>
      </c>
      <c r="K214" s="245">
        <f>K213/K8</f>
        <v>2.6084825130292259E-2</v>
      </c>
      <c r="L214" s="408">
        <f>K214</f>
        <v>2.6084825130292259E-2</v>
      </c>
      <c r="M214" s="408">
        <f t="shared" ref="M214:Q214" si="144">L214</f>
        <v>2.6084825130292259E-2</v>
      </c>
      <c r="N214" s="408">
        <f t="shared" si="144"/>
        <v>2.6084825130292259E-2</v>
      </c>
      <c r="O214" s="408">
        <f t="shared" si="144"/>
        <v>2.6084825130292259E-2</v>
      </c>
      <c r="P214" s="408">
        <f t="shared" si="144"/>
        <v>2.6084825130292259E-2</v>
      </c>
      <c r="Q214" s="408">
        <f t="shared" si="144"/>
        <v>2.6084825130292259E-2</v>
      </c>
    </row>
    <row r="215" spans="2:17" s="14" customFormat="1" ht="12.75" customHeight="1">
      <c r="B215" s="9"/>
      <c r="C215" s="9"/>
      <c r="D215" s="9"/>
      <c r="E215" s="9"/>
      <c r="F215" s="9"/>
      <c r="G215" s="9"/>
      <c r="H215" s="9"/>
      <c r="I215" s="262"/>
      <c r="J215" s="410"/>
      <c r="K215" s="245"/>
      <c r="L215" s="405"/>
      <c r="M215" s="405"/>
      <c r="N215" s="405"/>
      <c r="O215" s="405"/>
      <c r="P215" s="405"/>
      <c r="Q215" s="405"/>
    </row>
    <row r="216" spans="2:17" ht="12.75" customHeight="1">
      <c r="J216" s="272"/>
      <c r="K216" s="272"/>
      <c r="L216" s="272"/>
      <c r="M216" s="305"/>
      <c r="N216" s="305"/>
      <c r="O216" s="305"/>
      <c r="P216" s="305"/>
      <c r="Q216" s="305"/>
    </row>
    <row r="217" spans="2:17" s="14" customFormat="1" ht="16" customHeight="1" thickBot="1">
      <c r="B217" s="239" t="s">
        <v>62</v>
      </c>
      <c r="C217" s="239"/>
      <c r="D217" s="240"/>
      <c r="E217" s="240"/>
      <c r="F217" s="240"/>
      <c r="G217" s="240"/>
      <c r="H217" s="240"/>
      <c r="I217" s="240"/>
      <c r="J217" s="240"/>
      <c r="K217" s="240"/>
      <c r="L217" s="240"/>
      <c r="M217" s="240"/>
      <c r="N217" s="240"/>
      <c r="O217" s="240"/>
      <c r="P217" s="241"/>
      <c r="Q217" s="241"/>
    </row>
    <row r="218" spans="2:17">
      <c r="B218" s="306"/>
      <c r="C218" s="306"/>
      <c r="D218" s="7"/>
      <c r="E218" s="7"/>
      <c r="F218" s="7"/>
      <c r="G218" s="7"/>
      <c r="H218" s="7"/>
      <c r="I218" s="4"/>
      <c r="J218" s="7"/>
      <c r="K218" s="7"/>
      <c r="L218" s="7"/>
      <c r="M218" s="7"/>
      <c r="N218" s="7"/>
      <c r="O218" s="7"/>
    </row>
    <row r="219" spans="2:17" s="14" customFormat="1" ht="12.75" customHeight="1">
      <c r="B219" s="144" t="s">
        <v>63</v>
      </c>
      <c r="C219" s="307">
        <v>1</v>
      </c>
      <c r="D219" s="173" t="str">
        <f>INDEX(C222:C226,acase)</f>
        <v>Wall street consensus</v>
      </c>
      <c r="E219" s="225"/>
      <c r="F219" s="225"/>
      <c r="G219" s="225"/>
      <c r="H219" s="324" t="str">
        <f>$B$7</f>
        <v>Twelve months ended December 31,</v>
      </c>
      <c r="I219" s="324"/>
      <c r="J219" s="325"/>
      <c r="K219" s="325"/>
      <c r="L219" s="308">
        <f t="shared" ref="L219:Q219" si="145">L$7</f>
        <v>2019</v>
      </c>
      <c r="M219" s="309">
        <f t="shared" si="145"/>
        <v>2020</v>
      </c>
      <c r="N219" s="309">
        <f t="shared" si="145"/>
        <v>2021</v>
      </c>
      <c r="O219" s="309">
        <f t="shared" si="145"/>
        <v>2022</v>
      </c>
      <c r="P219" s="309">
        <f t="shared" si="145"/>
        <v>2023</v>
      </c>
      <c r="Q219" s="309">
        <f t="shared" si="145"/>
        <v>2024</v>
      </c>
    </row>
    <row r="220" spans="2:17" s="14" customFormat="1" ht="12.75" customHeight="1">
      <c r="B220" s="173"/>
      <c r="C220" s="173"/>
      <c r="D220" s="173"/>
      <c r="E220" s="173"/>
      <c r="F220" s="173"/>
      <c r="G220" s="225"/>
      <c r="H220" s="326"/>
      <c r="I220" s="326"/>
      <c r="J220" s="326"/>
      <c r="K220" s="327"/>
      <c r="L220" s="328"/>
      <c r="M220" s="328"/>
      <c r="N220" s="328"/>
      <c r="O220" s="329"/>
      <c r="P220" s="329"/>
      <c r="Q220" s="329"/>
    </row>
    <row r="221" spans="2:17" ht="12.75" customHeight="1">
      <c r="B221" s="310" t="s">
        <v>63</v>
      </c>
      <c r="C221" s="144" t="s">
        <v>115</v>
      </c>
      <c r="D221" s="4"/>
      <c r="E221" s="144" t="s">
        <v>114</v>
      </c>
      <c r="F221" s="4"/>
      <c r="G221" s="4"/>
      <c r="H221" s="330" t="s">
        <v>302</v>
      </c>
      <c r="I221" s="4"/>
      <c r="K221" s="331">
        <f>$C$219</f>
        <v>1</v>
      </c>
      <c r="L221" s="313">
        <f t="shared" ref="L221:Q221" si="146">INDEX(L222:L226,$K221)</f>
        <v>3.8316280346908149E-2</v>
      </c>
      <c r="M221" s="212">
        <f t="shared" si="146"/>
        <v>3.012068443876692E-2</v>
      </c>
      <c r="N221" s="212">
        <f t="shared" si="146"/>
        <v>1.5508345208439911E-2</v>
      </c>
      <c r="O221" s="212">
        <f t="shared" si="146"/>
        <v>6.5306501371114045E-3</v>
      </c>
      <c r="P221" s="212">
        <f t="shared" si="146"/>
        <v>6.5306501371114045E-3</v>
      </c>
      <c r="Q221" s="332">
        <f t="shared" si="146"/>
        <v>6.5306501371114045E-3</v>
      </c>
    </row>
    <row r="222" spans="2:17" ht="12.75" customHeight="1">
      <c r="B222" s="314">
        <v>1</v>
      </c>
      <c r="C222" s="315" t="s">
        <v>210</v>
      </c>
      <c r="D222" s="113"/>
      <c r="E222" s="315" t="s">
        <v>211</v>
      </c>
      <c r="F222" s="113"/>
      <c r="G222" s="4"/>
      <c r="H222" s="4"/>
      <c r="I222" s="4"/>
      <c r="J222" s="4"/>
      <c r="K222" s="316">
        <v>1</v>
      </c>
      <c r="L222" s="213">
        <f>+Inputs!D35/Proj!K8-1</f>
        <v>3.8316280346908149E-2</v>
      </c>
      <c r="M222" s="213">
        <f>+Inputs!E35/Proj!L8-1</f>
        <v>3.012068443876692E-2</v>
      </c>
      <c r="N222" s="213">
        <f>+Inputs!F35/Proj!M8-1</f>
        <v>1.5508345208439911E-2</v>
      </c>
      <c r="O222" s="213">
        <f>+Inputs!G35/Proj!N8-1</f>
        <v>6.5306501371114045E-3</v>
      </c>
      <c r="P222" s="101">
        <f t="shared" ref="N222:Q226" si="147">+O222</f>
        <v>6.5306501371114045E-3</v>
      </c>
      <c r="Q222" s="101">
        <f t="shared" si="147"/>
        <v>6.5306501371114045E-3</v>
      </c>
    </row>
    <row r="223" spans="2:17" ht="12.75" customHeight="1">
      <c r="B223" s="236">
        <v>2</v>
      </c>
      <c r="C223" s="254" t="s">
        <v>153</v>
      </c>
      <c r="D223" s="4"/>
      <c r="E223" s="1" t="s">
        <v>140</v>
      </c>
      <c r="F223" s="4"/>
      <c r="G223" s="4"/>
      <c r="I223" s="4"/>
      <c r="K223" s="317">
        <f>K222+1</f>
        <v>2</v>
      </c>
      <c r="L223" s="213">
        <v>0</v>
      </c>
      <c r="M223" s="213">
        <v>0</v>
      </c>
      <c r="N223" s="101">
        <f t="shared" si="147"/>
        <v>0</v>
      </c>
      <c r="O223" s="101">
        <f t="shared" si="147"/>
        <v>0</v>
      </c>
      <c r="P223" s="101">
        <f t="shared" si="147"/>
        <v>0</v>
      </c>
      <c r="Q223" s="101">
        <f t="shared" si="147"/>
        <v>0</v>
      </c>
    </row>
    <row r="224" spans="2:17" ht="12.75" customHeight="1">
      <c r="B224" s="236">
        <v>3</v>
      </c>
      <c r="C224" s="254" t="s">
        <v>154</v>
      </c>
      <c r="D224" s="4"/>
      <c r="E224" s="1" t="s">
        <v>140</v>
      </c>
      <c r="F224" s="4"/>
      <c r="G224" s="4"/>
      <c r="I224" s="4"/>
      <c r="K224" s="317">
        <f>K223+1</f>
        <v>3</v>
      </c>
      <c r="L224" s="213">
        <v>0</v>
      </c>
      <c r="M224" s="213">
        <v>0</v>
      </c>
      <c r="N224" s="101">
        <f t="shared" si="147"/>
        <v>0</v>
      </c>
      <c r="O224" s="101">
        <f t="shared" si="147"/>
        <v>0</v>
      </c>
      <c r="P224" s="101">
        <f t="shared" si="147"/>
        <v>0</v>
      </c>
      <c r="Q224" s="101">
        <f t="shared" si="147"/>
        <v>0</v>
      </c>
    </row>
    <row r="225" spans="2:19" ht="12.75" customHeight="1">
      <c r="B225" s="236">
        <v>4</v>
      </c>
      <c r="C225" s="254" t="s">
        <v>155</v>
      </c>
      <c r="D225" s="4"/>
      <c r="E225" s="1" t="s">
        <v>140</v>
      </c>
      <c r="F225" s="4"/>
      <c r="G225" s="4"/>
      <c r="I225" s="4"/>
      <c r="K225" s="317">
        <f>K224+1</f>
        <v>4</v>
      </c>
      <c r="L225" s="213">
        <v>0</v>
      </c>
      <c r="M225" s="213">
        <v>0</v>
      </c>
      <c r="N225" s="101">
        <f t="shared" si="147"/>
        <v>0</v>
      </c>
      <c r="O225" s="101">
        <f t="shared" si="147"/>
        <v>0</v>
      </c>
      <c r="P225" s="101">
        <f t="shared" si="147"/>
        <v>0</v>
      </c>
      <c r="Q225" s="101">
        <f t="shared" si="147"/>
        <v>0</v>
      </c>
    </row>
    <row r="226" spans="2:19" ht="12.75" customHeight="1">
      <c r="B226" s="236">
        <v>5</v>
      </c>
      <c r="C226" s="254" t="s">
        <v>156</v>
      </c>
      <c r="D226" s="4"/>
      <c r="E226" s="1" t="s">
        <v>140</v>
      </c>
      <c r="F226" s="4"/>
      <c r="G226" s="4"/>
      <c r="I226" s="4"/>
      <c r="K226" s="317">
        <f>K225+1</f>
        <v>5</v>
      </c>
      <c r="L226" s="213">
        <v>0</v>
      </c>
      <c r="M226" s="213">
        <v>0</v>
      </c>
      <c r="N226" s="101">
        <f t="shared" si="147"/>
        <v>0</v>
      </c>
      <c r="O226" s="101">
        <f t="shared" si="147"/>
        <v>0</v>
      </c>
      <c r="P226" s="101">
        <f t="shared" si="147"/>
        <v>0</v>
      </c>
      <c r="Q226" s="101">
        <f t="shared" si="147"/>
        <v>0</v>
      </c>
    </row>
    <row r="227" spans="2:19" ht="12.75" customHeight="1">
      <c r="H227" s="4"/>
      <c r="I227" s="4"/>
      <c r="J227" s="4"/>
      <c r="K227" s="4"/>
    </row>
    <row r="228" spans="2:19" s="14" customFormat="1" ht="12.75" customHeight="1">
      <c r="B228" s="173"/>
      <c r="E228" s="9"/>
      <c r="F228" s="9"/>
      <c r="H228" s="311" t="s">
        <v>303</v>
      </c>
      <c r="J228" s="3"/>
      <c r="K228" s="312">
        <f>$C$219</f>
        <v>1</v>
      </c>
      <c r="L228" s="313">
        <f t="shared" ref="L228:Q228" si="148">INDEX(L229:L233,$K228)</f>
        <v>1.2615035387162304E-2</v>
      </c>
      <c r="M228" s="212">
        <f t="shared" si="148"/>
        <v>1.2615035387162304E-2</v>
      </c>
      <c r="N228" s="212">
        <f t="shared" si="148"/>
        <v>1.2615035387162304E-2</v>
      </c>
      <c r="O228" s="212">
        <f t="shared" si="148"/>
        <v>1.2615035387162304E-2</v>
      </c>
      <c r="P228" s="212">
        <f t="shared" si="148"/>
        <v>1.2615035387162304E-2</v>
      </c>
      <c r="Q228" s="332">
        <f t="shared" si="148"/>
        <v>1.2615035387162304E-2</v>
      </c>
    </row>
    <row r="229" spans="2:19" s="14" customFormat="1" ht="12.75" customHeight="1">
      <c r="E229" s="9"/>
      <c r="F229" s="9"/>
      <c r="G229" s="9"/>
      <c r="H229" s="9"/>
      <c r="J229" s="9"/>
      <c r="K229" s="318">
        <f>K222</f>
        <v>1</v>
      </c>
      <c r="L229" s="213">
        <v>1.2615035387162304E-2</v>
      </c>
      <c r="M229" s="213">
        <v>1.2615035387162304E-2</v>
      </c>
      <c r="N229" s="213">
        <v>1.2615035387162304E-2</v>
      </c>
      <c r="O229" s="213">
        <v>1.2615035387162304E-2</v>
      </c>
      <c r="P229" s="213">
        <v>1.2615035387162304E-2</v>
      </c>
      <c r="Q229" s="213">
        <v>1.2615035387162304E-2</v>
      </c>
    </row>
    <row r="230" spans="2:19" s="14" customFormat="1" ht="12.75" customHeight="1">
      <c r="B230" s="9"/>
      <c r="C230" s="9"/>
      <c r="E230" s="9"/>
      <c r="F230" s="9"/>
      <c r="G230" s="9"/>
      <c r="H230" s="9"/>
      <c r="J230" s="9"/>
      <c r="K230" s="317">
        <f>K229+1</f>
        <v>2</v>
      </c>
      <c r="L230" s="213">
        <v>0</v>
      </c>
      <c r="M230" s="213">
        <v>0</v>
      </c>
      <c r="N230" s="101">
        <f t="shared" ref="N230:Q233" si="149">+M230</f>
        <v>0</v>
      </c>
      <c r="O230" s="101">
        <f t="shared" si="149"/>
        <v>0</v>
      </c>
      <c r="P230" s="101">
        <f t="shared" si="149"/>
        <v>0</v>
      </c>
      <c r="Q230" s="101">
        <f t="shared" si="149"/>
        <v>0</v>
      </c>
    </row>
    <row r="231" spans="2:19" s="14" customFormat="1" ht="12.75" customHeight="1">
      <c r="B231" s="9"/>
      <c r="C231" s="9"/>
      <c r="E231" s="9"/>
      <c r="F231" s="9"/>
      <c r="G231" s="9"/>
      <c r="H231" s="9"/>
      <c r="J231" s="9"/>
      <c r="K231" s="317">
        <f>K230+1</f>
        <v>3</v>
      </c>
      <c r="L231" s="213">
        <v>0</v>
      </c>
      <c r="M231" s="213">
        <v>0</v>
      </c>
      <c r="N231" s="101">
        <f t="shared" si="149"/>
        <v>0</v>
      </c>
      <c r="O231" s="101">
        <f t="shared" si="149"/>
        <v>0</v>
      </c>
      <c r="P231" s="101">
        <f t="shared" si="149"/>
        <v>0</v>
      </c>
      <c r="Q231" s="101">
        <f t="shared" si="149"/>
        <v>0</v>
      </c>
    </row>
    <row r="232" spans="2:19" s="14" customFormat="1" ht="12.75" customHeight="1">
      <c r="B232" s="9"/>
      <c r="C232" s="9"/>
      <c r="E232" s="9"/>
      <c r="F232" s="9"/>
      <c r="G232" s="9"/>
      <c r="H232" s="9"/>
      <c r="J232" s="9"/>
      <c r="K232" s="317">
        <f>K231+1</f>
        <v>4</v>
      </c>
      <c r="L232" s="213">
        <v>0</v>
      </c>
      <c r="M232" s="213">
        <v>0</v>
      </c>
      <c r="N232" s="101">
        <f t="shared" si="149"/>
        <v>0</v>
      </c>
      <c r="O232" s="101">
        <f t="shared" si="149"/>
        <v>0</v>
      </c>
      <c r="P232" s="101">
        <f t="shared" si="149"/>
        <v>0</v>
      </c>
      <c r="Q232" s="101">
        <f t="shared" si="149"/>
        <v>0</v>
      </c>
    </row>
    <row r="233" spans="2:19" s="14" customFormat="1" ht="12.75" customHeight="1">
      <c r="B233" s="9"/>
      <c r="C233" s="9"/>
      <c r="E233" s="9"/>
      <c r="F233" s="9"/>
      <c r="G233" s="9"/>
      <c r="H233" s="9"/>
      <c r="J233" s="9"/>
      <c r="K233" s="317">
        <f>K232+1</f>
        <v>5</v>
      </c>
      <c r="L233" s="213">
        <v>0</v>
      </c>
      <c r="M233" s="213">
        <v>0</v>
      </c>
      <c r="N233" s="101">
        <f t="shared" si="149"/>
        <v>0</v>
      </c>
      <c r="O233" s="101">
        <f t="shared" si="149"/>
        <v>0</v>
      </c>
      <c r="P233" s="101">
        <f t="shared" si="149"/>
        <v>0</v>
      </c>
      <c r="Q233" s="101">
        <f t="shared" si="149"/>
        <v>0</v>
      </c>
      <c r="S233" s="271"/>
    </row>
    <row r="234" spans="2:19" ht="12.75" customHeight="1">
      <c r="H234" s="4"/>
      <c r="I234" s="4"/>
      <c r="J234" s="4"/>
      <c r="K234" s="4"/>
      <c r="L234" s="9"/>
      <c r="M234" s="333"/>
      <c r="N234" s="333"/>
      <c r="O234" s="333"/>
      <c r="P234" s="333"/>
      <c r="Q234" s="333"/>
      <c r="S234" s="206"/>
    </row>
    <row r="235" spans="2:19" ht="12.75" customHeight="1">
      <c r="B235" s="4"/>
      <c r="C235" s="173"/>
      <c r="G235" s="4"/>
      <c r="H235" s="172" t="s">
        <v>215</v>
      </c>
      <c r="I235" s="4"/>
      <c r="J235" s="9"/>
      <c r="K235" s="312">
        <f>$C$219</f>
        <v>1</v>
      </c>
      <c r="L235" s="334">
        <f t="shared" ref="L235:Q235" si="150">INDEX(L236:L240,$K235)</f>
        <v>0.6739370818611562</v>
      </c>
      <c r="M235" s="212">
        <f t="shared" si="150"/>
        <v>0.66928394217897225</v>
      </c>
      <c r="N235" s="212">
        <f t="shared" si="150"/>
        <v>0.65828500226230369</v>
      </c>
      <c r="O235" s="212">
        <f t="shared" si="150"/>
        <v>0.64160539356338864</v>
      </c>
      <c r="P235" s="212">
        <f t="shared" si="150"/>
        <v>0.64160539356338864</v>
      </c>
      <c r="Q235" s="332">
        <f t="shared" si="150"/>
        <v>0.64160539356338864</v>
      </c>
      <c r="S235" s="206"/>
    </row>
    <row r="236" spans="2:19" ht="12.75" customHeight="1">
      <c r="B236" s="4"/>
      <c r="C236" s="335"/>
      <c r="K236" s="318">
        <f>K222</f>
        <v>1</v>
      </c>
      <c r="L236" s="213">
        <v>0.6739370818611562</v>
      </c>
      <c r="M236" s="213">
        <v>0.66928394217897225</v>
      </c>
      <c r="N236" s="213">
        <v>0.65828500226230369</v>
      </c>
      <c r="O236" s="213">
        <v>0.64160539356338864</v>
      </c>
      <c r="P236" s="101">
        <f>+O236</f>
        <v>0.64160539356338864</v>
      </c>
      <c r="Q236" s="101">
        <f t="shared" ref="Q236" si="151">+P236</f>
        <v>0.64160539356338864</v>
      </c>
      <c r="S236" s="206"/>
    </row>
    <row r="237" spans="2:19" ht="12.75" customHeight="1">
      <c r="K237" s="317">
        <f>K236+1</f>
        <v>2</v>
      </c>
      <c r="L237" s="213">
        <v>0</v>
      </c>
      <c r="M237" s="213">
        <v>0</v>
      </c>
      <c r="N237" s="101">
        <f t="shared" ref="N237:Q240" si="152">+M237</f>
        <v>0</v>
      </c>
      <c r="O237" s="101">
        <f t="shared" si="152"/>
        <v>0</v>
      </c>
      <c r="P237" s="101">
        <f t="shared" si="152"/>
        <v>0</v>
      </c>
      <c r="Q237" s="101">
        <f t="shared" si="152"/>
        <v>0</v>
      </c>
      <c r="S237" s="206"/>
    </row>
    <row r="238" spans="2:19" ht="12.75" customHeight="1">
      <c r="B238" s="4"/>
      <c r="C238" s="4"/>
      <c r="D238" s="4"/>
      <c r="E238" s="4"/>
      <c r="F238" s="4"/>
      <c r="G238" s="4"/>
      <c r="H238" s="4"/>
      <c r="K238" s="317">
        <f>K237+1</f>
        <v>3</v>
      </c>
      <c r="L238" s="213">
        <v>0</v>
      </c>
      <c r="M238" s="213">
        <v>0</v>
      </c>
      <c r="N238" s="101">
        <f t="shared" si="152"/>
        <v>0</v>
      </c>
      <c r="O238" s="101">
        <f t="shared" si="152"/>
        <v>0</v>
      </c>
      <c r="P238" s="101">
        <f t="shared" si="152"/>
        <v>0</v>
      </c>
      <c r="Q238" s="101">
        <f t="shared" si="152"/>
        <v>0</v>
      </c>
      <c r="S238" s="206"/>
    </row>
    <row r="239" spans="2:19" ht="12.75" customHeight="1">
      <c r="B239" s="4"/>
      <c r="C239" s="4"/>
      <c r="D239" s="4"/>
      <c r="E239" s="4"/>
      <c r="F239" s="4"/>
      <c r="G239" s="4"/>
      <c r="H239" s="4"/>
      <c r="I239" s="4"/>
      <c r="J239" s="4"/>
      <c r="K239" s="317">
        <f>K238+1</f>
        <v>4</v>
      </c>
      <c r="L239" s="213">
        <v>0</v>
      </c>
      <c r="M239" s="213">
        <v>0</v>
      </c>
      <c r="N239" s="101">
        <f t="shared" si="152"/>
        <v>0</v>
      </c>
      <c r="O239" s="101">
        <f t="shared" si="152"/>
        <v>0</v>
      </c>
      <c r="P239" s="101">
        <f t="shared" si="152"/>
        <v>0</v>
      </c>
      <c r="Q239" s="101">
        <f t="shared" si="152"/>
        <v>0</v>
      </c>
    </row>
    <row r="240" spans="2:19" ht="12.75" customHeight="1">
      <c r="B240" s="4"/>
      <c r="C240" s="4"/>
      <c r="D240" s="4"/>
      <c r="E240" s="4"/>
      <c r="F240" s="4"/>
      <c r="G240" s="4"/>
      <c r="H240" s="4"/>
      <c r="I240" s="4"/>
      <c r="J240" s="4"/>
      <c r="K240" s="317">
        <f>K239+1</f>
        <v>5</v>
      </c>
      <c r="L240" s="213">
        <v>0</v>
      </c>
      <c r="M240" s="213">
        <v>0</v>
      </c>
      <c r="N240" s="101">
        <f t="shared" si="152"/>
        <v>0</v>
      </c>
      <c r="O240" s="101">
        <f t="shared" si="152"/>
        <v>0</v>
      </c>
      <c r="P240" s="101">
        <f t="shared" si="152"/>
        <v>0</v>
      </c>
      <c r="Q240" s="101">
        <f t="shared" si="152"/>
        <v>0</v>
      </c>
    </row>
    <row r="243" spans="2:17">
      <c r="B243" s="3" t="s">
        <v>325</v>
      </c>
      <c r="L243" s="98">
        <f ca="1">+L33</f>
        <v>3.4000015755343287</v>
      </c>
      <c r="M243" s="98">
        <f ca="1">+M33</f>
        <v>3.5598054340854324</v>
      </c>
      <c r="N243" s="98">
        <f ca="1">+N33</f>
        <v>3.6891757759606696</v>
      </c>
      <c r="O243" s="98">
        <f ca="1">+O33</f>
        <v>3.8237780595529833</v>
      </c>
    </row>
    <row r="244" spans="2:17">
      <c r="B244" s="99" t="s">
        <v>329</v>
      </c>
      <c r="N244" s="101"/>
      <c r="O244" s="101"/>
    </row>
    <row r="245" spans="2:17">
      <c r="B245" s="3" t="s">
        <v>324</v>
      </c>
      <c r="L245" s="98">
        <f>+Inputs!D41</f>
        <v>3.4</v>
      </c>
      <c r="M245" s="98">
        <f>+Inputs!E41</f>
        <v>3.56</v>
      </c>
      <c r="N245" s="98">
        <f>+Inputs!F41</f>
        <v>3.69</v>
      </c>
      <c r="O245" s="98">
        <f>+Inputs!G41</f>
        <v>3.8247471910112347</v>
      </c>
      <c r="P245" s="98"/>
      <c r="Q245" s="98"/>
    </row>
    <row r="246" spans="2:17">
      <c r="B246" s="3" t="s">
        <v>55</v>
      </c>
      <c r="L246" s="118">
        <f>+L19</f>
        <v>385.54411764705878</v>
      </c>
      <c r="M246" s="118">
        <f>+M19</f>
        <v>384.69943820224717</v>
      </c>
      <c r="N246" s="118">
        <f>+N19</f>
        <v>386.9430894308943</v>
      </c>
      <c r="O246" s="118">
        <f>+O19</f>
        <v>389.19982612402606</v>
      </c>
      <c r="P246" s="118"/>
      <c r="Q246" s="118"/>
    </row>
    <row r="247" spans="2:17">
      <c r="B247" s="3" t="s">
        <v>318</v>
      </c>
      <c r="L247" s="3">
        <f>+L245*L246</f>
        <v>1310.85</v>
      </c>
      <c r="M247" s="3">
        <f t="shared" ref="M247:O247" si="153">+M245*M246</f>
        <v>1369.53</v>
      </c>
      <c r="N247" s="3">
        <f t="shared" si="153"/>
        <v>1427.82</v>
      </c>
      <c r="O247" s="3">
        <f t="shared" si="153"/>
        <v>1488.5909417099297</v>
      </c>
    </row>
    <row r="248" spans="2:17">
      <c r="B248" s="3" t="s">
        <v>330</v>
      </c>
      <c r="L248" s="118">
        <f>+-L31</f>
        <v>-789.64</v>
      </c>
      <c r="M248" s="118">
        <f>+-M31</f>
        <v>-807.06000000000006</v>
      </c>
      <c r="N248" s="118">
        <f>+-N31</f>
        <v>-818.08</v>
      </c>
      <c r="O248" s="118">
        <f>+-O31</f>
        <v>-823.42259426416808</v>
      </c>
      <c r="P248" s="118"/>
      <c r="Q248" s="118"/>
    </row>
    <row r="249" spans="2:17">
      <c r="B249" s="3" t="s">
        <v>10</v>
      </c>
      <c r="L249" s="415">
        <f>+L247+L248</f>
        <v>521.20999999999992</v>
      </c>
      <c r="M249" s="415">
        <f t="shared" ref="M249:O249" si="154">+M247+M248</f>
        <v>562.46999999999991</v>
      </c>
      <c r="N249" s="415">
        <f t="shared" si="154"/>
        <v>609.7399999999999</v>
      </c>
      <c r="O249" s="415">
        <f t="shared" si="154"/>
        <v>665.16834744576158</v>
      </c>
      <c r="P249" s="415"/>
      <c r="Q249" s="415"/>
    </row>
    <row r="250" spans="2:17">
      <c r="B250" s="3" t="s">
        <v>331</v>
      </c>
      <c r="L250" s="118">
        <f ca="1">+SUM(L16:L17,L14,L11:L12)</f>
        <v>-351.7348188908644</v>
      </c>
      <c r="M250" s="118">
        <f ca="1">+SUM(M16:M17,M14,M11:M12)</f>
        <v>-349.67674378090544</v>
      </c>
      <c r="N250" s="118">
        <f ca="1">+SUM(N16:N17,N14,N11:N12)</f>
        <v>-347.59961906026354</v>
      </c>
      <c r="O250" s="118">
        <f ca="1">+SUM(O16:O17,O14,O11:O12)</f>
        <v>-345.49814627163772</v>
      </c>
      <c r="P250" s="118"/>
      <c r="Q250" s="118"/>
    </row>
    <row r="251" spans="2:17">
      <c r="B251" s="3" t="s">
        <v>332</v>
      </c>
      <c r="L251" s="118">
        <f ca="1">+L249-L250</f>
        <v>872.94481889086433</v>
      </c>
      <c r="M251" s="118">
        <f t="shared" ref="M251:O251" ca="1" si="155">+M249-M250</f>
        <v>912.14674378090535</v>
      </c>
      <c r="N251" s="118">
        <f t="shared" ca="1" si="155"/>
        <v>957.33961906026343</v>
      </c>
      <c r="O251" s="118">
        <f t="shared" ca="1" si="155"/>
        <v>1010.6664937173994</v>
      </c>
      <c r="P251" s="118"/>
      <c r="Q251" s="118"/>
    </row>
    <row r="252" spans="2:17">
      <c r="B252" s="3" t="s">
        <v>281</v>
      </c>
      <c r="L252" s="118">
        <f ca="1">+L253-L251</f>
        <v>1804.2851811091357</v>
      </c>
      <c r="M252" s="118">
        <f t="shared" ref="M252:O252" ca="1" si="156">+M253-M251</f>
        <v>1845.7232562190945</v>
      </c>
      <c r="N252" s="118">
        <f t="shared" ca="1" si="156"/>
        <v>1843.3003809397364</v>
      </c>
      <c r="O252" s="118">
        <f t="shared" ca="1" si="156"/>
        <v>1808.2635062826</v>
      </c>
      <c r="P252" s="118"/>
      <c r="Q252" s="118"/>
    </row>
    <row r="253" spans="2:17">
      <c r="B253" s="3" t="s">
        <v>282</v>
      </c>
      <c r="L253" s="111">
        <f>+L8</f>
        <v>2677.23</v>
      </c>
      <c r="M253" s="111">
        <f>+M8</f>
        <v>2757.87</v>
      </c>
      <c r="N253" s="111">
        <f>+N8</f>
        <v>2800.64</v>
      </c>
      <c r="O253" s="111">
        <f>+O8</f>
        <v>2818.9299999999994</v>
      </c>
      <c r="P253" s="111"/>
      <c r="Q253" s="111"/>
    </row>
    <row r="254" spans="2:17">
      <c r="B254" s="3" t="s">
        <v>333</v>
      </c>
      <c r="L254" s="101">
        <f ca="1">+L252/L253</f>
        <v>0.67393730875163349</v>
      </c>
      <c r="M254" s="101">
        <f t="shared" ref="M254:O254" ca="1" si="157">+M252/M253</f>
        <v>0.66925680188663517</v>
      </c>
      <c r="N254" s="101">
        <f t="shared" ca="1" si="157"/>
        <v>0.65817112550693291</v>
      </c>
      <c r="O254" s="101">
        <f t="shared" ca="1" si="157"/>
        <v>0.64147158896552958</v>
      </c>
      <c r="P254" s="101"/>
      <c r="Q254" s="101"/>
    </row>
    <row r="256" spans="2:17">
      <c r="B256" s="3" t="s">
        <v>334</v>
      </c>
      <c r="L256" s="416">
        <f ca="1">+L243-L245</f>
        <v>1.5755343287793266E-6</v>
      </c>
      <c r="M256" s="416">
        <f t="shared" ref="M256:O256" ca="1" si="158">+M243-M245</f>
        <v>-1.9456591456767924E-4</v>
      </c>
      <c r="N256" s="416">
        <f t="shared" ca="1" si="158"/>
        <v>-8.2422403933035682E-4</v>
      </c>
      <c r="O256" s="416">
        <f t="shared" ca="1" si="158"/>
        <v>-9.6913145825139324E-4</v>
      </c>
    </row>
  </sheetData>
  <customSheetViews>
    <customSheetView guid="{9AE38660-BF5A-49A3-9FC0-AD5890AFC019}" showPageBreaks="1" showGridLines="0" printArea="1" hiddenRows="1" view="pageBreakPreview" showRuler="0">
      <selection activeCell="P14" sqref="P14"/>
      <rowBreaks count="6" manualBreakCount="6">
        <brk id="46" min="1" max="14" man="1"/>
        <brk id="79" min="1" max="14" man="1"/>
        <brk id="110" min="1" max="14" man="1"/>
        <brk id="135" min="1" max="14" man="1"/>
        <brk id="159" min="1" max="14" man="1"/>
        <brk id="169" min="1" max="15" man="1"/>
      </rowBreaks>
      <pageMargins left="0.35" right="0.35" top="0.35" bottom="0.35" header="0.15" footer="0.15"/>
      <printOptions horizontalCentered="1"/>
      <pageSetup scale="86" orientation="landscape" r:id="rId1"/>
      <headerFooter alignWithMargins="0">
        <oddFooter>&amp;L&amp;"Arial,Regular"&amp;8
Peter J. Solomon Company, LP&amp;R&amp;"Arial,Regular"&amp;8
&amp;D at &amp;T</oddFooter>
      </headerFooter>
    </customSheetView>
  </customSheetViews>
  <phoneticPr fontId="0" type="noConversion"/>
  <dataValidations disablePrompts="1" count="1">
    <dataValidation type="custom" allowBlank="1" showInputMessage="1" showErrorMessage="1" error="Enter &quot;F&quot; for fixed rate or &quot;L&quot; for LIBOR-based rate" sqref="E157:E162" xr:uid="{00000000-0002-0000-0600-000000000000}">
      <formula1>OR(E157="F",E157="L")</formula1>
    </dataValidation>
  </dataValidations>
  <printOptions horizontalCentered="1"/>
  <pageMargins left="0.35" right="0.35" top="0.35" bottom="0.35" header="0.15" footer="0.15"/>
  <pageSetup scale="73" orientation="landscape" r:id="rId2"/>
  <headerFooter alignWithMargins="0"/>
  <rowBreaks count="8" manualBreakCount="8">
    <brk id="54" min="1" max="15" man="1"/>
    <brk id="80" min="1" max="15" man="1"/>
    <brk id="109" min="1" max="15" man="1"/>
    <brk id="146" max="16383" man="1"/>
    <brk id="163" max="16383" man="1"/>
    <brk id="177" max="16383" man="1"/>
    <brk id="192" min="1" max="15" man="1"/>
    <brk id="216" min="1" max="15" man="1"/>
  </rowBreaks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1"/>
  <dimension ref="A1:V96"/>
  <sheetViews>
    <sheetView showGridLines="0" zoomScale="130" zoomScaleNormal="130" zoomScaleSheetLayoutView="85" workbookViewId="0"/>
  </sheetViews>
  <sheetFormatPr defaultColWidth="8.796875" defaultRowHeight="15.5" outlineLevelRow="1"/>
  <cols>
    <col min="1" max="1" width="2.796875" style="428" customWidth="1"/>
    <col min="2" max="2" width="12.796875" style="428" customWidth="1"/>
    <col min="3" max="3" width="10.796875" style="428" customWidth="1"/>
    <col min="4" max="4" width="5.796875" style="428" customWidth="1"/>
    <col min="5" max="6" width="8.796875" style="428"/>
    <col min="7" max="18" width="11.296875" style="428" customWidth="1"/>
    <col min="19" max="19" width="10.69921875" style="429" bestFit="1" customWidth="1"/>
    <col min="20" max="21" width="8.796875" style="429"/>
    <col min="22" max="22" width="11.296875" style="429" customWidth="1"/>
    <col min="23" max="16384" width="8.796875" style="429"/>
  </cols>
  <sheetData>
    <row r="1" spans="1:22">
      <c r="A1" s="2"/>
    </row>
    <row r="2" spans="1:22" s="4" customFormat="1" ht="22.5">
      <c r="B2" s="61" t="str">
        <f>+a</f>
        <v>REIT Model</v>
      </c>
      <c r="C2" s="223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514" t="s">
        <v>210</v>
      </c>
      <c r="P2" s="6"/>
      <c r="Q2" s="6"/>
      <c r="R2" s="6"/>
      <c r="S2" s="6"/>
    </row>
    <row r="3" spans="1:22" s="183" customFormat="1" ht="20.149999999999999" customHeight="1" thickBot="1">
      <c r="B3" s="518" t="s">
        <v>350</v>
      </c>
      <c r="C3" s="515"/>
      <c r="D3" s="516"/>
      <c r="E3" s="516"/>
      <c r="F3" s="516"/>
      <c r="G3" s="516"/>
      <c r="H3" s="516"/>
      <c r="I3" s="516"/>
      <c r="J3" s="516"/>
      <c r="K3" s="516"/>
      <c r="L3" s="516"/>
      <c r="M3" s="516"/>
      <c r="N3" s="516"/>
      <c r="O3" s="517"/>
      <c r="P3" s="184"/>
      <c r="Q3" s="184"/>
      <c r="R3" s="184"/>
      <c r="S3" s="184"/>
      <c r="T3" s="184"/>
      <c r="U3" s="430"/>
      <c r="V3" s="430"/>
    </row>
    <row r="4" spans="1:22" s="4" customFormat="1" ht="12.75" customHeight="1">
      <c r="A4" s="3"/>
      <c r="B4" s="129" t="str">
        <f>+Proj!B4</f>
        <v>(Amounts in Millions, Except Per Share Data)</v>
      </c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</row>
    <row r="5" spans="1:22" s="4" customFormat="1" ht="12.75" customHeight="1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R5" s="102" t="s">
        <v>351</v>
      </c>
      <c r="S5" s="102" t="s">
        <v>352</v>
      </c>
    </row>
    <row r="6" spans="1:22" s="4" customFormat="1" ht="12.75" customHeight="1">
      <c r="A6" s="3"/>
      <c r="B6" s="513" t="s">
        <v>395</v>
      </c>
      <c r="C6" s="431"/>
      <c r="D6" s="431"/>
      <c r="E6" s="432"/>
      <c r="F6" s="433"/>
      <c r="G6" s="3"/>
      <c r="H6" s="3"/>
      <c r="I6" s="3"/>
      <c r="J6" s="434" t="s">
        <v>392</v>
      </c>
      <c r="K6" s="434"/>
      <c r="L6" s="434"/>
      <c r="M6" s="434"/>
      <c r="N6" s="434"/>
      <c r="O6" s="3"/>
      <c r="P6" s="3"/>
      <c r="Q6" s="3" t="s">
        <v>353</v>
      </c>
      <c r="R6" s="435">
        <v>18</v>
      </c>
      <c r="S6" s="435">
        <v>1</v>
      </c>
    </row>
    <row r="7" spans="1:22" s="4" customFormat="1" ht="12.75" customHeight="1">
      <c r="A7" s="3"/>
      <c r="B7" s="3"/>
      <c r="C7" s="3"/>
      <c r="D7" s="3"/>
      <c r="E7" s="3"/>
      <c r="F7" s="3"/>
      <c r="G7" s="3"/>
      <c r="H7" s="3"/>
      <c r="J7" s="436">
        <v>2020</v>
      </c>
      <c r="K7" s="436">
        <v>2021</v>
      </c>
      <c r="L7" s="436">
        <v>2022</v>
      </c>
      <c r="M7" s="436">
        <v>2023</v>
      </c>
      <c r="N7" s="436">
        <v>2024</v>
      </c>
      <c r="O7" s="3"/>
      <c r="P7" s="3"/>
      <c r="Q7" s="4" t="s">
        <v>354</v>
      </c>
      <c r="R7" s="437">
        <v>0.05</v>
      </c>
      <c r="S7" s="437">
        <v>0.02</v>
      </c>
      <c r="V7" s="436">
        <f>'[5]Acq Proj'!L7</f>
        <v>2019</v>
      </c>
    </row>
    <row r="8" spans="1:22" s="4" customFormat="1" ht="15" customHeight="1">
      <c r="A8" s="3"/>
      <c r="B8" s="3" t="s">
        <v>102</v>
      </c>
      <c r="C8" s="3"/>
      <c r="D8" s="3"/>
      <c r="E8" s="3"/>
      <c r="F8" s="3"/>
      <c r="G8" s="3"/>
      <c r="H8" s="3"/>
      <c r="J8" s="438">
        <f>+Proj!M8</f>
        <v>2757.87</v>
      </c>
      <c r="K8" s="439">
        <f>+Proj!N8</f>
        <v>2800.64</v>
      </c>
      <c r="L8" s="439">
        <f>+Proj!O8</f>
        <v>2818.9299999999994</v>
      </c>
      <c r="M8" s="440">
        <f>+Proj!P8</f>
        <v>2837.339445591007</v>
      </c>
      <c r="N8" s="440">
        <f>+Proj!Q8</f>
        <v>2855.8691168303876</v>
      </c>
      <c r="O8" s="3"/>
      <c r="P8" s="3"/>
      <c r="Q8" s="4" t="s">
        <v>355</v>
      </c>
      <c r="R8" s="437">
        <v>2.5000000000000001E-2</v>
      </c>
      <c r="S8" s="437">
        <v>5.0000000000000001E-3</v>
      </c>
      <c r="V8" s="441">
        <f>+Proj!L8</f>
        <v>2677.23</v>
      </c>
    </row>
    <row r="9" spans="1:22" s="4" customFormat="1" ht="12.75" customHeight="1">
      <c r="A9" s="3"/>
      <c r="B9" s="269" t="s">
        <v>356</v>
      </c>
      <c r="C9" s="176"/>
      <c r="D9" s="176"/>
      <c r="E9" s="176"/>
      <c r="F9" s="176"/>
      <c r="G9" s="176"/>
      <c r="H9" s="176"/>
      <c r="J9" s="442">
        <f>+Proj!M49</f>
        <v>3.012068443876692E-2</v>
      </c>
      <c r="K9" s="178">
        <f>K8/J8-1</f>
        <v>1.5508345208439911E-2</v>
      </c>
      <c r="L9" s="178">
        <f>L8/K8-1</f>
        <v>6.5306501371114045E-3</v>
      </c>
      <c r="M9" s="178">
        <f>M8/L8-1</f>
        <v>6.5306501371114045E-3</v>
      </c>
      <c r="N9" s="178">
        <f>N8/M8-1</f>
        <v>6.5306501371114045E-3</v>
      </c>
      <c r="O9" s="3"/>
      <c r="P9" s="3"/>
      <c r="V9" s="443">
        <f>+Proj!L49</f>
        <v>3.8316280346908149E-2</v>
      </c>
    </row>
    <row r="10" spans="1:22" s="4" customFormat="1" ht="12.75" customHeight="1">
      <c r="A10" s="3"/>
      <c r="B10" s="3" t="s">
        <v>9</v>
      </c>
      <c r="C10" s="3"/>
      <c r="D10" s="3"/>
      <c r="E10" s="3"/>
      <c r="F10" s="3"/>
      <c r="G10" s="3"/>
      <c r="H10" s="3"/>
      <c r="J10" s="75">
        <f>+Proj!M38</f>
        <v>1719.1318943828778</v>
      </c>
      <c r="K10" s="75">
        <f>+Proj!N38</f>
        <v>1775.1006912641019</v>
      </c>
      <c r="L10" s="75">
        <f>+Proj!O38</f>
        <v>1833.7119021865246</v>
      </c>
      <c r="M10" s="75">
        <f>+Proj!P38</f>
        <v>1845.6872330719621</v>
      </c>
      <c r="N10" s="75">
        <f>+Proj!Q38</f>
        <v>1857.7407706536883</v>
      </c>
      <c r="O10" s="3"/>
      <c r="P10" s="3"/>
      <c r="V10" s="100">
        <f>+Proj!L38</f>
        <v>1662.585426328857</v>
      </c>
    </row>
    <row r="11" spans="1:22" s="4" customFormat="1" ht="12.75" customHeight="1">
      <c r="A11" s="3"/>
      <c r="B11" s="269" t="s">
        <v>357</v>
      </c>
      <c r="C11" s="176"/>
      <c r="D11" s="176"/>
      <c r="E11" s="176"/>
      <c r="F11" s="176"/>
      <c r="G11" s="176"/>
      <c r="H11" s="176"/>
      <c r="J11" s="178">
        <f>J10/J8</f>
        <v>0.62335494217743326</v>
      </c>
      <c r="K11" s="178">
        <f>K10/K8</f>
        <v>0.63381965952928687</v>
      </c>
      <c r="L11" s="178">
        <f>L10/L8</f>
        <v>0.65049926822820181</v>
      </c>
      <c r="M11" s="178">
        <f>M10/M8</f>
        <v>0.65049926822820192</v>
      </c>
      <c r="N11" s="178">
        <f>N10/N8</f>
        <v>0.65049926822820192</v>
      </c>
      <c r="O11" s="3"/>
      <c r="P11" s="3"/>
      <c r="V11" s="444">
        <f>V10/V8</f>
        <v>0.62100956075079727</v>
      </c>
    </row>
    <row r="12" spans="1:22" s="4" customFormat="1" ht="12.75" customHeight="1">
      <c r="A12" s="3"/>
      <c r="B12" s="3" t="s">
        <v>358</v>
      </c>
      <c r="C12" s="3"/>
      <c r="D12" s="3"/>
      <c r="E12" s="3"/>
      <c r="F12" s="3"/>
      <c r="G12" s="3"/>
      <c r="H12" s="3"/>
      <c r="J12" s="75">
        <f>+Proj!M36</f>
        <v>912.07189438287787</v>
      </c>
      <c r="K12" s="75">
        <f>+Proj!N36</f>
        <v>957.02069126410174</v>
      </c>
      <c r="L12" s="75">
        <f>+Proj!O36</f>
        <v>1010.2893079223566</v>
      </c>
      <c r="M12" s="75">
        <f>+Proj!P36</f>
        <v>1016.887153929662</v>
      </c>
      <c r="N12" s="75">
        <f>+Proj!Q36</f>
        <v>1023.5280881608996</v>
      </c>
      <c r="O12" s="3"/>
      <c r="P12" s="3"/>
      <c r="V12" s="100">
        <f>+Proj!L36</f>
        <v>872.94542632885691</v>
      </c>
    </row>
    <row r="13" spans="1:22" s="4" customFormat="1" ht="12.75" customHeight="1">
      <c r="A13" s="3"/>
      <c r="B13" s="269" t="s">
        <v>357</v>
      </c>
      <c r="C13" s="176"/>
      <c r="D13" s="176"/>
      <c r="E13" s="176"/>
      <c r="F13" s="176"/>
      <c r="G13" s="176"/>
      <c r="H13" s="176"/>
      <c r="J13" s="178">
        <f>J12/J8</f>
        <v>0.33071605782102781</v>
      </c>
      <c r="K13" s="178">
        <f>K12/K8</f>
        <v>0.34171499773769631</v>
      </c>
      <c r="L13" s="178">
        <f>L12/L8</f>
        <v>0.35839460643661131</v>
      </c>
      <c r="M13" s="178">
        <f>M12/M8</f>
        <v>0.35839460643661136</v>
      </c>
      <c r="N13" s="178">
        <f>N12/N8</f>
        <v>0.35839460643661136</v>
      </c>
      <c r="O13" s="3"/>
      <c r="P13" s="3"/>
      <c r="V13" s="444">
        <f>V12/V8</f>
        <v>0.32606291813884386</v>
      </c>
    </row>
    <row r="14" spans="1:22" s="4" customFormat="1" ht="12.75" customHeight="1">
      <c r="A14" s="3"/>
      <c r="B14" s="3" t="s">
        <v>359</v>
      </c>
      <c r="C14" s="445">
        <v>0</v>
      </c>
      <c r="D14" s="446"/>
      <c r="E14" s="3"/>
      <c r="F14" s="3"/>
      <c r="G14" s="3"/>
      <c r="H14" s="3"/>
      <c r="J14" s="179">
        <f>-$C$14*J12</f>
        <v>0</v>
      </c>
      <c r="K14" s="179">
        <f>-$C$14*K12</f>
        <v>0</v>
      </c>
      <c r="L14" s="179">
        <f>-$C$14*L12</f>
        <v>0</v>
      </c>
      <c r="M14" s="179">
        <f>-$C$14*M12</f>
        <v>0</v>
      </c>
      <c r="N14" s="179">
        <f>-$C$14*N12</f>
        <v>0</v>
      </c>
      <c r="O14" s="3"/>
      <c r="P14" s="3"/>
      <c r="Q14" s="369"/>
      <c r="S14" s="54"/>
      <c r="V14" s="54">
        <f>-$C$14*V12</f>
        <v>0</v>
      </c>
    </row>
    <row r="15" spans="1:22" s="4" customFormat="1" ht="12.75" customHeight="1">
      <c r="A15" s="3"/>
      <c r="B15" s="3" t="str">
        <f>"Tax-Effected "&amp;B12</f>
        <v>Tax-Effected EBIT</v>
      </c>
      <c r="C15" s="3"/>
      <c r="D15" s="3"/>
      <c r="E15" s="3"/>
      <c r="F15" s="3"/>
      <c r="G15" s="3"/>
      <c r="H15" s="3"/>
      <c r="J15" s="293">
        <f>J12+J14</f>
        <v>912.07189438287787</v>
      </c>
      <c r="K15" s="293">
        <f>K12+K14</f>
        <v>957.02069126410174</v>
      </c>
      <c r="L15" s="293">
        <f>L12+L14</f>
        <v>1010.2893079223566</v>
      </c>
      <c r="M15" s="293">
        <f>M12+M14</f>
        <v>1016.887153929662</v>
      </c>
      <c r="N15" s="293">
        <f>N12+N14</f>
        <v>1023.5280881608996</v>
      </c>
      <c r="O15" s="3"/>
      <c r="P15" s="3"/>
      <c r="V15" s="394">
        <f>V12+V14</f>
        <v>872.94542632885691</v>
      </c>
    </row>
    <row r="16" spans="1:22" s="4" customFormat="1" ht="12.75" customHeight="1">
      <c r="A16" s="3"/>
      <c r="B16" s="3" t="s">
        <v>360</v>
      </c>
      <c r="C16" s="3"/>
      <c r="D16" s="3"/>
      <c r="E16" s="3"/>
      <c r="F16" s="3"/>
      <c r="G16" s="3"/>
      <c r="H16" s="3"/>
      <c r="J16" s="75">
        <f>+Proj!M84</f>
        <v>807.06000000000006</v>
      </c>
      <c r="K16" s="75">
        <f>+Proj!N84</f>
        <v>818.08</v>
      </c>
      <c r="L16" s="75">
        <f>+Proj!O84</f>
        <v>823.42259426416808</v>
      </c>
      <c r="M16" s="75">
        <f>+Proj!P84</f>
        <v>828.80007914229998</v>
      </c>
      <c r="N16" s="75">
        <f>+Proj!Q84</f>
        <v>834.21268249278864</v>
      </c>
      <c r="O16" s="3"/>
      <c r="P16" s="3"/>
      <c r="Q16" s="3"/>
      <c r="R16" s="3"/>
      <c r="V16" s="100">
        <f>+Proj!L91+Proj!L93</f>
        <v>-229.24780200463536</v>
      </c>
    </row>
    <row r="17" spans="1:22" s="4" customFormat="1" ht="12.75" customHeight="1">
      <c r="A17" s="3"/>
      <c r="B17" s="3" t="s">
        <v>361</v>
      </c>
      <c r="C17" s="3"/>
      <c r="D17" s="3"/>
      <c r="E17" s="3"/>
      <c r="F17" s="3"/>
      <c r="G17" s="3"/>
      <c r="H17" s="3"/>
      <c r="J17" s="75">
        <f>+Proj!M89</f>
        <v>-206.43749547981446</v>
      </c>
      <c r="K17" s="75">
        <f>+Proj!N89</f>
        <v>-209.63899942368116</v>
      </c>
      <c r="L17" s="75">
        <f>+Proj!O89</f>
        <v>-211.00807838401133</v>
      </c>
      <c r="M17" s="75">
        <f>+Proj!P89</f>
        <v>-212.3860983200415</v>
      </c>
      <c r="N17" s="75">
        <f>+Proj!Q89</f>
        <v>-213.77311762215584</v>
      </c>
      <c r="O17" s="3"/>
      <c r="P17" s="3"/>
      <c r="Q17" s="3"/>
      <c r="R17" s="3"/>
      <c r="V17" s="100">
        <f ca="1">+Proj!L97</f>
        <v>-904.65316316320559</v>
      </c>
    </row>
    <row r="18" spans="1:22" s="4" customFormat="1" ht="12.75" customHeight="1">
      <c r="A18" s="3"/>
      <c r="B18" s="3" t="s">
        <v>362</v>
      </c>
      <c r="C18" s="3"/>
      <c r="D18" s="3"/>
      <c r="E18" s="3"/>
      <c r="F18" s="3"/>
      <c r="G18" s="3"/>
      <c r="H18" s="3"/>
      <c r="J18" s="103">
        <f ca="1">+Proj!M86</f>
        <v>17.59176995387196</v>
      </c>
      <c r="K18" s="103">
        <f ca="1">+Proj!N86</f>
        <v>17.548895307202542</v>
      </c>
      <c r="L18" s="103">
        <f ca="1">+Proj!O86</f>
        <v>19.31322885403074</v>
      </c>
      <c r="M18" s="103">
        <f ca="1">+Proj!P86</f>
        <v>1.5672910859055378</v>
      </c>
      <c r="N18" s="103">
        <f ca="1">+Proj!Q86</f>
        <v>1.4840076958740838</v>
      </c>
      <c r="O18" s="3"/>
      <c r="P18" s="3"/>
      <c r="Q18" s="3"/>
      <c r="R18" s="3"/>
      <c r="V18" s="100">
        <f>+Proj!L94</f>
        <v>-875.80663316320556</v>
      </c>
    </row>
    <row r="19" spans="1:22" s="4" customFormat="1" ht="12.75" customHeight="1">
      <c r="A19" s="3"/>
      <c r="B19" s="3" t="s">
        <v>363</v>
      </c>
      <c r="C19" s="3"/>
      <c r="D19" s="3"/>
      <c r="E19" s="3"/>
      <c r="F19" s="3"/>
      <c r="G19" s="3"/>
      <c r="H19" s="3"/>
      <c r="J19" s="447">
        <f ca="1">SUM(J15:J18)</f>
        <v>1530.2861688569353</v>
      </c>
      <c r="K19" s="447">
        <f ca="1">SUM(K15:K18)</f>
        <v>1583.0105871476235</v>
      </c>
      <c r="L19" s="447">
        <f ca="1">SUM(L15:L18)</f>
        <v>1642.0170526565441</v>
      </c>
      <c r="M19" s="447">
        <f ca="1">SUM(M15:M18)</f>
        <v>1634.868425837826</v>
      </c>
      <c r="N19" s="447">
        <f ca="1">SUM(N15:N18)</f>
        <v>1645.4516607274063</v>
      </c>
      <c r="O19" s="3"/>
      <c r="P19" s="3"/>
      <c r="Q19" s="3"/>
      <c r="R19" s="3"/>
      <c r="V19" s="448">
        <f ca="1">SUM(V15:V18)</f>
        <v>-1136.7621720021896</v>
      </c>
    </row>
    <row r="20" spans="1:22" s="4" customFormat="1" ht="12.75" customHeight="1">
      <c r="A20" s="3"/>
      <c r="B20" s="269" t="s">
        <v>364</v>
      </c>
      <c r="C20" s="3"/>
      <c r="D20" s="3"/>
      <c r="E20" s="3"/>
      <c r="F20" s="3"/>
      <c r="G20" s="3"/>
      <c r="H20" s="3"/>
      <c r="I20" s="449"/>
      <c r="J20" s="450" t="str">
        <f ca="1">IF(V19&lt;=0,"NM",J19/V19-1)</f>
        <v>NM</v>
      </c>
      <c r="K20" s="450">
        <f ca="1">IF(J19&lt;=0,"NM",K19/J19-1)</f>
        <v>3.4453959895665243E-2</v>
      </c>
      <c r="L20" s="450">
        <f ca="1">IF(K19&lt;=0,"NM",L19/K19-1)</f>
        <v>3.727483946600918E-2</v>
      </c>
      <c r="M20" s="450">
        <f ca="1">IF(L19&lt;=0,"NM",M19/L19-1)</f>
        <v>-4.353564298953394E-3</v>
      </c>
      <c r="N20" s="450">
        <f ca="1">IF(M19&lt;=0,"NM",N19/M19-1)</f>
        <v>6.4734474789045482E-3</v>
      </c>
      <c r="O20" s="3"/>
      <c r="P20" s="3"/>
      <c r="Q20" s="3"/>
      <c r="R20" s="3"/>
      <c r="V20" s="449"/>
    </row>
    <row r="21" spans="1:22" s="4" customFormat="1" ht="12.75" customHeight="1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</row>
    <row r="22" spans="1:22" s="144" customFormat="1" ht="12.75" customHeight="1">
      <c r="A22" s="142"/>
      <c r="B22" s="142" t="s">
        <v>365</v>
      </c>
      <c r="C22" s="142"/>
      <c r="D22" s="142"/>
      <c r="E22" s="142"/>
      <c r="F22" s="142"/>
      <c r="G22" s="451">
        <f>+H22</f>
        <v>18</v>
      </c>
      <c r="H22" s="452">
        <f>R6</f>
        <v>18</v>
      </c>
      <c r="I22" s="451">
        <f>+H22</f>
        <v>18</v>
      </c>
      <c r="J22" s="451">
        <f>+K22</f>
        <v>19</v>
      </c>
      <c r="K22" s="452">
        <f>H22+$S$6</f>
        <v>19</v>
      </c>
      <c r="L22" s="451">
        <f>+K22</f>
        <v>19</v>
      </c>
      <c r="M22" s="451">
        <f>+N22</f>
        <v>20</v>
      </c>
      <c r="N22" s="452">
        <f>K22+$S$6</f>
        <v>20</v>
      </c>
      <c r="O22" s="451">
        <f>+N22</f>
        <v>20</v>
      </c>
      <c r="P22" s="451">
        <f>+Q22</f>
        <v>21</v>
      </c>
      <c r="Q22" s="452">
        <f>N22+$S$6</f>
        <v>21</v>
      </c>
      <c r="R22" s="451">
        <f>+Q22</f>
        <v>21</v>
      </c>
    </row>
    <row r="23" spans="1:22" s="4" customFormat="1" ht="12.75" customHeight="1">
      <c r="A23" s="3"/>
      <c r="B23" s="3" t="s">
        <v>366</v>
      </c>
      <c r="C23" s="3"/>
      <c r="D23" s="3"/>
      <c r="E23" s="3"/>
      <c r="F23" s="3"/>
      <c r="G23" s="453">
        <f>R7</f>
        <v>0.05</v>
      </c>
      <c r="H23" s="454">
        <f>G23+$S$7</f>
        <v>7.0000000000000007E-2</v>
      </c>
      <c r="I23" s="455">
        <f>H23+$S$7</f>
        <v>9.0000000000000011E-2</v>
      </c>
      <c r="J23" s="453">
        <f>$G$23</f>
        <v>0.05</v>
      </c>
      <c r="K23" s="454">
        <f>$H$23</f>
        <v>7.0000000000000007E-2</v>
      </c>
      <c r="L23" s="455">
        <f>$I$23</f>
        <v>9.0000000000000011E-2</v>
      </c>
      <c r="M23" s="453">
        <f>$G$23</f>
        <v>0.05</v>
      </c>
      <c r="N23" s="454">
        <f>$H$23</f>
        <v>7.0000000000000007E-2</v>
      </c>
      <c r="O23" s="455">
        <f>$I$23</f>
        <v>9.0000000000000011E-2</v>
      </c>
      <c r="P23" s="454">
        <f>$G$23</f>
        <v>0.05</v>
      </c>
      <c r="Q23" s="454">
        <f>$H$23</f>
        <v>7.0000000000000007E-2</v>
      </c>
      <c r="R23" s="455">
        <f>$I$23</f>
        <v>9.0000000000000011E-2</v>
      </c>
    </row>
    <row r="24" spans="1:22" s="4" customFormat="1" ht="12.75" customHeight="1">
      <c r="A24" s="3"/>
      <c r="B24" s="3" t="s">
        <v>368</v>
      </c>
      <c r="C24" s="3"/>
      <c r="D24" s="3"/>
      <c r="E24" s="3"/>
      <c r="F24" s="3"/>
      <c r="G24" s="456">
        <f t="shared" ref="G24:R24" ca="1" si="0">XNPV(G23,$J$19:$N$19,$J$53:$N$53)/(1+G23)^$R$54</f>
        <v>6944.8527479221821</v>
      </c>
      <c r="H24" s="106">
        <f t="shared" ca="1" si="0"/>
        <v>6572.193541362376</v>
      </c>
      <c r="I24" s="457">
        <f t="shared" ca="1" si="0"/>
        <v>6230.1481376195579</v>
      </c>
      <c r="J24" s="456">
        <f t="shared" ca="1" si="0"/>
        <v>6944.8527479221821</v>
      </c>
      <c r="K24" s="106">
        <f t="shared" ca="1" si="0"/>
        <v>6572.193541362376</v>
      </c>
      <c r="L24" s="457">
        <f t="shared" ca="1" si="0"/>
        <v>6230.1481376195579</v>
      </c>
      <c r="M24" s="456">
        <f t="shared" ca="1" si="0"/>
        <v>6944.8527479221821</v>
      </c>
      <c r="N24" s="106">
        <f t="shared" ca="1" si="0"/>
        <v>6572.193541362376</v>
      </c>
      <c r="O24" s="457">
        <f t="shared" ca="1" si="0"/>
        <v>6230.1481376195579</v>
      </c>
      <c r="P24" s="106">
        <f t="shared" ca="1" si="0"/>
        <v>6944.8527479221821</v>
      </c>
      <c r="Q24" s="106">
        <f t="shared" ca="1" si="0"/>
        <v>6572.193541362376</v>
      </c>
      <c r="R24" s="457">
        <f t="shared" ca="1" si="0"/>
        <v>6230.1481376195579</v>
      </c>
    </row>
    <row r="25" spans="1:22" s="4" customFormat="1" ht="12.75" customHeight="1">
      <c r="A25" s="3"/>
      <c r="B25" s="3" t="s">
        <v>369</v>
      </c>
      <c r="C25" s="3"/>
      <c r="D25" s="3"/>
      <c r="E25" s="3"/>
      <c r="F25" s="3"/>
      <c r="G25" s="458">
        <f t="shared" ref="G25:R25" si="1">($N$10*G22)/(1+G23)^($R$55)</f>
        <v>26193.589459304596</v>
      </c>
      <c r="H25" s="459">
        <f t="shared" si="1"/>
        <v>23832.945620445917</v>
      </c>
      <c r="I25" s="460">
        <f t="shared" si="1"/>
        <v>21723.012449033708</v>
      </c>
      <c r="J25" s="458">
        <f t="shared" si="1"/>
        <v>27648.788873710411</v>
      </c>
      <c r="K25" s="459">
        <f t="shared" si="1"/>
        <v>25156.998154915138</v>
      </c>
      <c r="L25" s="460">
        <f t="shared" si="1"/>
        <v>22929.846473980026</v>
      </c>
      <c r="M25" s="458">
        <f t="shared" si="1"/>
        <v>29103.988288116223</v>
      </c>
      <c r="N25" s="459">
        <f t="shared" si="1"/>
        <v>26481.050689384356</v>
      </c>
      <c r="O25" s="460">
        <f t="shared" si="1"/>
        <v>24136.680498926344</v>
      </c>
      <c r="P25" s="459">
        <f t="shared" si="1"/>
        <v>30559.187702522031</v>
      </c>
      <c r="Q25" s="459">
        <f t="shared" si="1"/>
        <v>27805.10322385357</v>
      </c>
      <c r="R25" s="460">
        <f t="shared" si="1"/>
        <v>25343.514523872658</v>
      </c>
    </row>
    <row r="26" spans="1:22" s="4" customFormat="1" ht="12.75" customHeight="1">
      <c r="A26" s="3"/>
      <c r="B26" s="3" t="s">
        <v>370</v>
      </c>
      <c r="C26" s="3"/>
      <c r="D26" s="3"/>
      <c r="E26" s="3"/>
      <c r="F26" s="3"/>
      <c r="G26" s="456">
        <f t="shared" ref="G26:R26" ca="1" si="2">G24+G25</f>
        <v>33138.442207226777</v>
      </c>
      <c r="H26" s="106">
        <f t="shared" ca="1" si="2"/>
        <v>30405.139161808293</v>
      </c>
      <c r="I26" s="457">
        <f t="shared" ca="1" si="2"/>
        <v>27953.160586653266</v>
      </c>
      <c r="J26" s="456">
        <f t="shared" ca="1" si="2"/>
        <v>34593.641621632596</v>
      </c>
      <c r="K26" s="106">
        <f t="shared" ca="1" si="2"/>
        <v>31729.191696277514</v>
      </c>
      <c r="L26" s="457">
        <f t="shared" ca="1" si="2"/>
        <v>29159.994611599584</v>
      </c>
      <c r="M26" s="456">
        <f t="shared" ca="1" si="2"/>
        <v>36048.841036038408</v>
      </c>
      <c r="N26" s="106">
        <f t="shared" ca="1" si="2"/>
        <v>33053.244230746728</v>
      </c>
      <c r="O26" s="457">
        <f t="shared" ca="1" si="2"/>
        <v>30366.828636545903</v>
      </c>
      <c r="P26" s="106">
        <f t="shared" ca="1" si="2"/>
        <v>37504.040450444212</v>
      </c>
      <c r="Q26" s="106">
        <f t="shared" ca="1" si="2"/>
        <v>34377.296765215942</v>
      </c>
      <c r="R26" s="457">
        <f t="shared" ca="1" si="2"/>
        <v>31573.662661492217</v>
      </c>
    </row>
    <row r="27" spans="1:22" s="4" customFormat="1" ht="12.75" customHeight="1">
      <c r="A27" s="3"/>
      <c r="B27" s="70" t="str">
        <f>IF(G27&lt;=0,"Less: Net Debt","Plus: Net Cash")&amp;" (a)"</f>
        <v>Less: Net Debt (a)</v>
      </c>
      <c r="C27" s="3"/>
      <c r="D27" s="3"/>
      <c r="E27" s="3"/>
      <c r="F27" s="3"/>
      <c r="G27" s="461">
        <f>+-SUM('Spread Cover'!E29:E32)</f>
        <v>-8917.8170000000009</v>
      </c>
      <c r="H27" s="459">
        <f t="shared" ref="H27:R27" si="3">$G$27</f>
        <v>-8917.8170000000009</v>
      </c>
      <c r="I27" s="460">
        <f t="shared" si="3"/>
        <v>-8917.8170000000009</v>
      </c>
      <c r="J27" s="458">
        <f t="shared" si="3"/>
        <v>-8917.8170000000009</v>
      </c>
      <c r="K27" s="459">
        <f t="shared" si="3"/>
        <v>-8917.8170000000009</v>
      </c>
      <c r="L27" s="460">
        <f t="shared" si="3"/>
        <v>-8917.8170000000009</v>
      </c>
      <c r="M27" s="458">
        <f t="shared" si="3"/>
        <v>-8917.8170000000009</v>
      </c>
      <c r="N27" s="459">
        <f t="shared" si="3"/>
        <v>-8917.8170000000009</v>
      </c>
      <c r="O27" s="460">
        <f t="shared" si="3"/>
        <v>-8917.8170000000009</v>
      </c>
      <c r="P27" s="459">
        <f t="shared" si="3"/>
        <v>-8917.8170000000009</v>
      </c>
      <c r="Q27" s="459">
        <f t="shared" si="3"/>
        <v>-8917.8170000000009</v>
      </c>
      <c r="R27" s="460">
        <f t="shared" si="3"/>
        <v>-8917.8170000000009</v>
      </c>
    </row>
    <row r="28" spans="1:22" s="4" customFormat="1" ht="12.75" customHeight="1">
      <c r="A28" s="3"/>
      <c r="B28" s="3" t="s">
        <v>371</v>
      </c>
      <c r="C28" s="3"/>
      <c r="D28" s="3"/>
      <c r="E28" s="3"/>
      <c r="F28" s="3"/>
      <c r="G28" s="456">
        <f t="shared" ref="G28:R28" ca="1" si="4">SUM(G26:G27)</f>
        <v>24220.625207226774</v>
      </c>
      <c r="H28" s="106">
        <f t="shared" ca="1" si="4"/>
        <v>21487.32216180829</v>
      </c>
      <c r="I28" s="457">
        <f t="shared" ca="1" si="4"/>
        <v>19035.343586653267</v>
      </c>
      <c r="J28" s="456">
        <f t="shared" ca="1" si="4"/>
        <v>25675.824621632593</v>
      </c>
      <c r="K28" s="106">
        <f t="shared" ca="1" si="4"/>
        <v>22811.374696277511</v>
      </c>
      <c r="L28" s="457">
        <f t="shared" ca="1" si="4"/>
        <v>20242.177611599582</v>
      </c>
      <c r="M28" s="456">
        <f t="shared" ca="1" si="4"/>
        <v>27131.024036038405</v>
      </c>
      <c r="N28" s="106">
        <f t="shared" ca="1" si="4"/>
        <v>24135.427230746725</v>
      </c>
      <c r="O28" s="457">
        <f t="shared" ca="1" si="4"/>
        <v>21449.011636545903</v>
      </c>
      <c r="P28" s="106">
        <f t="shared" ca="1" si="4"/>
        <v>28586.223450444209</v>
      </c>
      <c r="Q28" s="106">
        <f t="shared" ca="1" si="4"/>
        <v>25459.47976521594</v>
      </c>
      <c r="R28" s="457">
        <f t="shared" ca="1" si="4"/>
        <v>22655.845661492218</v>
      </c>
    </row>
    <row r="29" spans="1:22" s="144" customFormat="1" ht="18" customHeight="1">
      <c r="A29" s="142"/>
      <c r="B29" s="142" t="s">
        <v>372</v>
      </c>
      <c r="C29" s="142"/>
      <c r="D29" s="142"/>
      <c r="E29" s="142"/>
      <c r="F29" s="142"/>
      <c r="G29" s="462">
        <f t="shared" ref="G29:R29" ca="1" si="5">G28/G48</f>
        <v>65.354907562976805</v>
      </c>
      <c r="H29" s="280">
        <f t="shared" ca="1" si="5"/>
        <v>57.97959142862581</v>
      </c>
      <c r="I29" s="463">
        <f t="shared" ca="1" si="5"/>
        <v>51.363377695305573</v>
      </c>
      <c r="J29" s="462">
        <f t="shared" ca="1" si="5"/>
        <v>69.28149584880741</v>
      </c>
      <c r="K29" s="280">
        <f t="shared" ca="1" si="5"/>
        <v>61.552303951874045</v>
      </c>
      <c r="L29" s="463">
        <f t="shared" ca="1" si="5"/>
        <v>54.619797604758951</v>
      </c>
      <c r="M29" s="462">
        <f t="shared" ca="1" si="5"/>
        <v>73.208084134638</v>
      </c>
      <c r="N29" s="280">
        <f t="shared" ca="1" si="5"/>
        <v>65.125016475122266</v>
      </c>
      <c r="O29" s="463">
        <f t="shared" ca="1" si="5"/>
        <v>57.87621751421235</v>
      </c>
      <c r="P29" s="280">
        <f t="shared" ca="1" si="5"/>
        <v>77.134672420468576</v>
      </c>
      <c r="Q29" s="280">
        <f t="shared" ca="1" si="5"/>
        <v>68.697728998370494</v>
      </c>
      <c r="R29" s="463">
        <f t="shared" ca="1" si="5"/>
        <v>61.132637423665727</v>
      </c>
    </row>
    <row r="30" spans="1:22" s="4" customFormat="1" ht="18" customHeight="1">
      <c r="A30" s="3"/>
      <c r="B30" s="3" t="s">
        <v>373</v>
      </c>
      <c r="C30" s="3"/>
      <c r="D30" s="3"/>
      <c r="E30" s="3"/>
      <c r="F30" s="3"/>
      <c r="G30" s="464">
        <f t="shared" ref="G30:R30" ca="1" si="6">G25/G26</f>
        <v>0.79042911237367519</v>
      </c>
      <c r="H30" s="465">
        <f t="shared" ca="1" si="6"/>
        <v>0.78384596411853735</v>
      </c>
      <c r="I30" s="466">
        <f t="shared" ca="1" si="6"/>
        <v>0.77712187076998174</v>
      </c>
      <c r="J30" s="464">
        <f t="shared" ca="1" si="6"/>
        <v>0.79924482007759112</v>
      </c>
      <c r="K30" s="465">
        <f t="shared" ca="1" si="6"/>
        <v>0.79286602683504759</v>
      </c>
      <c r="L30" s="466">
        <f t="shared" ca="1" si="6"/>
        <v>0.78634604633495842</v>
      </c>
      <c r="M30" s="464">
        <f t="shared" ca="1" si="6"/>
        <v>0.80734879268436555</v>
      </c>
      <c r="N30" s="465">
        <f t="shared" ca="1" si="6"/>
        <v>0.80116343510847265</v>
      </c>
      <c r="O30" s="466">
        <f t="shared" ca="1" si="6"/>
        <v>0.79483705025022955</v>
      </c>
      <c r="P30" s="465">
        <f t="shared" ca="1" si="6"/>
        <v>0.81482387858719574</v>
      </c>
      <c r="Q30" s="465">
        <f t="shared" ca="1" si="6"/>
        <v>0.80882168873695937</v>
      </c>
      <c r="R30" s="466">
        <f t="shared" ca="1" si="6"/>
        <v>0.80267895415193768</v>
      </c>
    </row>
    <row r="31" spans="1:22" s="4" customFormat="1" ht="12.75" customHeight="1">
      <c r="A31" s="3"/>
      <c r="B31" s="3" t="s">
        <v>374</v>
      </c>
      <c r="C31" s="3"/>
      <c r="D31" s="3"/>
      <c r="E31" s="3"/>
      <c r="F31" s="3"/>
      <c r="G31" s="467">
        <f t="shared" ref="G31:R31" ca="1" si="7">($N$10*G22*G23-$N$19)/($N$19+$N$10*G22)</f>
        <v>7.5574162584965041E-4</v>
      </c>
      <c r="H31" s="468">
        <f t="shared" ca="1" si="7"/>
        <v>1.9817755752056309E-2</v>
      </c>
      <c r="I31" s="469">
        <f t="shared" ca="1" si="7"/>
        <v>3.8879769878262971E-2</v>
      </c>
      <c r="J31" s="467">
        <f t="shared" ca="1" si="7"/>
        <v>3.2321035766150266E-3</v>
      </c>
      <c r="K31" s="468">
        <f t="shared" ca="1" si="7"/>
        <v>2.2341286501883894E-2</v>
      </c>
      <c r="L31" s="469">
        <f t="shared" ca="1" si="7"/>
        <v>4.1450469427152754E-2</v>
      </c>
      <c r="M31" s="467">
        <f t="shared" ca="1" si="7"/>
        <v>5.4713311514709819E-3</v>
      </c>
      <c r="N31" s="468">
        <f t="shared" ca="1" si="7"/>
        <v>2.4623166030546626E-2</v>
      </c>
      <c r="O31" s="469">
        <f t="shared" ca="1" si="7"/>
        <v>4.3775000909622261E-2</v>
      </c>
      <c r="P31" s="468">
        <f t="shared" ca="1" si="7"/>
        <v>7.5059296959771662E-3</v>
      </c>
      <c r="Q31" s="468">
        <f t="shared" ca="1" si="7"/>
        <v>2.6696518833043404E-2</v>
      </c>
      <c r="R31" s="469">
        <f t="shared" ca="1" si="7"/>
        <v>4.5887107970109635E-2</v>
      </c>
    </row>
    <row r="32" spans="1:22" s="4" customFormat="1" ht="12.75" customHeight="1">
      <c r="A32" s="3"/>
      <c r="B32" s="3"/>
      <c r="C32" s="3"/>
      <c r="D32" s="3"/>
      <c r="E32" s="3"/>
      <c r="F32" s="3"/>
      <c r="G32" s="470"/>
      <c r="H32" s="206"/>
      <c r="I32" s="206"/>
      <c r="J32" s="206"/>
      <c r="K32" s="206"/>
      <c r="L32" s="206"/>
      <c r="M32" s="206"/>
      <c r="N32" s="206"/>
      <c r="O32" s="206"/>
      <c r="P32" s="206"/>
      <c r="Q32" s="206"/>
      <c r="R32" s="206"/>
    </row>
    <row r="33" spans="1:18" s="4" customFormat="1" ht="12.75" hidden="1" customHeight="1" outlineLevel="1">
      <c r="A33" s="3"/>
      <c r="B33" s="3"/>
      <c r="C33" s="3"/>
      <c r="D33" s="3"/>
      <c r="E33" s="3"/>
      <c r="F33" s="3"/>
      <c r="G33" s="470"/>
      <c r="H33" s="206"/>
      <c r="I33" s="206"/>
      <c r="J33" s="206"/>
      <c r="K33" s="206"/>
      <c r="L33" s="206"/>
      <c r="M33" s="206"/>
      <c r="N33" s="206"/>
      <c r="O33" s="206"/>
      <c r="P33" s="206"/>
      <c r="Q33" s="206"/>
      <c r="R33" s="206"/>
    </row>
    <row r="34" spans="1:18" s="144" customFormat="1" ht="12.75" hidden="1" customHeight="1" outlineLevel="1">
      <c r="A34" s="142"/>
      <c r="B34" s="142" t="s">
        <v>375</v>
      </c>
      <c r="C34" s="142"/>
      <c r="D34" s="142"/>
      <c r="E34" s="142"/>
      <c r="F34" s="142"/>
      <c r="G34" s="471">
        <f>+H34</f>
        <v>2.5000000000000001E-2</v>
      </c>
      <c r="H34" s="472">
        <f>R8</f>
        <v>2.5000000000000001E-2</v>
      </c>
      <c r="I34" s="471">
        <f>+H34</f>
        <v>2.5000000000000001E-2</v>
      </c>
      <c r="J34" s="471">
        <f>+K34</f>
        <v>3.0000000000000002E-2</v>
      </c>
      <c r="K34" s="472">
        <f>H34+$S$8</f>
        <v>3.0000000000000002E-2</v>
      </c>
      <c r="L34" s="471">
        <f>+K34</f>
        <v>3.0000000000000002E-2</v>
      </c>
      <c r="M34" s="471">
        <f>+N34</f>
        <v>3.5000000000000003E-2</v>
      </c>
      <c r="N34" s="472">
        <f>K34+$S$8</f>
        <v>3.5000000000000003E-2</v>
      </c>
      <c r="O34" s="471">
        <f>+N34</f>
        <v>3.5000000000000003E-2</v>
      </c>
      <c r="P34" s="471">
        <f>+Q34</f>
        <v>0.04</v>
      </c>
      <c r="Q34" s="472">
        <f>N34+$S$8</f>
        <v>0.04</v>
      </c>
      <c r="R34" s="471">
        <f>+Q34</f>
        <v>0.04</v>
      </c>
    </row>
    <row r="35" spans="1:18" s="4" customFormat="1" ht="12.75" hidden="1" customHeight="1" outlineLevel="1">
      <c r="A35" s="3"/>
      <c r="B35" s="3" t="s">
        <v>366</v>
      </c>
      <c r="C35" s="3"/>
      <c r="D35" s="3"/>
      <c r="E35" s="3"/>
      <c r="F35" s="3"/>
      <c r="G35" s="453">
        <f t="shared" ref="G35:R35" si="8">G23</f>
        <v>0.05</v>
      </c>
      <c r="H35" s="454">
        <f t="shared" si="8"/>
        <v>7.0000000000000007E-2</v>
      </c>
      <c r="I35" s="455">
        <f t="shared" si="8"/>
        <v>9.0000000000000011E-2</v>
      </c>
      <c r="J35" s="453">
        <f t="shared" si="8"/>
        <v>0.05</v>
      </c>
      <c r="K35" s="454">
        <f t="shared" si="8"/>
        <v>7.0000000000000007E-2</v>
      </c>
      <c r="L35" s="455">
        <f t="shared" si="8"/>
        <v>9.0000000000000011E-2</v>
      </c>
      <c r="M35" s="453">
        <f t="shared" si="8"/>
        <v>0.05</v>
      </c>
      <c r="N35" s="454">
        <f t="shared" si="8"/>
        <v>7.0000000000000007E-2</v>
      </c>
      <c r="O35" s="455">
        <f t="shared" si="8"/>
        <v>9.0000000000000011E-2</v>
      </c>
      <c r="P35" s="454">
        <f t="shared" si="8"/>
        <v>0.05</v>
      </c>
      <c r="Q35" s="454">
        <f t="shared" si="8"/>
        <v>7.0000000000000007E-2</v>
      </c>
      <c r="R35" s="455">
        <f t="shared" si="8"/>
        <v>9.0000000000000011E-2</v>
      </c>
    </row>
    <row r="36" spans="1:18" s="4" customFormat="1" ht="12.75" hidden="1" customHeight="1" outlineLevel="1">
      <c r="A36" s="3" t="s">
        <v>367</v>
      </c>
      <c r="B36" s="3" t="s">
        <v>368</v>
      </c>
      <c r="C36" s="3"/>
      <c r="D36" s="3"/>
      <c r="E36" s="3"/>
      <c r="F36" s="3"/>
      <c r="G36" s="456">
        <f t="shared" ref="G36:R36" ca="1" si="9">XNPV(G35,$J$19:$N$19,$J$53:$N$53)/(1+G35)^$R$54</f>
        <v>6944.8527479221821</v>
      </c>
      <c r="H36" s="106">
        <f t="shared" ca="1" si="9"/>
        <v>6572.193541362376</v>
      </c>
      <c r="I36" s="457">
        <f t="shared" ca="1" si="9"/>
        <v>6230.1481376195579</v>
      </c>
      <c r="J36" s="456">
        <f t="shared" ca="1" si="9"/>
        <v>6944.8527479221821</v>
      </c>
      <c r="K36" s="106">
        <f t="shared" ca="1" si="9"/>
        <v>6572.193541362376</v>
      </c>
      <c r="L36" s="457">
        <f t="shared" ca="1" si="9"/>
        <v>6230.1481376195579</v>
      </c>
      <c r="M36" s="456">
        <f t="shared" ca="1" si="9"/>
        <v>6944.8527479221821</v>
      </c>
      <c r="N36" s="106">
        <f t="shared" ca="1" si="9"/>
        <v>6572.193541362376</v>
      </c>
      <c r="O36" s="457">
        <f t="shared" ca="1" si="9"/>
        <v>6230.1481376195579</v>
      </c>
      <c r="P36" s="106">
        <f t="shared" ca="1" si="9"/>
        <v>6944.8527479221821</v>
      </c>
      <c r="Q36" s="106">
        <f t="shared" ca="1" si="9"/>
        <v>6572.193541362376</v>
      </c>
      <c r="R36" s="457">
        <f t="shared" ca="1" si="9"/>
        <v>6230.1481376195579</v>
      </c>
    </row>
    <row r="37" spans="1:18" s="4" customFormat="1" ht="12.75" hidden="1" customHeight="1" outlineLevel="1">
      <c r="A37" s="3" t="s">
        <v>367</v>
      </c>
      <c r="B37" s="3" t="s">
        <v>369</v>
      </c>
      <c r="C37" s="3"/>
      <c r="D37" s="3"/>
      <c r="E37" s="3"/>
      <c r="F37" s="3"/>
      <c r="G37" s="458">
        <f t="shared" ref="G37:R37" ca="1" si="10">(($N$19*(1+G34))/(G35-G34))/(1+G35)^($R$55)</f>
        <v>52845.301975863338</v>
      </c>
      <c r="H37" s="459">
        <f t="shared" ca="1" si="10"/>
        <v>26712.626050981326</v>
      </c>
      <c r="I37" s="460">
        <f t="shared" ca="1" si="10"/>
        <v>16856.137709662184</v>
      </c>
      <c r="J37" s="458">
        <f t="shared" ca="1" si="10"/>
        <v>66378.854920901518</v>
      </c>
      <c r="K37" s="459">
        <f t="shared" ca="1" si="10"/>
        <v>30198.297986902064</v>
      </c>
      <c r="L37" s="460">
        <f t="shared" ca="1" si="10"/>
        <v>18349.893002632249</v>
      </c>
      <c r="M37" s="458">
        <f t="shared" ca="1" si="10"/>
        <v>88934.77649596511</v>
      </c>
      <c r="N37" s="459">
        <f t="shared" ca="1" si="10"/>
        <v>34679.876190228722</v>
      </c>
      <c r="O37" s="460">
        <f t="shared" ca="1" si="10"/>
        <v>20115.240167051408</v>
      </c>
      <c r="P37" s="459">
        <f t="shared" ca="1" si="10"/>
        <v>134046.61964609232</v>
      </c>
      <c r="Q37" s="459">
        <f t="shared" ca="1" si="10"/>
        <v>40655.31379466426</v>
      </c>
      <c r="R37" s="460">
        <f t="shared" ca="1" si="10"/>
        <v>22233.656764354411</v>
      </c>
    </row>
    <row r="38" spans="1:18" s="4" customFormat="1" ht="12.75" hidden="1" customHeight="1" outlineLevel="1">
      <c r="A38" s="3"/>
      <c r="B38" s="3" t="s">
        <v>370</v>
      </c>
      <c r="C38" s="3"/>
      <c r="D38" s="3"/>
      <c r="E38" s="3"/>
      <c r="F38" s="3"/>
      <c r="G38" s="456">
        <f t="shared" ref="G38:R38" ca="1" si="11">SUM(G36:G37)</f>
        <v>59790.154723785519</v>
      </c>
      <c r="H38" s="106">
        <f t="shared" ca="1" si="11"/>
        <v>33284.819592343702</v>
      </c>
      <c r="I38" s="457">
        <f t="shared" ca="1" si="11"/>
        <v>23086.285847281742</v>
      </c>
      <c r="J38" s="456">
        <f t="shared" ca="1" si="11"/>
        <v>73323.707668823699</v>
      </c>
      <c r="K38" s="106">
        <f t="shared" ca="1" si="11"/>
        <v>36770.491528264436</v>
      </c>
      <c r="L38" s="457">
        <f t="shared" ca="1" si="11"/>
        <v>24580.041140251808</v>
      </c>
      <c r="M38" s="456">
        <f t="shared" ca="1" si="11"/>
        <v>95879.629243887292</v>
      </c>
      <c r="N38" s="106">
        <f t="shared" ca="1" si="11"/>
        <v>41252.069731591095</v>
      </c>
      <c r="O38" s="457">
        <f t="shared" ca="1" si="11"/>
        <v>26345.388304670967</v>
      </c>
      <c r="P38" s="106">
        <f t="shared" ca="1" si="11"/>
        <v>140991.4723940145</v>
      </c>
      <c r="Q38" s="106">
        <f t="shared" ca="1" si="11"/>
        <v>47227.50733602664</v>
      </c>
      <c r="R38" s="457">
        <f t="shared" ca="1" si="11"/>
        <v>28463.80490197397</v>
      </c>
    </row>
    <row r="39" spans="1:18" s="4" customFormat="1" ht="12.75" hidden="1" customHeight="1" outlineLevel="1">
      <c r="A39" s="3"/>
      <c r="B39" s="3" t="str">
        <f>+B27</f>
        <v>Less: Net Debt (a)</v>
      </c>
      <c r="C39" s="3"/>
      <c r="D39" s="3"/>
      <c r="E39" s="3"/>
      <c r="F39" s="3"/>
      <c r="G39" s="458">
        <f t="shared" ref="G39:R39" si="12">G27</f>
        <v>-8917.8170000000009</v>
      </c>
      <c r="H39" s="459">
        <f t="shared" si="12"/>
        <v>-8917.8170000000009</v>
      </c>
      <c r="I39" s="460">
        <f t="shared" si="12"/>
        <v>-8917.8170000000009</v>
      </c>
      <c r="J39" s="458">
        <f t="shared" si="12"/>
        <v>-8917.8170000000009</v>
      </c>
      <c r="K39" s="459">
        <f t="shared" si="12"/>
        <v>-8917.8170000000009</v>
      </c>
      <c r="L39" s="460">
        <f t="shared" si="12"/>
        <v>-8917.8170000000009</v>
      </c>
      <c r="M39" s="458">
        <f t="shared" si="12"/>
        <v>-8917.8170000000009</v>
      </c>
      <c r="N39" s="459">
        <f t="shared" si="12"/>
        <v>-8917.8170000000009</v>
      </c>
      <c r="O39" s="460">
        <f t="shared" si="12"/>
        <v>-8917.8170000000009</v>
      </c>
      <c r="P39" s="459">
        <f t="shared" si="12"/>
        <v>-8917.8170000000009</v>
      </c>
      <c r="Q39" s="459">
        <f t="shared" si="12"/>
        <v>-8917.8170000000009</v>
      </c>
      <c r="R39" s="460">
        <f t="shared" si="12"/>
        <v>-8917.8170000000009</v>
      </c>
    </row>
    <row r="40" spans="1:18" s="4" customFormat="1" ht="12.75" hidden="1" customHeight="1" outlineLevel="1">
      <c r="A40" s="3"/>
      <c r="B40" s="3" t="s">
        <v>371</v>
      </c>
      <c r="C40" s="3"/>
      <c r="D40" s="3"/>
      <c r="E40" s="3"/>
      <c r="F40" s="3"/>
      <c r="G40" s="456">
        <f t="shared" ref="G40:R40" ca="1" si="13">SUM(G38:G39)</f>
        <v>50872.337723785517</v>
      </c>
      <c r="H40" s="106">
        <f t="shared" ca="1" si="13"/>
        <v>24367.002592343699</v>
      </c>
      <c r="I40" s="457">
        <f t="shared" ca="1" si="13"/>
        <v>14168.468847281742</v>
      </c>
      <c r="J40" s="456">
        <f t="shared" ca="1" si="13"/>
        <v>64405.890668823697</v>
      </c>
      <c r="K40" s="106">
        <f t="shared" ca="1" si="13"/>
        <v>27852.674528264433</v>
      </c>
      <c r="L40" s="457">
        <f t="shared" ca="1" si="13"/>
        <v>15662.224140251807</v>
      </c>
      <c r="M40" s="456">
        <f t="shared" ca="1" si="13"/>
        <v>86961.812243887296</v>
      </c>
      <c r="N40" s="106">
        <f t="shared" ca="1" si="13"/>
        <v>32334.252731591092</v>
      </c>
      <c r="O40" s="457">
        <f t="shared" ca="1" si="13"/>
        <v>17427.571304670964</v>
      </c>
      <c r="P40" s="106">
        <f t="shared" ca="1" si="13"/>
        <v>132073.65539401449</v>
      </c>
      <c r="Q40" s="106">
        <f t="shared" ca="1" si="13"/>
        <v>38309.690336026637</v>
      </c>
      <c r="R40" s="457">
        <f t="shared" ca="1" si="13"/>
        <v>19545.987901973967</v>
      </c>
    </row>
    <row r="41" spans="1:18" s="144" customFormat="1" ht="18" hidden="1" customHeight="1" outlineLevel="1">
      <c r="A41" s="142"/>
      <c r="B41" s="142" t="s">
        <v>372</v>
      </c>
      <c r="C41" s="142"/>
      <c r="D41" s="142"/>
      <c r="E41" s="142"/>
      <c r="F41" s="142"/>
      <c r="G41" s="462">
        <f t="shared" ref="G41:R41" ca="1" si="14">G40/G49</f>
        <v>137.26965761637413</v>
      </c>
      <c r="H41" s="280">
        <f t="shared" ca="1" si="14"/>
        <v>65.749880045799927</v>
      </c>
      <c r="I41" s="463">
        <f t="shared" ca="1" si="14"/>
        <v>38.231010302191862</v>
      </c>
      <c r="J41" s="462">
        <f t="shared" ca="1" si="14"/>
        <v>173.78746399643887</v>
      </c>
      <c r="K41" s="280">
        <f t="shared" ca="1" si="14"/>
        <v>75.155325413865455</v>
      </c>
      <c r="L41" s="463">
        <f t="shared" ca="1" si="14"/>
        <v>42.261634543247268</v>
      </c>
      <c r="M41" s="462">
        <f t="shared" ca="1" si="14"/>
        <v>234.65047462988002</v>
      </c>
      <c r="N41" s="280">
        <f t="shared" ca="1" si="14"/>
        <v>87.248040887092543</v>
      </c>
      <c r="O41" s="463">
        <f t="shared" ca="1" si="14"/>
        <v>47.025099555403635</v>
      </c>
      <c r="P41" s="280">
        <f t="shared" ca="1" si="14"/>
        <v>356.37649589676226</v>
      </c>
      <c r="Q41" s="280">
        <f t="shared" ca="1" si="14"/>
        <v>103.37166151806201</v>
      </c>
      <c r="R41" s="463">
        <f t="shared" ca="1" si="14"/>
        <v>52.741257569991312</v>
      </c>
    </row>
    <row r="42" spans="1:18" s="4" customFormat="1" ht="18" hidden="1" customHeight="1" outlineLevel="1">
      <c r="A42" s="3"/>
      <c r="B42" s="3" t="s">
        <v>373</v>
      </c>
      <c r="C42" s="3"/>
      <c r="D42" s="3"/>
      <c r="E42" s="3"/>
      <c r="F42" s="3"/>
      <c r="G42" s="464">
        <f t="shared" ref="G42:R42" ca="1" si="15">G37/G38</f>
        <v>0.8838462154847142</v>
      </c>
      <c r="H42" s="465">
        <f t="shared" ca="1" si="15"/>
        <v>0.80254681798323046</v>
      </c>
      <c r="I42" s="466">
        <f t="shared" ca="1" si="15"/>
        <v>0.73013640310820649</v>
      </c>
      <c r="J42" s="464">
        <f t="shared" ca="1" si="15"/>
        <v>0.9052850303303055</v>
      </c>
      <c r="K42" s="465">
        <f t="shared" ca="1" si="15"/>
        <v>0.82126446320929614</v>
      </c>
      <c r="L42" s="466">
        <f t="shared" ca="1" si="15"/>
        <v>0.74653630146219785</v>
      </c>
      <c r="M42" s="464">
        <f t="shared" ca="1" si="15"/>
        <v>0.92756696283986784</v>
      </c>
      <c r="N42" s="465">
        <f t="shared" ca="1" si="15"/>
        <v>0.84068208979271297</v>
      </c>
      <c r="O42" s="466">
        <f t="shared" ca="1" si="15"/>
        <v>0.76352035257286488</v>
      </c>
      <c r="P42" s="465">
        <f t="shared" ca="1" si="15"/>
        <v>0.95074274613918419</v>
      </c>
      <c r="Q42" s="465">
        <f t="shared" ca="1" si="15"/>
        <v>0.86083971159856443</v>
      </c>
      <c r="R42" s="466">
        <f t="shared" ca="1" si="15"/>
        <v>0.78112033303082762</v>
      </c>
    </row>
    <row r="43" spans="1:18" s="4" customFormat="1" ht="12.75" hidden="1" customHeight="1" outlineLevel="1">
      <c r="A43" s="3" t="s">
        <v>367</v>
      </c>
      <c r="B43" s="3" t="s">
        <v>376</v>
      </c>
      <c r="C43" s="3"/>
      <c r="D43" s="3"/>
      <c r="E43" s="3"/>
      <c r="F43" s="3"/>
      <c r="G43" s="473">
        <f t="shared" ref="G43:R43" ca="1" si="16">(G37*((1+G35)^($R$55)))/$N$10</f>
        <v>36.314818060479496</v>
      </c>
      <c r="H43" s="474">
        <f t="shared" ca="1" si="16"/>
        <v>20.174898922488605</v>
      </c>
      <c r="I43" s="475">
        <f t="shared" ca="1" si="16"/>
        <v>13.967237715569036</v>
      </c>
      <c r="J43" s="473">
        <f t="shared" ca="1" si="16"/>
        <v>45.614954393041323</v>
      </c>
      <c r="K43" s="474">
        <f t="shared" ca="1" si="16"/>
        <v>22.807477196520658</v>
      </c>
      <c r="L43" s="475">
        <f t="shared" ca="1" si="16"/>
        <v>15.20498479768044</v>
      </c>
      <c r="M43" s="473">
        <f t="shared" ca="1" si="16"/>
        <v>61.115181613977683</v>
      </c>
      <c r="N43" s="474">
        <f t="shared" ca="1" si="16"/>
        <v>26.192220691704723</v>
      </c>
      <c r="O43" s="475">
        <f t="shared" ca="1" si="16"/>
        <v>16.667776803812092</v>
      </c>
      <c r="P43" s="474">
        <f t="shared" ca="1" si="16"/>
        <v>92.115636055850416</v>
      </c>
      <c r="Q43" s="474">
        <f t="shared" ca="1" si="16"/>
        <v>30.705212018616802</v>
      </c>
      <c r="R43" s="475">
        <f t="shared" ca="1" si="16"/>
        <v>18.423127211170083</v>
      </c>
    </row>
    <row r="44" spans="1:18" s="4" customFormat="1" ht="12.75" customHeight="1" collapsed="1">
      <c r="A44" s="3"/>
      <c r="B44" s="3"/>
      <c r="C44" s="3"/>
      <c r="D44" s="3"/>
      <c r="E44" s="3"/>
      <c r="F44" s="3"/>
      <c r="G44" s="470"/>
      <c r="H44" s="206"/>
      <c r="I44" s="206"/>
      <c r="J44" s="206"/>
      <c r="K44" s="206"/>
      <c r="L44" s="206"/>
      <c r="M44" s="206"/>
      <c r="N44" s="206"/>
      <c r="O44" s="206"/>
      <c r="P44" s="206"/>
      <c r="Q44" s="206"/>
      <c r="R44" s="206"/>
    </row>
    <row r="45" spans="1:18" s="4" customFormat="1" ht="12.75" customHeight="1">
      <c r="B45" s="476" t="str">
        <f>"Note: Present values as of "&amp;TEXT($C$53,"mmmm d, yyyy.")</f>
        <v>Note: Present values as of December 31, 2019.</v>
      </c>
      <c r="C45" s="204"/>
      <c r="D45" s="204"/>
      <c r="E45" s="204"/>
      <c r="F45" s="204"/>
      <c r="G45" s="204"/>
      <c r="H45" s="204"/>
      <c r="I45" s="204"/>
      <c r="J45" s="204"/>
      <c r="K45" s="204"/>
      <c r="L45" s="204"/>
      <c r="M45" s="204"/>
      <c r="N45" s="204"/>
      <c r="O45" s="204"/>
      <c r="P45" s="169"/>
      <c r="Q45" s="169"/>
      <c r="R45" s="169"/>
    </row>
    <row r="46" spans="1:18" s="4" customFormat="1" ht="12.75" customHeight="1">
      <c r="B46" s="477" t="s">
        <v>377</v>
      </c>
      <c r="C46" s="478"/>
      <c r="D46" s="478"/>
      <c r="E46" s="478"/>
      <c r="F46" s="478"/>
      <c r="G46" s="478"/>
      <c r="H46" s="478"/>
      <c r="I46" s="478"/>
      <c r="J46" s="478"/>
      <c r="K46" s="478"/>
      <c r="L46" s="478"/>
      <c r="M46" s="478"/>
      <c r="N46" s="478"/>
      <c r="O46" s="478"/>
    </row>
    <row r="47" spans="1:18" s="4" customFormat="1" ht="12.75" customHeight="1">
      <c r="A47" s="3"/>
      <c r="B47" s="3"/>
      <c r="C47" s="3"/>
      <c r="D47" s="3"/>
      <c r="E47" s="3"/>
      <c r="F47" s="3"/>
      <c r="G47" s="118"/>
      <c r="H47" s="118"/>
      <c r="I47" s="118"/>
      <c r="J47" s="118"/>
      <c r="K47" s="118"/>
      <c r="L47" s="118"/>
      <c r="M47" s="118"/>
      <c r="N47" s="118"/>
      <c r="O47" s="118"/>
      <c r="P47" s="118"/>
      <c r="Q47" s="118"/>
      <c r="R47" s="118"/>
    </row>
    <row r="48" spans="1:18" s="4" customFormat="1" ht="12.75" customHeight="1">
      <c r="B48" s="4" t="s">
        <v>378</v>
      </c>
      <c r="G48" s="100">
        <f>adshares</f>
        <v>370.60147600832391</v>
      </c>
      <c r="H48" s="100">
        <f>+G48</f>
        <v>370.60147600832391</v>
      </c>
      <c r="I48" s="100">
        <f t="shared" ref="I48:R48" si="17">+H48</f>
        <v>370.60147600832391</v>
      </c>
      <c r="J48" s="100">
        <f t="shared" si="17"/>
        <v>370.60147600832391</v>
      </c>
      <c r="K48" s="100">
        <f t="shared" si="17"/>
        <v>370.60147600832391</v>
      </c>
      <c r="L48" s="100">
        <f t="shared" si="17"/>
        <v>370.60147600832391</v>
      </c>
      <c r="M48" s="100">
        <f t="shared" si="17"/>
        <v>370.60147600832391</v>
      </c>
      <c r="N48" s="100">
        <f t="shared" si="17"/>
        <v>370.60147600832391</v>
      </c>
      <c r="O48" s="100">
        <f t="shared" si="17"/>
        <v>370.60147600832391</v>
      </c>
      <c r="P48" s="100">
        <f t="shared" si="17"/>
        <v>370.60147600832391</v>
      </c>
      <c r="Q48" s="100">
        <f t="shared" si="17"/>
        <v>370.60147600832391</v>
      </c>
      <c r="R48" s="100">
        <f t="shared" si="17"/>
        <v>370.60147600832391</v>
      </c>
    </row>
    <row r="49" spans="1:21" s="4" customFormat="1" ht="12.75" customHeight="1">
      <c r="B49" s="4" t="s">
        <v>379</v>
      </c>
      <c r="G49" s="100">
        <f>+G48</f>
        <v>370.60147600832391</v>
      </c>
      <c r="H49" s="100">
        <f t="shared" ref="H49:R49" si="18">+G49</f>
        <v>370.60147600832391</v>
      </c>
      <c r="I49" s="100">
        <f t="shared" si="18"/>
        <v>370.60147600832391</v>
      </c>
      <c r="J49" s="100">
        <f t="shared" si="18"/>
        <v>370.60147600832391</v>
      </c>
      <c r="K49" s="100">
        <f t="shared" si="18"/>
        <v>370.60147600832391</v>
      </c>
      <c r="L49" s="100">
        <f t="shared" si="18"/>
        <v>370.60147600832391</v>
      </c>
      <c r="M49" s="100">
        <f t="shared" si="18"/>
        <v>370.60147600832391</v>
      </c>
      <c r="N49" s="100">
        <f t="shared" si="18"/>
        <v>370.60147600832391</v>
      </c>
      <c r="O49" s="100">
        <f t="shared" si="18"/>
        <v>370.60147600832391</v>
      </c>
      <c r="P49" s="100">
        <f t="shared" si="18"/>
        <v>370.60147600832391</v>
      </c>
      <c r="Q49" s="100">
        <f t="shared" si="18"/>
        <v>370.60147600832391</v>
      </c>
      <c r="R49" s="100">
        <f t="shared" si="18"/>
        <v>370.60147600832391</v>
      </c>
    </row>
    <row r="50" spans="1:21" s="4" customFormat="1" ht="12.75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</row>
    <row r="51" spans="1:21" s="4" customFormat="1" ht="15.65" customHeight="1">
      <c r="B51" s="519" t="s">
        <v>380</v>
      </c>
      <c r="C51" s="520"/>
      <c r="D51" s="520"/>
      <c r="E51" s="520"/>
      <c r="F51" s="520"/>
      <c r="G51" s="520"/>
      <c r="H51" s="520"/>
      <c r="I51" s="520"/>
      <c r="J51" s="520"/>
      <c r="K51" s="520"/>
      <c r="L51" s="520"/>
      <c r="M51" s="520"/>
      <c r="N51" s="520"/>
      <c r="O51" s="520"/>
      <c r="P51" s="520"/>
      <c r="Q51" s="520"/>
      <c r="R51" s="520"/>
    </row>
    <row r="52" spans="1:21" s="4" customFormat="1" ht="12.75" customHeight="1">
      <c r="B52" s="330"/>
    </row>
    <row r="53" spans="1:21" s="4" customFormat="1" ht="12.75" customHeight="1">
      <c r="B53" s="479" t="s">
        <v>381</v>
      </c>
      <c r="C53" s="480">
        <v>43830</v>
      </c>
      <c r="E53" s="481">
        <v>1</v>
      </c>
      <c r="F53" s="479" t="str">
        <f>INDEX(F54:F55,adiscconvention)</f>
        <v>End-of-Year Convention</v>
      </c>
      <c r="G53" s="482"/>
      <c r="H53" s="483"/>
      <c r="J53" s="484">
        <f>INDEX(J54:J55,adiscconvention)</f>
        <v>44196</v>
      </c>
      <c r="K53" s="485">
        <f>INDEX(K54:K55,adiscconvention)</f>
        <v>44561</v>
      </c>
      <c r="L53" s="485">
        <f>INDEX(L54:L55,adiscconvention)</f>
        <v>44926</v>
      </c>
      <c r="M53" s="485">
        <f>INDEX(M54:M55,adiscconvention)</f>
        <v>45291</v>
      </c>
      <c r="N53" s="486">
        <f>INDEX(N54:N55,adiscconvention)</f>
        <v>45657</v>
      </c>
      <c r="O53" s="60"/>
      <c r="P53" s="487" t="s">
        <v>382</v>
      </c>
      <c r="Q53" s="169"/>
      <c r="R53" s="488"/>
    </row>
    <row r="54" spans="1:21" s="4" customFormat="1" ht="12.75" customHeight="1">
      <c r="E54" s="236">
        <v>1</v>
      </c>
      <c r="F54" s="4" t="s">
        <v>383</v>
      </c>
      <c r="J54" s="489">
        <v>44196</v>
      </c>
      <c r="K54" s="490">
        <f t="shared" ref="K54:N55" si="19">DATE(YEAR(J54)+1,MONTH(J54),DAY(J54))</f>
        <v>44561</v>
      </c>
      <c r="L54" s="490">
        <f t="shared" si="19"/>
        <v>44926</v>
      </c>
      <c r="M54" s="490">
        <f t="shared" si="19"/>
        <v>45291</v>
      </c>
      <c r="N54" s="490">
        <f t="shared" si="19"/>
        <v>45657</v>
      </c>
      <c r="P54" s="491" t="s">
        <v>384</v>
      </c>
      <c r="R54" s="492">
        <f>+(J53-C53)/365</f>
        <v>1.0027397260273974</v>
      </c>
    </row>
    <row r="55" spans="1:21" s="4" customFormat="1" ht="12.75" customHeight="1">
      <c r="E55" s="236">
        <v>2</v>
      </c>
      <c r="F55" s="4" t="s">
        <v>385</v>
      </c>
      <c r="J55" s="489">
        <v>44013</v>
      </c>
      <c r="K55" s="490">
        <f t="shared" si="19"/>
        <v>44378</v>
      </c>
      <c r="L55" s="490">
        <f t="shared" si="19"/>
        <v>44743</v>
      </c>
      <c r="M55" s="490">
        <f t="shared" si="19"/>
        <v>45108</v>
      </c>
      <c r="N55" s="490">
        <f t="shared" si="19"/>
        <v>45474</v>
      </c>
      <c r="P55" s="493" t="s">
        <v>386</v>
      </c>
      <c r="Q55" s="494"/>
      <c r="R55" s="495">
        <f>+(MAX(J53:N53)-C53)/365</f>
        <v>5.0054794520547947</v>
      </c>
    </row>
    <row r="56" spans="1:21" s="4" customFormat="1" ht="12.75" customHeight="1">
      <c r="B56" s="478"/>
      <c r="C56" s="496"/>
      <c r="D56" s="496"/>
      <c r="E56" s="496"/>
      <c r="F56" s="496"/>
      <c r="P56" s="3"/>
      <c r="R56" s="497"/>
    </row>
    <row r="57" spans="1:21" s="4" customFormat="1" ht="12.75" customHeight="1">
      <c r="A57" s="3"/>
    </row>
    <row r="58" spans="1:21" s="4" customFormat="1" ht="15.65" customHeight="1">
      <c r="B58" s="519" t="s">
        <v>387</v>
      </c>
      <c r="C58" s="520"/>
      <c r="D58" s="520"/>
      <c r="E58" s="520"/>
      <c r="F58" s="520"/>
      <c r="G58" s="520"/>
      <c r="H58" s="520"/>
      <c r="I58" s="520"/>
      <c r="J58" s="520"/>
      <c r="K58" s="520"/>
      <c r="L58" s="520"/>
      <c r="M58" s="520"/>
      <c r="N58" s="520"/>
      <c r="O58" s="520"/>
      <c r="P58" s="520"/>
      <c r="Q58" s="520"/>
      <c r="R58" s="520"/>
    </row>
    <row r="59" spans="1:21" s="4" customFormat="1" ht="18" customHeight="1">
      <c r="B59" s="498" t="s">
        <v>388</v>
      </c>
      <c r="C59" s="499"/>
      <c r="D59" s="496"/>
      <c r="E59" s="496"/>
      <c r="F59" s="496"/>
      <c r="G59" s="500" t="s">
        <v>389</v>
      </c>
      <c r="H59" s="501"/>
      <c r="I59" s="494"/>
      <c r="J59" s="494"/>
      <c r="K59" s="494"/>
      <c r="L59" s="494"/>
      <c r="M59" s="494"/>
      <c r="N59" s="494"/>
      <c r="O59" s="494"/>
      <c r="P59" s="494"/>
      <c r="Q59" s="494"/>
      <c r="R59" s="494"/>
    </row>
    <row r="60" spans="1:21" s="4" customFormat="1" ht="12.75" customHeight="1">
      <c r="B60" s="502" t="s">
        <v>55</v>
      </c>
      <c r="C60" s="502" t="s">
        <v>101</v>
      </c>
      <c r="E60" s="496"/>
      <c r="F60" s="496"/>
      <c r="G60" s="503">
        <f t="shared" ref="G60:R60" ca="1" si="20">G29</f>
        <v>65.354907562976805</v>
      </c>
      <c r="H60" s="503">
        <f t="shared" ca="1" si="20"/>
        <v>57.97959142862581</v>
      </c>
      <c r="I60" s="503">
        <f t="shared" ca="1" si="20"/>
        <v>51.363377695305573</v>
      </c>
      <c r="J60" s="503">
        <f t="shared" ca="1" si="20"/>
        <v>69.28149584880741</v>
      </c>
      <c r="K60" s="503">
        <f t="shared" ca="1" si="20"/>
        <v>61.552303951874045</v>
      </c>
      <c r="L60" s="503">
        <f t="shared" ca="1" si="20"/>
        <v>54.619797604758951</v>
      </c>
      <c r="M60" s="503">
        <f t="shared" ca="1" si="20"/>
        <v>73.208084134638</v>
      </c>
      <c r="N60" s="503">
        <f t="shared" ca="1" si="20"/>
        <v>65.125016475122266</v>
      </c>
      <c r="O60" s="503">
        <f t="shared" ca="1" si="20"/>
        <v>57.87621751421235</v>
      </c>
      <c r="P60" s="503">
        <f t="shared" ca="1" si="20"/>
        <v>77.134672420468576</v>
      </c>
      <c r="Q60" s="503">
        <f t="shared" ca="1" si="20"/>
        <v>68.697728998370494</v>
      </c>
      <c r="R60" s="503">
        <f t="shared" ca="1" si="20"/>
        <v>61.132637423665727</v>
      </c>
      <c r="T60" s="503"/>
    </row>
    <row r="61" spans="1:21" s="4" customFormat="1" ht="12.75" customHeight="1">
      <c r="B61" s="504">
        <f>+Inputs!D25</f>
        <v>1.2170000000000001</v>
      </c>
      <c r="C61" s="505">
        <f>+Inputs!E25</f>
        <v>75</v>
      </c>
      <c r="E61" s="496"/>
      <c r="F61" s="506"/>
      <c r="G61" s="507">
        <f t="shared" ref="G61:R66" ca="1" si="21">IF($C61&lt;G$60,(G$60-$C61)*$B61/G$60,0)</f>
        <v>0</v>
      </c>
      <c r="H61" s="507">
        <f t="shared" ca="1" si="21"/>
        <v>0</v>
      </c>
      <c r="I61" s="507">
        <f t="shared" ca="1" si="21"/>
        <v>0</v>
      </c>
      <c r="J61" s="507">
        <f t="shared" ca="1" si="21"/>
        <v>0</v>
      </c>
      <c r="K61" s="507">
        <f t="shared" ca="1" si="21"/>
        <v>0</v>
      </c>
      <c r="L61" s="507">
        <f t="shared" ca="1" si="21"/>
        <v>0</v>
      </c>
      <c r="M61" s="507">
        <f t="shared" ca="1" si="21"/>
        <v>0</v>
      </c>
      <c r="N61" s="507">
        <f t="shared" ca="1" si="21"/>
        <v>0</v>
      </c>
      <c r="O61" s="507">
        <f t="shared" ca="1" si="21"/>
        <v>0</v>
      </c>
      <c r="P61" s="507">
        <f t="shared" ca="1" si="21"/>
        <v>3.368000737137862E-2</v>
      </c>
      <c r="Q61" s="507">
        <f t="shared" ca="1" si="21"/>
        <v>0</v>
      </c>
      <c r="R61" s="507">
        <f t="shared" ca="1" si="21"/>
        <v>0</v>
      </c>
      <c r="T61" s="508"/>
      <c r="U61" s="3"/>
    </row>
    <row r="62" spans="1:21" s="4" customFormat="1" ht="12.75" customHeight="1">
      <c r="B62" s="509">
        <v>0</v>
      </c>
      <c r="C62" s="510">
        <v>0</v>
      </c>
      <c r="E62" s="496"/>
      <c r="F62" s="506"/>
      <c r="G62" s="508">
        <f t="shared" ca="1" si="21"/>
        <v>0</v>
      </c>
      <c r="H62" s="508">
        <f t="shared" ca="1" si="21"/>
        <v>0</v>
      </c>
      <c r="I62" s="508">
        <f t="shared" ca="1" si="21"/>
        <v>0</v>
      </c>
      <c r="J62" s="508">
        <f t="shared" ca="1" si="21"/>
        <v>0</v>
      </c>
      <c r="K62" s="508">
        <f t="shared" ca="1" si="21"/>
        <v>0</v>
      </c>
      <c r="L62" s="508">
        <f t="shared" ca="1" si="21"/>
        <v>0</v>
      </c>
      <c r="M62" s="508">
        <f t="shared" ca="1" si="21"/>
        <v>0</v>
      </c>
      <c r="N62" s="508">
        <f t="shared" ca="1" si="21"/>
        <v>0</v>
      </c>
      <c r="O62" s="508">
        <f t="shared" ca="1" si="21"/>
        <v>0</v>
      </c>
      <c r="P62" s="508">
        <f t="shared" ca="1" si="21"/>
        <v>0</v>
      </c>
      <c r="Q62" s="508">
        <f t="shared" ca="1" si="21"/>
        <v>0</v>
      </c>
      <c r="R62" s="508">
        <f t="shared" ca="1" si="21"/>
        <v>0</v>
      </c>
      <c r="T62" s="508"/>
      <c r="U62" s="3"/>
    </row>
    <row r="63" spans="1:21" s="4" customFormat="1" ht="12.75" customHeight="1">
      <c r="B63" s="509">
        <v>0</v>
      </c>
      <c r="C63" s="510">
        <v>0</v>
      </c>
      <c r="E63" s="496"/>
      <c r="F63" s="506"/>
      <c r="G63" s="508">
        <f t="shared" ca="1" si="21"/>
        <v>0</v>
      </c>
      <c r="H63" s="508">
        <f t="shared" ca="1" si="21"/>
        <v>0</v>
      </c>
      <c r="I63" s="508">
        <f t="shared" ca="1" si="21"/>
        <v>0</v>
      </c>
      <c r="J63" s="508">
        <f t="shared" ca="1" si="21"/>
        <v>0</v>
      </c>
      <c r="K63" s="508">
        <f t="shared" ca="1" si="21"/>
        <v>0</v>
      </c>
      <c r="L63" s="508">
        <f t="shared" ca="1" si="21"/>
        <v>0</v>
      </c>
      <c r="M63" s="508">
        <f t="shared" ca="1" si="21"/>
        <v>0</v>
      </c>
      <c r="N63" s="508">
        <f t="shared" ca="1" si="21"/>
        <v>0</v>
      </c>
      <c r="O63" s="508">
        <f t="shared" ca="1" si="21"/>
        <v>0</v>
      </c>
      <c r="P63" s="508">
        <f t="shared" ca="1" si="21"/>
        <v>0</v>
      </c>
      <c r="Q63" s="508">
        <f t="shared" ca="1" si="21"/>
        <v>0</v>
      </c>
      <c r="R63" s="508">
        <f t="shared" ca="1" si="21"/>
        <v>0</v>
      </c>
      <c r="T63" s="508"/>
      <c r="U63" s="3"/>
    </row>
    <row r="64" spans="1:21" s="4" customFormat="1" ht="12.75" customHeight="1">
      <c r="B64" s="509">
        <v>0</v>
      </c>
      <c r="C64" s="510">
        <v>0</v>
      </c>
      <c r="E64" s="496"/>
      <c r="F64" s="506"/>
      <c r="G64" s="508">
        <f t="shared" ca="1" si="21"/>
        <v>0</v>
      </c>
      <c r="H64" s="508">
        <f t="shared" ca="1" si="21"/>
        <v>0</v>
      </c>
      <c r="I64" s="508">
        <f t="shared" ca="1" si="21"/>
        <v>0</v>
      </c>
      <c r="J64" s="508">
        <f t="shared" ca="1" si="21"/>
        <v>0</v>
      </c>
      <c r="K64" s="508">
        <f t="shared" ca="1" si="21"/>
        <v>0</v>
      </c>
      <c r="L64" s="508">
        <f t="shared" ca="1" si="21"/>
        <v>0</v>
      </c>
      <c r="M64" s="508">
        <f t="shared" ca="1" si="21"/>
        <v>0</v>
      </c>
      <c r="N64" s="508">
        <f t="shared" ca="1" si="21"/>
        <v>0</v>
      </c>
      <c r="O64" s="508">
        <f t="shared" ca="1" si="21"/>
        <v>0</v>
      </c>
      <c r="P64" s="508">
        <f t="shared" ca="1" si="21"/>
        <v>0</v>
      </c>
      <c r="Q64" s="508">
        <f t="shared" ca="1" si="21"/>
        <v>0</v>
      </c>
      <c r="R64" s="508">
        <f t="shared" ca="1" si="21"/>
        <v>0</v>
      </c>
      <c r="T64" s="508"/>
      <c r="U64" s="3"/>
    </row>
    <row r="65" spans="1:21" s="4" customFormat="1" ht="12.75" customHeight="1">
      <c r="B65" s="509">
        <v>0</v>
      </c>
      <c r="C65" s="510">
        <v>0</v>
      </c>
      <c r="E65" s="496"/>
      <c r="F65" s="506"/>
      <c r="G65" s="508">
        <f t="shared" ca="1" si="21"/>
        <v>0</v>
      </c>
      <c r="H65" s="508">
        <f t="shared" ca="1" si="21"/>
        <v>0</v>
      </c>
      <c r="I65" s="508">
        <f t="shared" ca="1" si="21"/>
        <v>0</v>
      </c>
      <c r="J65" s="508">
        <f t="shared" ca="1" si="21"/>
        <v>0</v>
      </c>
      <c r="K65" s="508">
        <f t="shared" ca="1" si="21"/>
        <v>0</v>
      </c>
      <c r="L65" s="508">
        <f t="shared" ca="1" si="21"/>
        <v>0</v>
      </c>
      <c r="M65" s="508">
        <f t="shared" ca="1" si="21"/>
        <v>0</v>
      </c>
      <c r="N65" s="508">
        <f t="shared" ca="1" si="21"/>
        <v>0</v>
      </c>
      <c r="O65" s="508">
        <f t="shared" ca="1" si="21"/>
        <v>0</v>
      </c>
      <c r="P65" s="508">
        <f t="shared" ca="1" si="21"/>
        <v>0</v>
      </c>
      <c r="Q65" s="508">
        <f t="shared" ca="1" si="21"/>
        <v>0</v>
      </c>
      <c r="R65" s="508">
        <f t="shared" ca="1" si="21"/>
        <v>0</v>
      </c>
      <c r="T65" s="508"/>
      <c r="U65" s="3"/>
    </row>
    <row r="66" spans="1:21" s="4" customFormat="1" ht="12.75" customHeight="1">
      <c r="B66" s="509">
        <v>0</v>
      </c>
      <c r="C66" s="510">
        <v>0</v>
      </c>
      <c r="E66" s="496"/>
      <c r="F66" s="506"/>
      <c r="G66" s="508">
        <f t="shared" ca="1" si="21"/>
        <v>0</v>
      </c>
      <c r="H66" s="508">
        <f t="shared" ca="1" si="21"/>
        <v>0</v>
      </c>
      <c r="I66" s="508">
        <f t="shared" ca="1" si="21"/>
        <v>0</v>
      </c>
      <c r="J66" s="508">
        <f t="shared" ca="1" si="21"/>
        <v>0</v>
      </c>
      <c r="K66" s="508">
        <f t="shared" ca="1" si="21"/>
        <v>0</v>
      </c>
      <c r="L66" s="508">
        <f t="shared" ca="1" si="21"/>
        <v>0</v>
      </c>
      <c r="M66" s="508">
        <f t="shared" ca="1" si="21"/>
        <v>0</v>
      </c>
      <c r="N66" s="508">
        <f t="shared" ca="1" si="21"/>
        <v>0</v>
      </c>
      <c r="O66" s="508">
        <f t="shared" ca="1" si="21"/>
        <v>0</v>
      </c>
      <c r="P66" s="508">
        <f t="shared" ca="1" si="21"/>
        <v>0</v>
      </c>
      <c r="Q66" s="508">
        <f t="shared" ca="1" si="21"/>
        <v>0</v>
      </c>
      <c r="R66" s="508">
        <f t="shared" ca="1" si="21"/>
        <v>0</v>
      </c>
      <c r="T66" s="508"/>
      <c r="U66" s="3"/>
    </row>
    <row r="67" spans="1:21" s="4" customFormat="1" ht="12.75" customHeight="1">
      <c r="B67" s="507">
        <f>SUM(B61:B66)</f>
        <v>1.2170000000000001</v>
      </c>
      <c r="C67" s="511">
        <f>SUMPRODUCT(B61:B66,C61:C66)/B67</f>
        <v>75</v>
      </c>
      <c r="E67" s="496"/>
      <c r="F67" s="496"/>
      <c r="G67" s="507">
        <f t="shared" ref="G67:R67" ca="1" si="22">SUM(G61:G66)</f>
        <v>0</v>
      </c>
      <c r="H67" s="507">
        <f t="shared" ca="1" si="22"/>
        <v>0</v>
      </c>
      <c r="I67" s="507">
        <f t="shared" ca="1" si="22"/>
        <v>0</v>
      </c>
      <c r="J67" s="507">
        <f t="shared" ca="1" si="22"/>
        <v>0</v>
      </c>
      <c r="K67" s="507">
        <f t="shared" ca="1" si="22"/>
        <v>0</v>
      </c>
      <c r="L67" s="507">
        <f t="shared" ca="1" si="22"/>
        <v>0</v>
      </c>
      <c r="M67" s="507">
        <f t="shared" ca="1" si="22"/>
        <v>0</v>
      </c>
      <c r="N67" s="507">
        <f t="shared" ca="1" si="22"/>
        <v>0</v>
      </c>
      <c r="O67" s="507">
        <f t="shared" ca="1" si="22"/>
        <v>0</v>
      </c>
      <c r="P67" s="507">
        <f t="shared" ca="1" si="22"/>
        <v>3.368000737137862E-2</v>
      </c>
      <c r="Q67" s="507">
        <f t="shared" ca="1" si="22"/>
        <v>0</v>
      </c>
      <c r="R67" s="507">
        <f t="shared" ca="1" si="22"/>
        <v>0</v>
      </c>
      <c r="T67" s="508"/>
      <c r="U67" s="3"/>
    </row>
    <row r="68" spans="1:21" s="4" customFormat="1" ht="12.75" customHeight="1">
      <c r="A68" s="3"/>
      <c r="B68" s="3"/>
      <c r="C68" s="3"/>
      <c r="D68" s="3"/>
      <c r="E68" s="3"/>
      <c r="F68" s="3"/>
      <c r="G68" s="508"/>
      <c r="H68" s="508"/>
      <c r="I68" s="508"/>
      <c r="J68" s="508"/>
      <c r="K68" s="508"/>
      <c r="L68" s="508"/>
      <c r="M68" s="508"/>
      <c r="N68" s="508"/>
      <c r="O68" s="508"/>
      <c r="P68" s="508"/>
      <c r="Q68" s="508"/>
      <c r="R68" s="508"/>
    </row>
    <row r="69" spans="1:21" s="4" customFormat="1" ht="12.75" customHeight="1">
      <c r="A69" s="3"/>
      <c r="B69" s="3"/>
      <c r="C69" s="3"/>
      <c r="D69" s="3"/>
      <c r="E69" s="3"/>
      <c r="F69" s="3"/>
      <c r="G69" s="508"/>
      <c r="H69" s="508"/>
      <c r="I69" s="508"/>
      <c r="J69" s="508"/>
      <c r="K69" s="508"/>
      <c r="L69" s="508"/>
      <c r="M69" s="508"/>
      <c r="N69" s="508"/>
      <c r="O69" s="508"/>
      <c r="P69" s="508"/>
      <c r="Q69" s="508"/>
      <c r="R69" s="508"/>
    </row>
    <row r="70" spans="1:21" s="4" customFormat="1" ht="15.65" customHeight="1">
      <c r="B70" s="519" t="s">
        <v>390</v>
      </c>
      <c r="C70" s="520"/>
      <c r="D70" s="520"/>
      <c r="E70" s="520"/>
      <c r="F70" s="520"/>
      <c r="G70" s="520"/>
      <c r="H70" s="520"/>
      <c r="I70" s="520"/>
      <c r="J70" s="520"/>
      <c r="K70" s="520"/>
      <c r="L70" s="520"/>
      <c r="M70" s="520"/>
      <c r="N70" s="520"/>
      <c r="O70" s="520"/>
      <c r="P70" s="520"/>
      <c r="Q70" s="520"/>
      <c r="R70" s="520"/>
    </row>
    <row r="71" spans="1:21" s="4" customFormat="1" ht="18" customHeight="1">
      <c r="B71" s="498" t="s">
        <v>388</v>
      </c>
      <c r="C71" s="499"/>
      <c r="D71" s="496"/>
      <c r="E71" s="496"/>
      <c r="F71" s="496"/>
      <c r="G71" s="500" t="s">
        <v>389</v>
      </c>
      <c r="H71" s="501"/>
      <c r="I71" s="494"/>
      <c r="J71" s="494"/>
      <c r="K71" s="494"/>
      <c r="L71" s="494"/>
      <c r="M71" s="494"/>
      <c r="N71" s="494"/>
      <c r="O71" s="494"/>
      <c r="P71" s="494"/>
      <c r="Q71" s="494"/>
      <c r="R71" s="494"/>
    </row>
    <row r="72" spans="1:21" s="4" customFormat="1" ht="12.75" customHeight="1">
      <c r="B72" s="502" t="s">
        <v>55</v>
      </c>
      <c r="C72" s="502" t="s">
        <v>101</v>
      </c>
      <c r="E72" s="496"/>
      <c r="F72" s="496"/>
      <c r="G72" s="503">
        <f t="shared" ref="G72:R72" ca="1" si="23">G41</f>
        <v>137.26965761637413</v>
      </c>
      <c r="H72" s="503">
        <f t="shared" ca="1" si="23"/>
        <v>65.749880045799927</v>
      </c>
      <c r="I72" s="503">
        <f t="shared" ca="1" si="23"/>
        <v>38.231010302191862</v>
      </c>
      <c r="J72" s="503">
        <f t="shared" ca="1" si="23"/>
        <v>173.78746399643887</v>
      </c>
      <c r="K72" s="503">
        <f t="shared" ca="1" si="23"/>
        <v>75.155325413865455</v>
      </c>
      <c r="L72" s="503">
        <f t="shared" ca="1" si="23"/>
        <v>42.261634543247268</v>
      </c>
      <c r="M72" s="503">
        <f t="shared" ca="1" si="23"/>
        <v>234.65047462988002</v>
      </c>
      <c r="N72" s="503">
        <f t="shared" ca="1" si="23"/>
        <v>87.248040887092543</v>
      </c>
      <c r="O72" s="503">
        <f t="shared" ca="1" si="23"/>
        <v>47.025099555403635</v>
      </c>
      <c r="P72" s="503">
        <f t="shared" ca="1" si="23"/>
        <v>356.37649589676226</v>
      </c>
      <c r="Q72" s="503">
        <f t="shared" ca="1" si="23"/>
        <v>103.37166151806201</v>
      </c>
      <c r="R72" s="503">
        <f t="shared" ca="1" si="23"/>
        <v>52.741257569991312</v>
      </c>
      <c r="T72" s="503"/>
    </row>
    <row r="73" spans="1:21" s="4" customFormat="1" ht="12.75" customHeight="1">
      <c r="B73" s="507">
        <f t="shared" ref="B73:C78" si="24">B61</f>
        <v>1.2170000000000001</v>
      </c>
      <c r="C73" s="511">
        <f t="shared" si="24"/>
        <v>75</v>
      </c>
      <c r="E73" s="496"/>
      <c r="F73" s="506"/>
      <c r="G73" s="507">
        <f t="shared" ref="G73:R78" ca="1" si="25">IF($C73&lt;G$72,(G$72-$C73)*$B73/G$72,0)</f>
        <v>0.55206791242180309</v>
      </c>
      <c r="H73" s="507">
        <f t="shared" ca="1" si="25"/>
        <v>0</v>
      </c>
      <c r="I73" s="507">
        <f t="shared" ca="1" si="25"/>
        <v>0</v>
      </c>
      <c r="J73" s="507">
        <f t="shared" ca="1" si="25"/>
        <v>0.69178950494455493</v>
      </c>
      <c r="K73" s="507">
        <f t="shared" ca="1" si="25"/>
        <v>2.515204712817124E-3</v>
      </c>
      <c r="L73" s="507">
        <f t="shared" ca="1" si="25"/>
        <v>0</v>
      </c>
      <c r="M73" s="507">
        <f t="shared" ca="1" si="25"/>
        <v>0.82801719421633269</v>
      </c>
      <c r="N73" s="507">
        <f t="shared" ca="1" si="25"/>
        <v>0.17084470445452485</v>
      </c>
      <c r="O73" s="507">
        <f t="shared" ca="1" si="25"/>
        <v>0</v>
      </c>
      <c r="P73" s="507">
        <f t="shared" ca="1" si="25"/>
        <v>0.96088041565333437</v>
      </c>
      <c r="Q73" s="507">
        <f t="shared" ca="1" si="25"/>
        <v>0.33402106109563096</v>
      </c>
      <c r="R73" s="507">
        <f t="shared" ca="1" si="25"/>
        <v>0</v>
      </c>
      <c r="T73" s="508"/>
      <c r="U73" s="3"/>
    </row>
    <row r="74" spans="1:21" s="4" customFormat="1" ht="12.75" customHeight="1">
      <c r="B74" s="508">
        <f t="shared" si="24"/>
        <v>0</v>
      </c>
      <c r="C74" s="512">
        <f t="shared" si="24"/>
        <v>0</v>
      </c>
      <c r="E74" s="496"/>
      <c r="F74" s="506"/>
      <c r="G74" s="508">
        <f t="shared" ca="1" si="25"/>
        <v>0</v>
      </c>
      <c r="H74" s="508">
        <f t="shared" ca="1" si="25"/>
        <v>0</v>
      </c>
      <c r="I74" s="508">
        <f t="shared" ca="1" si="25"/>
        <v>0</v>
      </c>
      <c r="J74" s="508">
        <f t="shared" ca="1" si="25"/>
        <v>0</v>
      </c>
      <c r="K74" s="508">
        <f t="shared" ca="1" si="25"/>
        <v>0</v>
      </c>
      <c r="L74" s="508">
        <f t="shared" ca="1" si="25"/>
        <v>0</v>
      </c>
      <c r="M74" s="508">
        <f t="shared" ca="1" si="25"/>
        <v>0</v>
      </c>
      <c r="N74" s="508">
        <f t="shared" ca="1" si="25"/>
        <v>0</v>
      </c>
      <c r="O74" s="508">
        <f t="shared" ca="1" si="25"/>
        <v>0</v>
      </c>
      <c r="P74" s="508">
        <f t="shared" ca="1" si="25"/>
        <v>0</v>
      </c>
      <c r="Q74" s="508">
        <f t="shared" ca="1" si="25"/>
        <v>0</v>
      </c>
      <c r="R74" s="508">
        <f t="shared" ca="1" si="25"/>
        <v>0</v>
      </c>
      <c r="T74" s="508"/>
      <c r="U74" s="3"/>
    </row>
    <row r="75" spans="1:21" s="4" customFormat="1" ht="12.75" customHeight="1">
      <c r="B75" s="508">
        <f t="shared" si="24"/>
        <v>0</v>
      </c>
      <c r="C75" s="512">
        <f t="shared" si="24"/>
        <v>0</v>
      </c>
      <c r="E75" s="496"/>
      <c r="F75" s="506"/>
      <c r="G75" s="508">
        <f t="shared" ca="1" si="25"/>
        <v>0</v>
      </c>
      <c r="H75" s="508">
        <f t="shared" ca="1" si="25"/>
        <v>0</v>
      </c>
      <c r="I75" s="508">
        <f t="shared" ca="1" si="25"/>
        <v>0</v>
      </c>
      <c r="J75" s="508">
        <f t="shared" ca="1" si="25"/>
        <v>0</v>
      </c>
      <c r="K75" s="508">
        <f t="shared" ca="1" si="25"/>
        <v>0</v>
      </c>
      <c r="L75" s="508">
        <f t="shared" ca="1" si="25"/>
        <v>0</v>
      </c>
      <c r="M75" s="508">
        <f t="shared" ca="1" si="25"/>
        <v>0</v>
      </c>
      <c r="N75" s="508">
        <f t="shared" ca="1" si="25"/>
        <v>0</v>
      </c>
      <c r="O75" s="508">
        <f t="shared" ca="1" si="25"/>
        <v>0</v>
      </c>
      <c r="P75" s="508">
        <f t="shared" ca="1" si="25"/>
        <v>0</v>
      </c>
      <c r="Q75" s="508">
        <f t="shared" ca="1" si="25"/>
        <v>0</v>
      </c>
      <c r="R75" s="508">
        <f t="shared" ca="1" si="25"/>
        <v>0</v>
      </c>
      <c r="T75" s="508"/>
      <c r="U75" s="3"/>
    </row>
    <row r="76" spans="1:21" s="4" customFormat="1" ht="12.75" customHeight="1">
      <c r="B76" s="508">
        <f t="shared" si="24"/>
        <v>0</v>
      </c>
      <c r="C76" s="512">
        <f t="shared" si="24"/>
        <v>0</v>
      </c>
      <c r="E76" s="496"/>
      <c r="F76" s="506"/>
      <c r="G76" s="508">
        <f t="shared" ca="1" si="25"/>
        <v>0</v>
      </c>
      <c r="H76" s="508">
        <f t="shared" ca="1" si="25"/>
        <v>0</v>
      </c>
      <c r="I76" s="508">
        <f t="shared" ca="1" si="25"/>
        <v>0</v>
      </c>
      <c r="J76" s="508">
        <f t="shared" ca="1" si="25"/>
        <v>0</v>
      </c>
      <c r="K76" s="508">
        <f t="shared" ca="1" si="25"/>
        <v>0</v>
      </c>
      <c r="L76" s="508">
        <f t="shared" ca="1" si="25"/>
        <v>0</v>
      </c>
      <c r="M76" s="508">
        <f t="shared" ca="1" si="25"/>
        <v>0</v>
      </c>
      <c r="N76" s="508">
        <f t="shared" ca="1" si="25"/>
        <v>0</v>
      </c>
      <c r="O76" s="508">
        <f t="shared" ca="1" si="25"/>
        <v>0</v>
      </c>
      <c r="P76" s="508">
        <f t="shared" ca="1" si="25"/>
        <v>0</v>
      </c>
      <c r="Q76" s="508">
        <f t="shared" ca="1" si="25"/>
        <v>0</v>
      </c>
      <c r="R76" s="508">
        <f t="shared" ca="1" si="25"/>
        <v>0</v>
      </c>
      <c r="T76" s="508"/>
      <c r="U76" s="3"/>
    </row>
    <row r="77" spans="1:21" s="4" customFormat="1" ht="12.75" customHeight="1">
      <c r="B77" s="508">
        <f t="shared" si="24"/>
        <v>0</v>
      </c>
      <c r="C77" s="512">
        <f t="shared" si="24"/>
        <v>0</v>
      </c>
      <c r="E77" s="496"/>
      <c r="F77" s="506"/>
      <c r="G77" s="508">
        <f t="shared" ca="1" si="25"/>
        <v>0</v>
      </c>
      <c r="H77" s="508">
        <f t="shared" ca="1" si="25"/>
        <v>0</v>
      </c>
      <c r="I77" s="508">
        <f t="shared" ca="1" si="25"/>
        <v>0</v>
      </c>
      <c r="J77" s="508">
        <f t="shared" ca="1" si="25"/>
        <v>0</v>
      </c>
      <c r="K77" s="508">
        <f t="shared" ca="1" si="25"/>
        <v>0</v>
      </c>
      <c r="L77" s="508">
        <f t="shared" ca="1" si="25"/>
        <v>0</v>
      </c>
      <c r="M77" s="508">
        <f t="shared" ca="1" si="25"/>
        <v>0</v>
      </c>
      <c r="N77" s="508">
        <f t="shared" ca="1" si="25"/>
        <v>0</v>
      </c>
      <c r="O77" s="508">
        <f t="shared" ca="1" si="25"/>
        <v>0</v>
      </c>
      <c r="P77" s="508">
        <f t="shared" ca="1" si="25"/>
        <v>0</v>
      </c>
      <c r="Q77" s="508">
        <f t="shared" ca="1" si="25"/>
        <v>0</v>
      </c>
      <c r="R77" s="508">
        <f t="shared" ca="1" si="25"/>
        <v>0</v>
      </c>
      <c r="T77" s="508"/>
      <c r="U77" s="3"/>
    </row>
    <row r="78" spans="1:21" s="4" customFormat="1" ht="12.75" customHeight="1">
      <c r="B78" s="508">
        <f t="shared" si="24"/>
        <v>0</v>
      </c>
      <c r="C78" s="512">
        <f t="shared" si="24"/>
        <v>0</v>
      </c>
      <c r="E78" s="496"/>
      <c r="F78" s="506"/>
      <c r="G78" s="508">
        <f t="shared" ca="1" si="25"/>
        <v>0</v>
      </c>
      <c r="H78" s="508">
        <f t="shared" ca="1" si="25"/>
        <v>0</v>
      </c>
      <c r="I78" s="508">
        <f t="shared" ca="1" si="25"/>
        <v>0</v>
      </c>
      <c r="J78" s="508">
        <f t="shared" ca="1" si="25"/>
        <v>0</v>
      </c>
      <c r="K78" s="508">
        <f t="shared" ca="1" si="25"/>
        <v>0</v>
      </c>
      <c r="L78" s="508">
        <f t="shared" ca="1" si="25"/>
        <v>0</v>
      </c>
      <c r="M78" s="508">
        <f t="shared" ca="1" si="25"/>
        <v>0</v>
      </c>
      <c r="N78" s="508">
        <f t="shared" ca="1" si="25"/>
        <v>0</v>
      </c>
      <c r="O78" s="508">
        <f t="shared" ca="1" si="25"/>
        <v>0</v>
      </c>
      <c r="P78" s="508">
        <f t="shared" ca="1" si="25"/>
        <v>0</v>
      </c>
      <c r="Q78" s="508">
        <f t="shared" ca="1" si="25"/>
        <v>0</v>
      </c>
      <c r="R78" s="508">
        <f t="shared" ca="1" si="25"/>
        <v>0</v>
      </c>
      <c r="T78" s="508"/>
      <c r="U78" s="3"/>
    </row>
    <row r="79" spans="1:21" s="4" customFormat="1" ht="12.75" customHeight="1">
      <c r="B79" s="507">
        <f>SUM(B73:B78)</f>
        <v>1.2170000000000001</v>
      </c>
      <c r="C79" s="511">
        <f>SUMPRODUCT(B73:B78,C73:C78)/B79</f>
        <v>75</v>
      </c>
      <c r="E79" s="496"/>
      <c r="F79" s="496"/>
      <c r="G79" s="507">
        <f t="shared" ref="G79:R79" ca="1" si="26">SUM(G73:G78)</f>
        <v>0.55206791242180309</v>
      </c>
      <c r="H79" s="507">
        <f t="shared" ca="1" si="26"/>
        <v>0</v>
      </c>
      <c r="I79" s="507">
        <f t="shared" ca="1" si="26"/>
        <v>0</v>
      </c>
      <c r="J79" s="507">
        <f t="shared" ca="1" si="26"/>
        <v>0.69178950494455493</v>
      </c>
      <c r="K79" s="507">
        <f t="shared" ca="1" si="26"/>
        <v>2.515204712817124E-3</v>
      </c>
      <c r="L79" s="507">
        <f t="shared" ca="1" si="26"/>
        <v>0</v>
      </c>
      <c r="M79" s="507">
        <f t="shared" ca="1" si="26"/>
        <v>0.82801719421633269</v>
      </c>
      <c r="N79" s="507">
        <f t="shared" ca="1" si="26"/>
        <v>0.17084470445452485</v>
      </c>
      <c r="O79" s="507">
        <f t="shared" ca="1" si="26"/>
        <v>0</v>
      </c>
      <c r="P79" s="507">
        <f t="shared" ca="1" si="26"/>
        <v>0.96088041565333437</v>
      </c>
      <c r="Q79" s="507">
        <f t="shared" ca="1" si="26"/>
        <v>0.33402106109563096</v>
      </c>
      <c r="R79" s="507">
        <f t="shared" ca="1" si="26"/>
        <v>0</v>
      </c>
      <c r="T79" s="508"/>
      <c r="U79" s="3"/>
    </row>
    <row r="80" spans="1:21" s="4" customFormat="1" ht="12.75" customHeight="1">
      <c r="A80" s="3"/>
      <c r="B80" s="3"/>
      <c r="C80" s="3"/>
      <c r="D80" s="3"/>
      <c r="E80" s="3"/>
      <c r="F80" s="3"/>
      <c r="G80" s="508"/>
      <c r="H80" s="508"/>
      <c r="I80" s="508"/>
      <c r="J80" s="508"/>
      <c r="K80" s="508"/>
      <c r="L80" s="508"/>
      <c r="M80" s="508"/>
      <c r="N80" s="508"/>
      <c r="O80" s="508"/>
      <c r="P80" s="508"/>
      <c r="Q80" s="508"/>
      <c r="R80" s="508"/>
    </row>
    <row r="81" spans="1:18" s="4" customFormat="1" ht="12.75" customHeight="1">
      <c r="A81" s="3"/>
      <c r="B81" s="3"/>
      <c r="C81" s="3"/>
      <c r="D81" s="3"/>
      <c r="E81" s="3"/>
      <c r="F81" s="3"/>
      <c r="G81" s="508"/>
      <c r="H81" s="508"/>
      <c r="I81" s="508"/>
      <c r="J81" s="508"/>
      <c r="K81" s="508"/>
      <c r="L81" s="508"/>
      <c r="M81" s="508"/>
      <c r="N81" s="508"/>
      <c r="O81" s="508"/>
      <c r="P81" s="508"/>
      <c r="Q81" s="508"/>
      <c r="R81" s="508"/>
    </row>
    <row r="82" spans="1:18" s="4" customFormat="1" ht="12.7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</row>
    <row r="83" spans="1:18" s="4" customFormat="1" ht="12.7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</row>
    <row r="84" spans="1:18" s="4" customFormat="1" ht="12.7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</row>
    <row r="85" spans="1:18" s="4" customFormat="1" ht="12.7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</row>
    <row r="86" spans="1:18" s="4" customFormat="1" ht="12.7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</row>
    <row r="87" spans="1:18" s="4" customFormat="1" ht="12.7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</row>
    <row r="88" spans="1:18" s="4" customFormat="1" ht="12.7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</row>
    <row r="89" spans="1:18" s="4" customFormat="1" ht="12.7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</row>
    <row r="90" spans="1:18" s="4" customFormat="1" ht="12.7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</row>
    <row r="91" spans="1:18" s="4" customFormat="1" ht="12.7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</row>
    <row r="92" spans="1:18" s="4" customFormat="1" ht="12.7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</row>
    <row r="93" spans="1:18" s="4" customFormat="1" ht="12.7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</row>
    <row r="94" spans="1:18" s="4" customFormat="1" ht="12.7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</row>
    <row r="95" spans="1:18" s="4" customFormat="1" ht="12.7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</row>
    <row r="96" spans="1:18" s="4" customFormat="1" ht="12.7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</row>
  </sheetData>
  <printOptions horizontalCentered="1"/>
  <pageMargins left="0.35" right="0.35" top="0.35" bottom="0.35" header="0.15" footer="0.15"/>
  <pageSetup scale="10" orientation="landscape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43</vt:i4>
      </vt:variant>
    </vt:vector>
  </HeadingPairs>
  <TitlesOfParts>
    <vt:vector size="51" baseType="lpstr">
      <vt:lpstr>Cover Page</vt:lpstr>
      <vt:lpstr>Inputs</vt:lpstr>
      <vt:lpstr>Spread Cover</vt:lpstr>
      <vt:lpstr>Income Statement</vt:lpstr>
      <vt:lpstr>Balance Sheet</vt:lpstr>
      <vt:lpstr>Cash Flow</vt:lpstr>
      <vt:lpstr>Proj</vt:lpstr>
      <vt:lpstr>DCF</vt:lpstr>
      <vt:lpstr>a</vt:lpstr>
      <vt:lpstr>abs</vt:lpstr>
      <vt:lpstr>acase</vt:lpstr>
      <vt:lpstr>acfs</vt:lpstr>
      <vt:lpstr>acname</vt:lpstr>
      <vt:lpstr>acq</vt:lpstr>
      <vt:lpstr>acqnetdebt</vt:lpstr>
      <vt:lpstr>acqnetdebtfn</vt:lpstr>
      <vt:lpstr>DCF!adcf</vt:lpstr>
      <vt:lpstr>DCF!adiscconvention</vt:lpstr>
      <vt:lpstr>adshares</vt:lpstr>
      <vt:lpstr>aexercise</vt:lpstr>
      <vt:lpstr>afy</vt:lpstr>
      <vt:lpstr>afye</vt:lpstr>
      <vt:lpstr>afyshares</vt:lpstr>
      <vt:lpstr>'Income Statement'!ais</vt:lpstr>
      <vt:lpstr>altg</vt:lpstr>
      <vt:lpstr>altmdate</vt:lpstr>
      <vt:lpstr>aoptions</vt:lpstr>
      <vt:lpstr>aprice</vt:lpstr>
      <vt:lpstr>aquarter</vt:lpstr>
      <vt:lpstr>arsu</vt:lpstr>
      <vt:lpstr>ashares</vt:lpstr>
      <vt:lpstr>aspread</vt:lpstr>
      <vt:lpstr>atax</vt:lpstr>
      <vt:lpstr>aticker</vt:lpstr>
      <vt:lpstr>edate</vt:lpstr>
      <vt:lpstr>FY</vt:lpstr>
      <vt:lpstr>FYx</vt:lpstr>
      <vt:lpstr>FYz</vt:lpstr>
      <vt:lpstr>inputs</vt:lpstr>
      <vt:lpstr>'Balance Sheet'!Print_Area</vt:lpstr>
      <vt:lpstr>'Cash Flow'!Print_Area</vt:lpstr>
      <vt:lpstr>'Cover Page'!Print_Area</vt:lpstr>
      <vt:lpstr>DCF!Print_Area</vt:lpstr>
      <vt:lpstr>'Income Statement'!Print_Area</vt:lpstr>
      <vt:lpstr>Inputs!Print_Area</vt:lpstr>
      <vt:lpstr>Proj!Print_Area</vt:lpstr>
      <vt:lpstr>'Spread Cover'!Print_Area</vt:lpstr>
      <vt:lpstr>Proj!Print_Titles</vt:lpstr>
      <vt:lpstr>proj</vt:lpstr>
      <vt:lpstr>tdate</vt:lpstr>
      <vt:lpstr>tquarter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David</dc:creator>
  <cp:lastModifiedBy>Victor Ho</cp:lastModifiedBy>
  <cp:lastPrinted>2019-06-27T20:00:51Z</cp:lastPrinted>
  <dcterms:created xsi:type="dcterms:W3CDTF">1998-04-16T15:37:21Z</dcterms:created>
  <dcterms:modified xsi:type="dcterms:W3CDTF">2019-12-04T02:20:54Z</dcterms:modified>
</cp:coreProperties>
</file>