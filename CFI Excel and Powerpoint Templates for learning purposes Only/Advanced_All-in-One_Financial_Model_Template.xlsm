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2.xml" ContentType="application/vnd.openxmlformats-officedocument.drawing+xml"/>
  <Override PartName="/xl/comments12.xml" ContentType="application/vnd.openxmlformats-officedocument.spreadsheetml.comments+xml"/>
  <Override PartName="/xl/drawings/drawing3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28920" yWindow="-60" windowWidth="29040" windowHeight="15780" tabRatio="830"/>
  </bookViews>
  <sheets>
    <sheet name="Cover Page" sheetId="74" r:id="rId1"/>
    <sheet name="Inputs" sheetId="1" r:id="rId2"/>
    <sheet name="Acq ~&gt;" sheetId="2" r:id="rId3"/>
    <sheet name="Acq Spread Cover" sheetId="3" r:id="rId4"/>
    <sheet name="Acq Income Statement" sheetId="4" r:id="rId5"/>
    <sheet name="Acq Balance Sheet" sheetId="6" r:id="rId6"/>
    <sheet name="Acq Working Capital" sheetId="7" r:id="rId7"/>
    <sheet name="Acq Cash Flow" sheetId="8" r:id="rId8"/>
    <sheet name="Acq Sum Financials" sheetId="11" r:id="rId9"/>
    <sheet name="Acq Cap Summary" sheetId="9" r:id="rId10"/>
    <sheet name="Acq DCF" sheetId="76" r:id="rId11"/>
    <sheet name="Tar ~&gt;" sheetId="57" r:id="rId12"/>
    <sheet name="Tar Spread Cover" sheetId="18" r:id="rId13"/>
    <sheet name="Tar Income Statement" sheetId="19" r:id="rId14"/>
    <sheet name="Tar Balance Sheet" sheetId="21" r:id="rId15"/>
    <sheet name="Tar Working Capital" sheetId="22" r:id="rId16"/>
    <sheet name="Tar Cash Flow" sheetId="23" r:id="rId17"/>
    <sheet name="Tar Sum Financials" sheetId="30" r:id="rId18"/>
    <sheet name="Tar Cap Summary" sheetId="24" r:id="rId19"/>
    <sheet name="Tar DCF" sheetId="75" r:id="rId20"/>
    <sheet name="Models ~&gt;" sheetId="59" r:id="rId21"/>
    <sheet name="Acq Proj" sheetId="36" r:id="rId22"/>
    <sheet name="Tar Proj" sheetId="37" r:id="rId23"/>
    <sheet name="Acq LBO" sheetId="64" r:id="rId24"/>
    <sheet name="Tar LBO" sheetId="38" r:id="rId25"/>
    <sheet name="Merger" sheetId="39" r:id="rId26"/>
    <sheet name="Acq LBO Tables" sheetId="72" r:id="rId27"/>
    <sheet name="Tar LBO Tables" sheetId="73" r:id="rId28"/>
    <sheet name="Merger Tables" sheetId="69" r:id="rId29"/>
    <sheet name="Merger Check" sheetId="42" r:id="rId30"/>
    <sheet name="Merger Sensitivities" sheetId="71" r:id="rId31"/>
    <sheet name="Merger Outputs ~&gt;" sheetId="63" r:id="rId32"/>
    <sheet name="Merger Summary" sheetId="40" r:id="rId33"/>
    <sheet name="Side by Side" sheetId="41" r:id="rId34"/>
    <sheet name="Hist Contrib" sheetId="45" r:id="rId35"/>
    <sheet name="Proj Contrib" sheetId="46" r:id="rId36"/>
  </sheets>
  <externalReferences>
    <externalReference r:id="rId37"/>
  </externalReferences>
  <definedNames>
    <definedName name="_1__123Graph_ACHART_9" hidden="1">'[1]op inc as pct t'!$K$11:$K$15</definedName>
    <definedName name="_2__123Graph_BCHART_9" hidden="1">'[1]op inc as pct t'!$K$11:$K$17</definedName>
    <definedName name="_3__123Graph_LBL_ACHART_9" hidden="1">'[1]op inc as pct t'!$K$11:$K$15</definedName>
    <definedName name="_4__123Graph_LBL_BCHART_9" hidden="1">'[1]op inc as pct t'!$K$11:$K$17</definedName>
    <definedName name="_Order1" hidden="1">255</definedName>
    <definedName name="_Order2" hidden="1">0</definedName>
    <definedName name="a">'Acq Proj'!$B$2</definedName>
    <definedName name="abs">'Acq Balance Sheet'!$B$2</definedName>
    <definedName name="acap">'Acq Cap Summary'!$B$2</definedName>
    <definedName name="acase">'Acq Proj'!$C$244</definedName>
    <definedName name="ACCOUNT_CHANGE" hidden="1">"ACCOUNT_CHANGE"</definedName>
    <definedName name="ACCOUNTS_PAY" hidden="1">"ACCOUNTS_PAY"</definedName>
    <definedName name="ACCRUED_EXP" hidden="1">"ACCRUED_EXP"</definedName>
    <definedName name="acfs">'Acq Cash Flow'!$B$2</definedName>
    <definedName name="acname">'Acq Proj'!$D$244</definedName>
    <definedName name="acq">Inputs!$C$9</definedName>
    <definedName name="acqnetdebt">'Acq Spread Cover'!$E$43</definedName>
    <definedName name="acqnetdebtfn">'Acq Spread Cover'!$B$45</definedName>
    <definedName name="adcf">'Acq DCF'!$B$2</definedName>
    <definedName name="ADD_PAID_IN" hidden="1">"ADD_PAID_IN"</definedName>
    <definedName name="adiscconvention">'Acq DCF'!$E$53</definedName>
    <definedName name="adshares">Inputs!$G$17</definedName>
    <definedName name="aexercise">Inputs!$G$15</definedName>
    <definedName name="aexit">'Acq LBO Tables'!$F$11</definedName>
    <definedName name="afcf">'Acq Sum Financials'!$C$63</definedName>
    <definedName name="afy">Inputs!$C$13</definedName>
    <definedName name="afye">Inputs!$C$14</definedName>
    <definedName name="afyshares">Inputs!$H$13</definedName>
    <definedName name="ais">'Acq Income Statement'!$B$2</definedName>
    <definedName name="alabel1">'Acq Sum Financials'!$D$57</definedName>
    <definedName name="alabel2">'Acq Sum Financials'!$F$57</definedName>
    <definedName name="alabel3">'Acq Sum Financials'!$L$57</definedName>
    <definedName name="alabelswitch">'Acq Sum Financials'!$C$57</definedName>
    <definedName name="albo">'Acq LBO'!$B$2</definedName>
    <definedName name="alboprice">'Acq LBO Tables'!$F$9</definedName>
    <definedName name="altg">Inputs!$C$21</definedName>
    <definedName name="altmdate">Inputs!$C$16</definedName>
    <definedName name="AMORTIZATION" hidden="1">"AMORTIZATION"</definedName>
    <definedName name="aoptions">Inputs!$G$14</definedName>
    <definedName name="aprice">Inputs!$G$9</definedName>
    <definedName name="aquarter">Inputs!$D$48</definedName>
    <definedName name="arsu">Inputs!$G$19</definedName>
    <definedName name="ashares">Inputs!$G$13</definedName>
    <definedName name="aspread">'Acq Spread Cover'!$B$2</definedName>
    <definedName name="ASSET_TURNS" hidden="1">"ASSET_TURNS"</definedName>
    <definedName name="asum">'Acq Sum Financials'!$B$2</definedName>
    <definedName name="atable1">'Acq LBO Tables'!$E$21</definedName>
    <definedName name="atable2">'Acq LBO Tables'!$E$33</definedName>
    <definedName name="atax">Inputs!$C$20</definedName>
    <definedName name="aticker">Inputs!$C$10</definedName>
    <definedName name="awc">'Acq Working Capital'!$B$2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LPH1" localSheetId="26" hidden="1">#REF!</definedName>
    <definedName name="BLPH1" localSheetId="30" hidden="1">#REF!</definedName>
    <definedName name="BLPH1" localSheetId="28" hidden="1">#REF!</definedName>
    <definedName name="BLPH1" localSheetId="27" hidden="1">#REF!</definedName>
    <definedName name="BLPH1" hidden="1">#REF!</definedName>
    <definedName name="BLPH10" localSheetId="26" hidden="1">#REF!</definedName>
    <definedName name="BLPH10" localSheetId="30" hidden="1">#REF!</definedName>
    <definedName name="BLPH10" localSheetId="28" hidden="1">#REF!</definedName>
    <definedName name="BLPH10" localSheetId="27" hidden="1">#REF!</definedName>
    <definedName name="BLPH10" hidden="1">#REF!</definedName>
    <definedName name="BLPH11" localSheetId="26" hidden="1">#REF!</definedName>
    <definedName name="BLPH11" localSheetId="30" hidden="1">#REF!</definedName>
    <definedName name="BLPH11" localSheetId="28" hidden="1">#REF!</definedName>
    <definedName name="BLPH11" localSheetId="27" hidden="1">#REF!</definedName>
    <definedName name="BLPH11" hidden="1">#REF!</definedName>
    <definedName name="BLPH12" localSheetId="26" hidden="1">#REF!</definedName>
    <definedName name="BLPH12" localSheetId="30" hidden="1">#REF!</definedName>
    <definedName name="BLPH12" localSheetId="28" hidden="1">#REF!</definedName>
    <definedName name="BLPH12" localSheetId="27" hidden="1">#REF!</definedName>
    <definedName name="BLPH12" hidden="1">#REF!</definedName>
    <definedName name="BLPH13" localSheetId="26" hidden="1">#REF!</definedName>
    <definedName name="BLPH13" localSheetId="30" hidden="1">#REF!</definedName>
    <definedName name="BLPH13" localSheetId="28" hidden="1">#REF!</definedName>
    <definedName name="BLPH13" localSheetId="27" hidden="1">#REF!</definedName>
    <definedName name="BLPH13" hidden="1">#REF!</definedName>
    <definedName name="BLPH14" localSheetId="26" hidden="1">#REF!</definedName>
    <definedName name="BLPH14" localSheetId="30" hidden="1">#REF!</definedName>
    <definedName name="BLPH14" localSheetId="28" hidden="1">#REF!</definedName>
    <definedName name="BLPH14" localSheetId="27" hidden="1">#REF!</definedName>
    <definedName name="BLPH14" hidden="1">#REF!</definedName>
    <definedName name="BLPH15" localSheetId="26" hidden="1">#REF!</definedName>
    <definedName name="BLPH15" localSheetId="30" hidden="1">#REF!</definedName>
    <definedName name="BLPH15" localSheetId="28" hidden="1">#REF!</definedName>
    <definedName name="BLPH15" localSheetId="27" hidden="1">#REF!</definedName>
    <definedName name="BLPH15" hidden="1">#REF!</definedName>
    <definedName name="BLPH16" localSheetId="26" hidden="1">#REF!</definedName>
    <definedName name="BLPH16" localSheetId="30" hidden="1">#REF!</definedName>
    <definedName name="BLPH16" localSheetId="28" hidden="1">#REF!</definedName>
    <definedName name="BLPH16" localSheetId="27" hidden="1">#REF!</definedName>
    <definedName name="BLPH16" hidden="1">#REF!</definedName>
    <definedName name="BLPH17" localSheetId="26" hidden="1">#REF!</definedName>
    <definedName name="BLPH17" localSheetId="30" hidden="1">#REF!</definedName>
    <definedName name="BLPH17" localSheetId="28" hidden="1">#REF!</definedName>
    <definedName name="BLPH17" localSheetId="27" hidden="1">#REF!</definedName>
    <definedName name="BLPH17" hidden="1">#REF!</definedName>
    <definedName name="BLPH18" localSheetId="26" hidden="1">#REF!</definedName>
    <definedName name="BLPH18" localSheetId="30" hidden="1">#REF!</definedName>
    <definedName name="BLPH18" localSheetId="28" hidden="1">#REF!</definedName>
    <definedName name="BLPH18" localSheetId="27" hidden="1">#REF!</definedName>
    <definedName name="BLPH18" hidden="1">#REF!</definedName>
    <definedName name="BLPH19" localSheetId="26" hidden="1">#REF!</definedName>
    <definedName name="BLPH19" localSheetId="30" hidden="1">#REF!</definedName>
    <definedName name="BLPH19" localSheetId="28" hidden="1">#REF!</definedName>
    <definedName name="BLPH19" localSheetId="27" hidden="1">#REF!</definedName>
    <definedName name="BLPH19" hidden="1">#REF!</definedName>
    <definedName name="BLPH2" localSheetId="26" hidden="1">#REF!</definedName>
    <definedName name="BLPH2" localSheetId="30" hidden="1">#REF!</definedName>
    <definedName name="BLPH2" localSheetId="28" hidden="1">#REF!</definedName>
    <definedName name="BLPH2" localSheetId="27" hidden="1">#REF!</definedName>
    <definedName name="BLPH2" hidden="1">#REF!</definedName>
    <definedName name="BLPH20" localSheetId="26" hidden="1">#REF!</definedName>
    <definedName name="BLPH20" localSheetId="30" hidden="1">#REF!</definedName>
    <definedName name="BLPH20" localSheetId="28" hidden="1">#REF!</definedName>
    <definedName name="BLPH20" localSheetId="27" hidden="1">#REF!</definedName>
    <definedName name="BLPH20" hidden="1">#REF!</definedName>
    <definedName name="BLPH21" localSheetId="26" hidden="1">#REF!</definedName>
    <definedName name="BLPH21" localSheetId="30" hidden="1">#REF!</definedName>
    <definedName name="BLPH21" localSheetId="28" hidden="1">#REF!</definedName>
    <definedName name="BLPH21" localSheetId="27" hidden="1">#REF!</definedName>
    <definedName name="BLPH21" hidden="1">#REF!</definedName>
    <definedName name="BLPH22" localSheetId="26" hidden="1">#REF!</definedName>
    <definedName name="BLPH22" localSheetId="30" hidden="1">#REF!</definedName>
    <definedName name="BLPH22" localSheetId="28" hidden="1">#REF!</definedName>
    <definedName name="BLPH22" localSheetId="27" hidden="1">#REF!</definedName>
    <definedName name="BLPH22" hidden="1">#REF!</definedName>
    <definedName name="BLPH23" localSheetId="26" hidden="1">#REF!</definedName>
    <definedName name="BLPH23" localSheetId="30" hidden="1">#REF!</definedName>
    <definedName name="BLPH23" localSheetId="28" hidden="1">#REF!</definedName>
    <definedName name="BLPH23" localSheetId="27" hidden="1">#REF!</definedName>
    <definedName name="BLPH23" hidden="1">#REF!</definedName>
    <definedName name="BLPH24" localSheetId="26" hidden="1">#REF!</definedName>
    <definedName name="BLPH24" localSheetId="30" hidden="1">#REF!</definedName>
    <definedName name="BLPH24" localSheetId="28" hidden="1">#REF!</definedName>
    <definedName name="BLPH24" localSheetId="27" hidden="1">#REF!</definedName>
    <definedName name="BLPH24" hidden="1">#REF!</definedName>
    <definedName name="BLPH25" localSheetId="26" hidden="1">#REF!</definedName>
    <definedName name="BLPH25" localSheetId="30" hidden="1">#REF!</definedName>
    <definedName name="BLPH25" localSheetId="28" hidden="1">#REF!</definedName>
    <definedName name="BLPH25" localSheetId="27" hidden="1">#REF!</definedName>
    <definedName name="BLPH25" hidden="1">#REF!</definedName>
    <definedName name="BLPH26" localSheetId="26" hidden="1">#REF!</definedName>
    <definedName name="BLPH26" localSheetId="30" hidden="1">#REF!</definedName>
    <definedName name="BLPH26" localSheetId="28" hidden="1">#REF!</definedName>
    <definedName name="BLPH26" localSheetId="27" hidden="1">#REF!</definedName>
    <definedName name="BLPH26" hidden="1">#REF!</definedName>
    <definedName name="BLPH27" localSheetId="26" hidden="1">#REF!</definedName>
    <definedName name="BLPH27" localSheetId="30" hidden="1">#REF!</definedName>
    <definedName name="BLPH27" localSheetId="28" hidden="1">#REF!</definedName>
    <definedName name="BLPH27" localSheetId="27" hidden="1">#REF!</definedName>
    <definedName name="BLPH27" hidden="1">#REF!</definedName>
    <definedName name="BLPH28" localSheetId="26" hidden="1">#REF!</definedName>
    <definedName name="BLPH28" localSheetId="30" hidden="1">#REF!</definedName>
    <definedName name="BLPH28" localSheetId="28" hidden="1">#REF!</definedName>
    <definedName name="BLPH28" localSheetId="27" hidden="1">#REF!</definedName>
    <definedName name="BLPH28" hidden="1">#REF!</definedName>
    <definedName name="BLPH29" localSheetId="26" hidden="1">#REF!</definedName>
    <definedName name="BLPH29" localSheetId="30" hidden="1">#REF!</definedName>
    <definedName name="BLPH29" localSheetId="28" hidden="1">#REF!</definedName>
    <definedName name="BLPH29" localSheetId="27" hidden="1">#REF!</definedName>
    <definedName name="BLPH29" hidden="1">#REF!</definedName>
    <definedName name="BLPH3" localSheetId="26" hidden="1">#REF!</definedName>
    <definedName name="BLPH3" localSheetId="30" hidden="1">#REF!</definedName>
    <definedName name="BLPH3" localSheetId="28" hidden="1">#REF!</definedName>
    <definedName name="BLPH3" localSheetId="27" hidden="1">#REF!</definedName>
    <definedName name="BLPH3" hidden="1">#REF!</definedName>
    <definedName name="BLPH30" localSheetId="26" hidden="1">#REF!</definedName>
    <definedName name="BLPH30" localSheetId="30" hidden="1">#REF!</definedName>
    <definedName name="BLPH30" localSheetId="28" hidden="1">#REF!</definedName>
    <definedName name="BLPH30" localSheetId="27" hidden="1">#REF!</definedName>
    <definedName name="BLPH30" hidden="1">#REF!</definedName>
    <definedName name="BLPH31" localSheetId="26" hidden="1">#REF!</definedName>
    <definedName name="BLPH31" localSheetId="30" hidden="1">#REF!</definedName>
    <definedName name="BLPH31" localSheetId="28" hidden="1">#REF!</definedName>
    <definedName name="BLPH31" localSheetId="27" hidden="1">#REF!</definedName>
    <definedName name="BLPH31" hidden="1">#REF!</definedName>
    <definedName name="BLPH32" localSheetId="26" hidden="1">#REF!</definedName>
    <definedName name="BLPH32" localSheetId="30" hidden="1">#REF!</definedName>
    <definedName name="BLPH32" localSheetId="28" hidden="1">#REF!</definedName>
    <definedName name="BLPH32" localSheetId="27" hidden="1">#REF!</definedName>
    <definedName name="BLPH32" hidden="1">#REF!</definedName>
    <definedName name="BLPH33" localSheetId="26" hidden="1">#REF!</definedName>
    <definedName name="BLPH33" localSheetId="30" hidden="1">#REF!</definedName>
    <definedName name="BLPH33" localSheetId="28" hidden="1">#REF!</definedName>
    <definedName name="BLPH33" localSheetId="27" hidden="1">#REF!</definedName>
    <definedName name="BLPH33" hidden="1">#REF!</definedName>
    <definedName name="BLPH34" localSheetId="26" hidden="1">#REF!</definedName>
    <definedName name="BLPH34" localSheetId="30" hidden="1">#REF!</definedName>
    <definedName name="BLPH34" localSheetId="28" hidden="1">#REF!</definedName>
    <definedName name="BLPH34" localSheetId="27" hidden="1">#REF!</definedName>
    <definedName name="BLPH34" hidden="1">#REF!</definedName>
    <definedName name="BLPH35" localSheetId="26" hidden="1">#REF!</definedName>
    <definedName name="BLPH35" localSheetId="30" hidden="1">#REF!</definedName>
    <definedName name="BLPH35" localSheetId="28" hidden="1">#REF!</definedName>
    <definedName name="BLPH35" localSheetId="27" hidden="1">#REF!</definedName>
    <definedName name="BLPH35" hidden="1">#REF!</definedName>
    <definedName name="BLPH36" localSheetId="26" hidden="1">#REF!</definedName>
    <definedName name="BLPH36" localSheetId="30" hidden="1">#REF!</definedName>
    <definedName name="BLPH36" localSheetId="28" hidden="1">#REF!</definedName>
    <definedName name="BLPH36" localSheetId="27" hidden="1">#REF!</definedName>
    <definedName name="BLPH36" hidden="1">#REF!</definedName>
    <definedName name="BLPH37" localSheetId="26" hidden="1">#REF!</definedName>
    <definedName name="BLPH37" localSheetId="30" hidden="1">#REF!</definedName>
    <definedName name="BLPH37" localSheetId="28" hidden="1">#REF!</definedName>
    <definedName name="BLPH37" localSheetId="27" hidden="1">#REF!</definedName>
    <definedName name="BLPH37" hidden="1">#REF!</definedName>
    <definedName name="BLPH38" localSheetId="26" hidden="1">#REF!</definedName>
    <definedName name="BLPH38" localSheetId="30" hidden="1">#REF!</definedName>
    <definedName name="BLPH38" localSheetId="28" hidden="1">#REF!</definedName>
    <definedName name="BLPH38" localSheetId="27" hidden="1">#REF!</definedName>
    <definedName name="BLPH38" hidden="1">#REF!</definedName>
    <definedName name="BLPH39" localSheetId="26" hidden="1">#REF!</definedName>
    <definedName name="BLPH39" localSheetId="30" hidden="1">#REF!</definedName>
    <definedName name="BLPH39" localSheetId="28" hidden="1">#REF!</definedName>
    <definedName name="BLPH39" localSheetId="27" hidden="1">#REF!</definedName>
    <definedName name="BLPH39" hidden="1">#REF!</definedName>
    <definedName name="BLPH4" localSheetId="26" hidden="1">#REF!</definedName>
    <definedName name="BLPH4" localSheetId="30" hidden="1">#REF!</definedName>
    <definedName name="BLPH4" localSheetId="28" hidden="1">#REF!</definedName>
    <definedName name="BLPH4" localSheetId="27" hidden="1">#REF!</definedName>
    <definedName name="BLPH4" hidden="1">#REF!</definedName>
    <definedName name="BLPH40" localSheetId="26" hidden="1">#REF!</definedName>
    <definedName name="BLPH40" localSheetId="30" hidden="1">#REF!</definedName>
    <definedName name="BLPH40" localSheetId="28" hidden="1">#REF!</definedName>
    <definedName name="BLPH40" localSheetId="27" hidden="1">#REF!</definedName>
    <definedName name="BLPH40" hidden="1">#REF!</definedName>
    <definedName name="BLPH41" localSheetId="26" hidden="1">#REF!</definedName>
    <definedName name="BLPH41" localSheetId="30" hidden="1">#REF!</definedName>
    <definedName name="BLPH41" localSheetId="28" hidden="1">#REF!</definedName>
    <definedName name="BLPH41" localSheetId="27" hidden="1">#REF!</definedName>
    <definedName name="BLPH41" hidden="1">#REF!</definedName>
    <definedName name="BLPH42" localSheetId="26" hidden="1">#REF!</definedName>
    <definedName name="BLPH42" localSheetId="30" hidden="1">#REF!</definedName>
    <definedName name="BLPH42" localSheetId="28" hidden="1">#REF!</definedName>
    <definedName name="BLPH42" localSheetId="27" hidden="1">#REF!</definedName>
    <definedName name="BLPH42" hidden="1">#REF!</definedName>
    <definedName name="BLPH43" localSheetId="26" hidden="1">#REF!</definedName>
    <definedName name="BLPH43" localSheetId="30" hidden="1">#REF!</definedName>
    <definedName name="BLPH43" localSheetId="28" hidden="1">#REF!</definedName>
    <definedName name="BLPH43" localSheetId="27" hidden="1">#REF!</definedName>
    <definedName name="BLPH43" hidden="1">#REF!</definedName>
    <definedName name="BLPH44" localSheetId="26" hidden="1">#REF!</definedName>
    <definedName name="BLPH44" localSheetId="30" hidden="1">#REF!</definedName>
    <definedName name="BLPH44" localSheetId="28" hidden="1">#REF!</definedName>
    <definedName name="BLPH44" localSheetId="27" hidden="1">#REF!</definedName>
    <definedName name="BLPH44" hidden="1">#REF!</definedName>
    <definedName name="BLPH45" localSheetId="26" hidden="1">#REF!</definedName>
    <definedName name="BLPH45" localSheetId="30" hidden="1">#REF!</definedName>
    <definedName name="BLPH45" localSheetId="28" hidden="1">#REF!</definedName>
    <definedName name="BLPH45" localSheetId="27" hidden="1">#REF!</definedName>
    <definedName name="BLPH45" hidden="1">#REF!</definedName>
    <definedName name="BLPH46" localSheetId="26" hidden="1">#REF!</definedName>
    <definedName name="BLPH46" localSheetId="30" hidden="1">#REF!</definedName>
    <definedName name="BLPH46" localSheetId="28" hidden="1">#REF!</definedName>
    <definedName name="BLPH46" localSheetId="27" hidden="1">#REF!</definedName>
    <definedName name="BLPH46" hidden="1">#REF!</definedName>
    <definedName name="BLPH47" localSheetId="26" hidden="1">#REF!</definedName>
    <definedName name="BLPH47" localSheetId="30" hidden="1">#REF!</definedName>
    <definedName name="BLPH47" localSheetId="28" hidden="1">#REF!</definedName>
    <definedName name="BLPH47" localSheetId="27" hidden="1">#REF!</definedName>
    <definedName name="BLPH47" hidden="1">#REF!</definedName>
    <definedName name="BLPH48" localSheetId="26" hidden="1">#REF!</definedName>
    <definedName name="BLPH48" localSheetId="30" hidden="1">#REF!</definedName>
    <definedName name="BLPH48" localSheetId="28" hidden="1">#REF!</definedName>
    <definedName name="BLPH48" localSheetId="27" hidden="1">#REF!</definedName>
    <definedName name="BLPH48" hidden="1">#REF!</definedName>
    <definedName name="BLPH49" localSheetId="26" hidden="1">#REF!</definedName>
    <definedName name="BLPH49" localSheetId="30" hidden="1">#REF!</definedName>
    <definedName name="BLPH49" localSheetId="28" hidden="1">#REF!</definedName>
    <definedName name="BLPH49" localSheetId="27" hidden="1">#REF!</definedName>
    <definedName name="BLPH49" hidden="1">#REF!</definedName>
    <definedName name="BLPH5" localSheetId="26" hidden="1">#REF!</definedName>
    <definedName name="BLPH5" localSheetId="30" hidden="1">#REF!</definedName>
    <definedName name="BLPH5" localSheetId="28" hidden="1">#REF!</definedName>
    <definedName name="BLPH5" localSheetId="27" hidden="1">#REF!</definedName>
    <definedName name="BLPH5" hidden="1">#REF!</definedName>
    <definedName name="BLPH50" localSheetId="26" hidden="1">#REF!</definedName>
    <definedName name="BLPH50" localSheetId="30" hidden="1">#REF!</definedName>
    <definedName name="BLPH50" localSheetId="28" hidden="1">#REF!</definedName>
    <definedName name="BLPH50" localSheetId="27" hidden="1">#REF!</definedName>
    <definedName name="BLPH50" hidden="1">#REF!</definedName>
    <definedName name="BLPH51" localSheetId="26" hidden="1">#REF!</definedName>
    <definedName name="BLPH51" localSheetId="30" hidden="1">#REF!</definedName>
    <definedName name="BLPH51" localSheetId="28" hidden="1">#REF!</definedName>
    <definedName name="BLPH51" localSheetId="27" hidden="1">#REF!</definedName>
    <definedName name="BLPH51" hidden="1">#REF!</definedName>
    <definedName name="BLPH52" localSheetId="26" hidden="1">#REF!</definedName>
    <definedName name="BLPH52" localSheetId="30" hidden="1">#REF!</definedName>
    <definedName name="BLPH52" localSheetId="28" hidden="1">#REF!</definedName>
    <definedName name="BLPH52" localSheetId="27" hidden="1">#REF!</definedName>
    <definedName name="BLPH52" hidden="1">#REF!</definedName>
    <definedName name="BLPH53" localSheetId="26" hidden="1">#REF!</definedName>
    <definedName name="BLPH53" localSheetId="30" hidden="1">#REF!</definedName>
    <definedName name="BLPH53" localSheetId="28" hidden="1">#REF!</definedName>
    <definedName name="BLPH53" localSheetId="27" hidden="1">#REF!</definedName>
    <definedName name="BLPH53" hidden="1">#REF!</definedName>
    <definedName name="BLPH54" localSheetId="26" hidden="1">#REF!</definedName>
    <definedName name="BLPH54" localSheetId="30" hidden="1">#REF!</definedName>
    <definedName name="BLPH54" localSheetId="28" hidden="1">#REF!</definedName>
    <definedName name="BLPH54" localSheetId="27" hidden="1">#REF!</definedName>
    <definedName name="BLPH54" hidden="1">#REF!</definedName>
    <definedName name="BLPH55" localSheetId="26" hidden="1">#REF!</definedName>
    <definedName name="BLPH55" localSheetId="30" hidden="1">#REF!</definedName>
    <definedName name="BLPH55" localSheetId="28" hidden="1">#REF!</definedName>
    <definedName name="BLPH55" localSheetId="27" hidden="1">#REF!</definedName>
    <definedName name="BLPH55" hidden="1">#REF!</definedName>
    <definedName name="BLPH56" localSheetId="26" hidden="1">#REF!</definedName>
    <definedName name="BLPH56" localSheetId="30" hidden="1">#REF!</definedName>
    <definedName name="BLPH56" localSheetId="28" hidden="1">#REF!</definedName>
    <definedName name="BLPH56" localSheetId="27" hidden="1">#REF!</definedName>
    <definedName name="BLPH56" hidden="1">#REF!</definedName>
    <definedName name="BLPH57" localSheetId="26" hidden="1">#REF!</definedName>
    <definedName name="BLPH57" localSheetId="30" hidden="1">#REF!</definedName>
    <definedName name="BLPH57" localSheetId="28" hidden="1">#REF!</definedName>
    <definedName name="BLPH57" localSheetId="27" hidden="1">#REF!</definedName>
    <definedName name="BLPH57" hidden="1">#REF!</definedName>
    <definedName name="BLPH58" localSheetId="26" hidden="1">#REF!</definedName>
    <definedName name="BLPH58" localSheetId="30" hidden="1">#REF!</definedName>
    <definedName name="BLPH58" localSheetId="28" hidden="1">#REF!</definedName>
    <definedName name="BLPH58" localSheetId="27" hidden="1">#REF!</definedName>
    <definedName name="BLPH58" hidden="1">#REF!</definedName>
    <definedName name="BLPH59" localSheetId="26" hidden="1">#REF!</definedName>
    <definedName name="BLPH59" localSheetId="30" hidden="1">#REF!</definedName>
    <definedName name="BLPH59" localSheetId="28" hidden="1">#REF!</definedName>
    <definedName name="BLPH59" localSheetId="27" hidden="1">#REF!</definedName>
    <definedName name="BLPH59" hidden="1">#REF!</definedName>
    <definedName name="BLPH6" localSheetId="26" hidden="1">#REF!</definedName>
    <definedName name="BLPH6" localSheetId="30" hidden="1">#REF!</definedName>
    <definedName name="BLPH6" localSheetId="28" hidden="1">#REF!</definedName>
    <definedName name="BLPH6" localSheetId="27" hidden="1">#REF!</definedName>
    <definedName name="BLPH6" hidden="1">#REF!</definedName>
    <definedName name="BLPH60" localSheetId="26" hidden="1">#REF!</definedName>
    <definedName name="BLPH60" localSheetId="30" hidden="1">#REF!</definedName>
    <definedName name="BLPH60" localSheetId="28" hidden="1">#REF!</definedName>
    <definedName name="BLPH60" localSheetId="27" hidden="1">#REF!</definedName>
    <definedName name="BLPH60" hidden="1">#REF!</definedName>
    <definedName name="BLPH61" localSheetId="26" hidden="1">#REF!</definedName>
    <definedName name="BLPH61" localSheetId="30" hidden="1">#REF!</definedName>
    <definedName name="BLPH61" localSheetId="28" hidden="1">#REF!</definedName>
    <definedName name="BLPH61" localSheetId="27" hidden="1">#REF!</definedName>
    <definedName name="BLPH61" hidden="1">#REF!</definedName>
    <definedName name="BLPH62" localSheetId="26" hidden="1">#REF!</definedName>
    <definedName name="BLPH62" localSheetId="30" hidden="1">#REF!</definedName>
    <definedName name="BLPH62" localSheetId="28" hidden="1">#REF!</definedName>
    <definedName name="BLPH62" localSheetId="27" hidden="1">#REF!</definedName>
    <definedName name="BLPH62" hidden="1">#REF!</definedName>
    <definedName name="BLPH63" localSheetId="26" hidden="1">#REF!</definedName>
    <definedName name="BLPH63" localSheetId="30" hidden="1">#REF!</definedName>
    <definedName name="BLPH63" localSheetId="28" hidden="1">#REF!</definedName>
    <definedName name="BLPH63" localSheetId="27" hidden="1">#REF!</definedName>
    <definedName name="BLPH63" hidden="1">#REF!</definedName>
    <definedName name="BLPH64" localSheetId="26" hidden="1">#REF!</definedName>
    <definedName name="BLPH64" localSheetId="30" hidden="1">#REF!</definedName>
    <definedName name="BLPH64" localSheetId="28" hidden="1">#REF!</definedName>
    <definedName name="BLPH64" localSheetId="27" hidden="1">#REF!</definedName>
    <definedName name="BLPH64" hidden="1">#REF!</definedName>
    <definedName name="BLPH65" localSheetId="26" hidden="1">#REF!</definedName>
    <definedName name="BLPH65" localSheetId="30" hidden="1">#REF!</definedName>
    <definedName name="BLPH65" localSheetId="28" hidden="1">#REF!</definedName>
    <definedName name="BLPH65" localSheetId="27" hidden="1">#REF!</definedName>
    <definedName name="BLPH65" hidden="1">#REF!</definedName>
    <definedName name="BLPH66" localSheetId="26" hidden="1">#REF!</definedName>
    <definedName name="BLPH66" localSheetId="30" hidden="1">#REF!</definedName>
    <definedName name="BLPH66" localSheetId="28" hidden="1">#REF!</definedName>
    <definedName name="BLPH66" localSheetId="27" hidden="1">#REF!</definedName>
    <definedName name="BLPH66" hidden="1">#REF!</definedName>
    <definedName name="BLPH67" localSheetId="26" hidden="1">#REF!</definedName>
    <definedName name="BLPH67" localSheetId="30" hidden="1">#REF!</definedName>
    <definedName name="BLPH67" localSheetId="28" hidden="1">#REF!</definedName>
    <definedName name="BLPH67" localSheetId="27" hidden="1">#REF!</definedName>
    <definedName name="BLPH67" hidden="1">#REF!</definedName>
    <definedName name="BLPH68" localSheetId="26" hidden="1">#REF!</definedName>
    <definedName name="BLPH68" localSheetId="30" hidden="1">#REF!</definedName>
    <definedName name="BLPH68" localSheetId="28" hidden="1">#REF!</definedName>
    <definedName name="BLPH68" localSheetId="27" hidden="1">#REF!</definedName>
    <definedName name="BLPH68" hidden="1">#REF!</definedName>
    <definedName name="BLPH69" localSheetId="26" hidden="1">#REF!</definedName>
    <definedName name="BLPH69" localSheetId="30" hidden="1">#REF!</definedName>
    <definedName name="BLPH69" localSheetId="28" hidden="1">#REF!</definedName>
    <definedName name="BLPH69" localSheetId="27" hidden="1">#REF!</definedName>
    <definedName name="BLPH69" hidden="1">#REF!</definedName>
    <definedName name="BLPH7" localSheetId="26" hidden="1">#REF!</definedName>
    <definedName name="BLPH7" localSheetId="30" hidden="1">#REF!</definedName>
    <definedName name="BLPH7" localSheetId="28" hidden="1">#REF!</definedName>
    <definedName name="BLPH7" localSheetId="27" hidden="1">#REF!</definedName>
    <definedName name="BLPH7" hidden="1">#REF!</definedName>
    <definedName name="BLPH8" localSheetId="26" hidden="1">#REF!</definedName>
    <definedName name="BLPH8" localSheetId="30" hidden="1">#REF!</definedName>
    <definedName name="BLPH8" localSheetId="28" hidden="1">#REF!</definedName>
    <definedName name="BLPH8" localSheetId="27" hidden="1">#REF!</definedName>
    <definedName name="BLPH8" hidden="1">#REF!</definedName>
    <definedName name="BLPH9" localSheetId="26" hidden="1">#REF!</definedName>
    <definedName name="BLPH9" localSheetId="30" hidden="1">#REF!</definedName>
    <definedName name="BLPH9" localSheetId="28" hidden="1">#REF!</definedName>
    <definedName name="BLPH9" localSheetId="27" hidden="1">#REF!</definedName>
    <definedName name="BLPH9" hidden="1">#REF!</definedName>
    <definedName name="BOOK_VALUE" hidden="1">"BOOK_VALUE"</definedName>
    <definedName name="BV_OVER_SHARES" hidden="1">"BV_OVER_SHARES"</definedName>
    <definedName name="CAPITAL_EXPEN" hidden="1">"CAPITAL_EXPEN"</definedName>
    <definedName name="CAPITAL_LEASE" hidden="1">"CAPITAL_LEASE"</definedName>
    <definedName name="CASH" hidden="1">"CASH"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HANGES_WORK_CAP" hidden="1">"CHANGES_WORK_CAP"</definedName>
    <definedName name="CIQWBGuid" localSheetId="0" hidden="1">"2cd8126d-26c3-430c-b7fa-a069e3a1fc62"</definedName>
    <definedName name="CIQWBGuid" hidden="1">"60540d9e-d8df-420d-a46f-fe125bb8aa33"</definedName>
    <definedName name="CITY" hidden="1">"CITY"</definedName>
    <definedName name="COMMON_STOCK" hidden="1">"COMMON_STOCK"</definedName>
    <definedName name="comp">'Side by Side'!$B$2</definedName>
    <definedName name="COMPANY_ADDRESS" hidden="1">"COMPANY_ADDRESS"</definedName>
    <definedName name="COMPANY_NAME" hidden="1">"COMPANY_NAME"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ST_REVENUE" hidden="1">"COST_REVENUE"</definedName>
    <definedName name="COUNTRY_NAME" hidden="1">"COUNTRY_NAME"</definedName>
    <definedName name="CURRENT_PORT" hidden="1">"CURRENT_PORT"</definedName>
    <definedName name="CURRENT_RATIO" hidden="1">"CURRENT_RATIO"</definedName>
    <definedName name="DAYS_PAY_OUTST" hidden="1">"DAYS_PAY_OUTST"</definedName>
    <definedName name="DAYS_SALES_OUTST" hidden="1">"DAYS_SALES_OUTST"</definedName>
    <definedName name="DEFERRED_INC_TAX" hidden="1">"DEFERRED_INC_TAX"</definedName>
    <definedName name="DEFERRED_TAXES" hidden="1">"DEFERRED_TAXES"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SCRIPTION_LONG" hidden="1">"DESCRIPTION_LONG"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SCONT_OPER" hidden="1">"DISCONT_OPER"</definedName>
    <definedName name="DIVID_SHARE" hidden="1">"DIVID_SHARE"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date">Inputs!$E$6</definedName>
    <definedName name="EFFECT_SPECIAL_CHARGE" hidden="1">"EFFECT_SPECIAL_CHARGE"</definedName>
    <definedName name="EMPLOYEES" hidden="1">"EMPLOYEES"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SOP_DEBT" hidden="1">"ESOP_DEBT"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XCHANGE" hidden="1">"EXCHANGE"</definedName>
    <definedName name="EXTRA_ITEMS" hidden="1">"EXTRA_ITEMS"</definedName>
    <definedName name="FINANCING_CASH" hidden="1">"FINANCING_CASH"</definedName>
    <definedName name="FOREIGN_EXCHANGE" hidden="1">"FOREIGN_EXCHANGE"</definedName>
    <definedName name="FY">Inputs!$D$51</definedName>
    <definedName name="FY_DATE" hidden="1">"FY_DATE"</definedName>
    <definedName name="FYx">Inputs!$D$50</definedName>
    <definedName name="FYz">Inputs!$D$52</definedName>
    <definedName name="GAIN_SALE_ASSETS" hidden="1">"GAIN_SALE_ASSETS"</definedName>
    <definedName name="GOODWILL_NET" hidden="1">"GOODWILL_NET"</definedName>
    <definedName name="GROSS_DIVID" hidden="1">"GROSS_DIVID"</definedName>
    <definedName name="GROSS_MARGIN" hidden="1">"GROSS_MARGIN"</definedName>
    <definedName name="GROSS_PROFIT" hidden="1">"GROSS_PROFIT"</definedName>
    <definedName name="HIGHPRICE" hidden="1">"HIGHPRICE"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puts">Inputs!$B$3</definedName>
    <definedName name="INTANGIBLES_NET" hidden="1">"INTANGIBLES_NET"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VENTORY_TURNS" hidden="1">"INVENTORY_TURNS"</definedName>
    <definedName name="IQ_ADDIN" hidden="1">"AUTO"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ACT_FFO_REUT" hidden="1">"c3843"</definedName>
    <definedName name="IQ_EST_FFO_DIFF_REUT" hidden="1">"c3890"</definedName>
    <definedName name="IQ_EST_FFO_SURPRISE_PERCENT_REUT" hidden="1">"c3891"</definedName>
    <definedName name="IQ_EV_OVER_REVENUE_EST" hidden="1">"IQ_EV_OVER_REVENUE_EST"</definedName>
    <definedName name="IQ_EV_OVER_REVENUE_EST_1" hidden="1">"IQ_EV_OVER_REVENUE_EST_1"</definedName>
    <definedName name="IQ_EXPENSE_CODE_" hidden="1">1056</definedName>
    <definedName name="IQ_FFO_EST_REUT" hidden="1">"c3837"</definedName>
    <definedName name="IQ_FFO_HIGH_EST_REUT" hidden="1">"c3839"</definedName>
    <definedName name="IQ_FFO_LOW_EST_REUT" hidden="1">"c3840"</definedName>
    <definedName name="IQ_FFO_MEDIAN_EST_REUT" hidden="1">"c3838"</definedName>
    <definedName name="IQ_FFO_NUM_EST_REUT" hidden="1">"c3841"</definedName>
    <definedName name="IQ_FFO_STDDEV_EST_REUT" hidden="1">"c3842"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Y">1000</definedName>
    <definedName name="IQ_FY_DATE" hidden="1">"IQ_FY_DATE"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TM">2000</definedName>
    <definedName name="IQ_LTM_DATE" hidden="1">"IQ_LTM_DATE"</definedName>
    <definedName name="IQ_LTMMONTH" hidden="1">120000</definedName>
    <definedName name="IQ_MONTH">15000</definedName>
    <definedName name="IQ_MTD" hidden="1">800000</definedName>
    <definedName name="IQ_NAMES_REVISION_DATE_" localSheetId="10" hidden="1">41449.6173842593</definedName>
    <definedName name="IQ_NAMES_REVISION_DATE_" localSheetId="0" hidden="1">43109.7057291667</definedName>
    <definedName name="IQ_NAMES_REVISION_DATE_" localSheetId="19" hidden="1">41449.6173842593</definedName>
    <definedName name="IQ_NAMES_REVISION_DATE_" hidden="1">43109.7057291667</definedName>
    <definedName name="IQ_NAV_ACT_OR_EST" hidden="1">"c2225"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TM">6000</definedName>
    <definedName name="IQ_OG_TOTAL_OIL_PRODUCTON" hidden="1">"c2059"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HAREOUTSTANDING" hidden="1">"c1347"</definedName>
    <definedName name="IQ_TODAY" hidden="1">0</definedName>
    <definedName name="IQ_TOTAL_PENSION_OBLIGATION" hidden="1">"c1292"</definedName>
    <definedName name="IQ_WEEK">50000</definedName>
    <definedName name="IQ_YTD">3000</definedName>
    <definedName name="IQ_YTDMONTH" hidden="1">130000</definedName>
    <definedName name="ISS_DEBT_NET" hidden="1">"ISS_DEBT_NET"</definedName>
    <definedName name="ISS_STOCK_NET" hidden="1">"ISS_STOCK_NET"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SALEPRICE" hidden="1">"LASTSALEPRICE"</definedName>
    <definedName name="LATESTK" hidden="1">1000</definedName>
    <definedName name="LATESTKNONPRESS" hidden="1">50</definedName>
    <definedName name="LATESTQ" hidden="1">500</definedName>
    <definedName name="LATESTQNONPRESS" hidden="1">100</definedName>
    <definedName name="LOAN_LOSS" hidden="1">"LOAN_LOSS"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WPRICE" hidden="1">"LOWPRICE"</definedName>
    <definedName name="LTM_DATE" hidden="1">"LTM_DATE"</definedName>
    <definedName name="LTM_REVENUE_OVER_EMPLOYEES" hidden="1">"LTM_REVENUE_OVER_EMPLOYEES"</definedName>
    <definedName name="m">Merger!$B$2</definedName>
    <definedName name="MARKETCAP" hidden="1">"MARKETCAP"</definedName>
    <definedName name="mcheck">'Merger Check'!$B$2</definedName>
    <definedName name="mergprice">'Merger Tables'!$F$9</definedName>
    <definedName name="mfcf">'Merger Summary'!$C$60</definedName>
    <definedName name="MINORITY_INTEREST" hidden="1">"MINORITY_INTEREST"</definedName>
    <definedName name="MISC_EARN_ADJ" hidden="1">"MISC_EARN_ADJ"</definedName>
    <definedName name="msum">'Merger Summary'!$B$2</definedName>
    <definedName name="msweep">Merger!$Q$83</definedName>
    <definedName name="mtable1">'Merger Tables'!$C$20</definedName>
    <definedName name="mtable2">'Merger Tables'!$C$40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ON_CASH" hidden="1">"NON_CASH"</definedName>
    <definedName name="NON_INTEREST_EXP" hidden="1">"NON_INTEREST_EXP"</definedName>
    <definedName name="NON_INTEREST_INC" hidden="1">"NON_INTEREST_INC"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ES_PAY" hidden="1">"NOTES_PAY"</definedName>
    <definedName name="OPENPRICE" hidden="1">"OPENPRICE"</definedName>
    <definedName name="OPER_INC" hidden="1">"OPER_INC"</definedName>
    <definedName name="OTHER_ASSETS" hidden="1">"OTHER_ASSETS"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PAY_ACCRUED" hidden="1">"PAY_ACCRUED"</definedName>
    <definedName name="PERIODDATE" hidden="1">"PERIODDATE"</definedName>
    <definedName name="PREF_DIVID" hidden="1">"PREF_DIVID"</definedName>
    <definedName name="PREF_STOCK" hidden="1">"PREF_STOCK"</definedName>
    <definedName name="PREPAID_EXPEN" hidden="1">"PREPAID_EXPEN"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_xlnm.Print_Area" localSheetId="2">'Acq ~&gt;'!$B$2:$P$38</definedName>
    <definedName name="_xlnm.Print_Area" localSheetId="5">'Acq Balance Sheet'!$B$2:$O$36</definedName>
    <definedName name="_xlnm.Print_Area" localSheetId="9">'Acq Cap Summary'!$B$2:$L$22</definedName>
    <definedName name="_xlnm.Print_Area" localSheetId="7">'Acq Cash Flow'!$B$2:$Q$33</definedName>
    <definedName name="_xlnm.Print_Area" localSheetId="10">'Acq DCF'!$B$2:$O$46</definedName>
    <definedName name="_xlnm.Print_Area" localSheetId="4">'Acq Income Statement'!$B$2:$V$66</definedName>
    <definedName name="_xlnm.Print_Area" localSheetId="23">'Acq LBO'!$B$2:$R$345</definedName>
    <definedName name="_xlnm.Print_Area" localSheetId="26">'Acq LBO Tables'!$C$2:$R$39</definedName>
    <definedName name="_xlnm.Print_Area" localSheetId="21">'Acq Proj'!$B$2:$Q$266</definedName>
    <definedName name="_xlnm.Print_Area" localSheetId="3">'Acq Spread Cover'!$B$2:$O$41</definedName>
    <definedName name="_xlnm.Print_Area" localSheetId="6">'Acq Working Capital'!$B$2:$R$30</definedName>
    <definedName name="_xlnm.Print_Area" localSheetId="0">'Cover Page'!$A$1:$P$29</definedName>
    <definedName name="_xlnm.Print_Area" localSheetId="34">'Hist Contrib'!$B$2:$O$25</definedName>
    <definedName name="_xlnm.Print_Area" localSheetId="1">Inputs!$B$2:$Q$45</definedName>
    <definedName name="_xlnm.Print_Area" localSheetId="25">Merger!$B$2:$Q$512</definedName>
    <definedName name="_xlnm.Print_Area" localSheetId="29">'Merger Check'!$B$2:$Q$51</definedName>
    <definedName name="_xlnm.Print_Area" localSheetId="31">'Merger Outputs ~&gt;'!$B$2:$P$38</definedName>
    <definedName name="_xlnm.Print_Area" localSheetId="30">'Merger Sensitivities'!$B$2:$AA$57</definedName>
    <definedName name="_xlnm.Print_Area" localSheetId="32">'Merger Summary'!$B$2:$AC$56</definedName>
    <definedName name="_xlnm.Print_Area" localSheetId="28">'Merger Tables'!$C$2:$R$55</definedName>
    <definedName name="_xlnm.Print_Area" localSheetId="20">'Models ~&gt;'!$B$2:$P$38</definedName>
    <definedName name="_xlnm.Print_Area" localSheetId="35">'Proj Contrib'!$B$2:$O$25</definedName>
    <definedName name="_xlnm.Print_Area" localSheetId="33">'Side by Side'!$B$2:$S$35</definedName>
    <definedName name="_xlnm.Print_Area" localSheetId="11">'Tar ~&gt;'!$B$2:$P$38</definedName>
    <definedName name="_xlnm.Print_Area" localSheetId="14">'Tar Balance Sheet'!$B$2:$O$36</definedName>
    <definedName name="_xlnm.Print_Area" localSheetId="18">'Tar Cap Summary'!$B$2:$L$22</definedName>
    <definedName name="_xlnm.Print_Area" localSheetId="16">'Tar Cash Flow'!$B$2:$Q$33</definedName>
    <definedName name="_xlnm.Print_Area" localSheetId="19">'Tar DCF'!$B$2:$O$46</definedName>
    <definedName name="_xlnm.Print_Area" localSheetId="13">'Tar Income Statement'!$B$2:$V$66</definedName>
    <definedName name="_xlnm.Print_Area" localSheetId="24">'Tar LBO'!$B$2:$R$345</definedName>
    <definedName name="_xlnm.Print_Area" localSheetId="27">'Tar LBO Tables'!$C$2:$R$39</definedName>
    <definedName name="_xlnm.Print_Area" localSheetId="22">'Tar Proj'!$B$2:$Q$266</definedName>
    <definedName name="_xlnm.Print_Area" localSheetId="12">'Tar Spread Cover'!$B$2:$O$41</definedName>
    <definedName name="_xlnm.Print_Area" localSheetId="17">'Tar Sum Financials'!$B$2:$AM$51</definedName>
    <definedName name="_xlnm.Print_Area" localSheetId="15">'Tar Working Capital'!$B$2:$R$30</definedName>
    <definedName name="_xlnm.Print_Titles" localSheetId="23">'Acq LBO'!$2:$5</definedName>
    <definedName name="_xlnm.Print_Titles" localSheetId="26">'Acq LBO Tables'!$2:$5</definedName>
    <definedName name="_xlnm.Print_Titles" localSheetId="21">'Acq Proj'!$2:$5</definedName>
    <definedName name="_xlnm.Print_Titles" localSheetId="25">Merger!$2:$5</definedName>
    <definedName name="_xlnm.Print_Titles" localSheetId="28">'Merger Tables'!$2:$5</definedName>
    <definedName name="_xlnm.Print_Titles" localSheetId="24">'Tar LBO'!$2:$5</definedName>
    <definedName name="_xlnm.Print_Titles" localSheetId="27">'Tar LBO Tables'!$2:$5</definedName>
    <definedName name="_xlnm.Print_Titles" localSheetId="22">'Tar Proj'!$2:$5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j">Inputs!$B$2</definedName>
    <definedName name="PROPERTY_GROSS" hidden="1">"PROPERTY_GROSS"</definedName>
    <definedName name="PROPERTY_NET" hidden="1">"PROPERTY_NET"</definedName>
    <definedName name="QUICK_RATIO" hidden="1">"QUICK_RATIO"</definedName>
    <definedName name="REDEEM_PREF_STOCK" hidden="1">"REDEEM_PREF_STOCK"</definedName>
    <definedName name="repay">Merger!$Q$82</definedName>
    <definedName name="RESEARCH_DEV" hidden="1">"RESEARCH_DEV"</definedName>
    <definedName name="RETAINED_EARN" hidden="1">"RETAINED_EARN"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VENUE" hidden="1">"REVENUE"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SGA" hidden="1">"SGA"</definedName>
    <definedName name="SHARESOUTSTANDING" hidden="1">"SHARESOUTSTANDING"</definedName>
    <definedName name="SHORT_TERM_INVEST" hidden="1">"SHORT_TERM_INVEST"</definedName>
    <definedName name="STATE" hidden="1">"STATE"</definedName>
    <definedName name="STOCK_BASED" hidden="1">"STOCK_BASED"</definedName>
    <definedName name="syn">Merger!$Q$72</definedName>
    <definedName name="t">'Tar Proj'!$B$2</definedName>
    <definedName name="tar">Inputs!$L$9</definedName>
    <definedName name="tarnetdebt">'Tar Spread Cover'!$E$43</definedName>
    <definedName name="tarnetdebtfn">'Tar Spread Cover'!$B$45</definedName>
    <definedName name="tbs">'Tar Balance Sheet'!$B$2</definedName>
    <definedName name="tcap">'Tar Cap Summary'!$B$2</definedName>
    <definedName name="tcase">'Tar Proj'!$C$244</definedName>
    <definedName name="tcfs">'Tar Cash Flow'!$B$2</definedName>
    <definedName name="tcname">'Tar Proj'!$D$244</definedName>
    <definedName name="tdate">Inputs!$E$5</definedName>
    <definedName name="tdcf">'Tar DCF'!$B$2</definedName>
    <definedName name="tdiscconvention">'Tar DCF'!$E$53</definedName>
    <definedName name="tdshares">Inputs!$P$17</definedName>
    <definedName name="TemplateDate">32967</definedName>
    <definedName name="texercise">Inputs!$P$15</definedName>
    <definedName name="texit">'Tar LBO Tables'!$F$11</definedName>
    <definedName name="tfcf">'Tar Sum Financials'!$C$63</definedName>
    <definedName name="tfy">Inputs!$L$13</definedName>
    <definedName name="tfye">Inputs!$L$14</definedName>
    <definedName name="tfyshares">Inputs!$Q$13</definedName>
    <definedName name="tis">'Tar Income Statement'!$B$2</definedName>
    <definedName name="tlabel1">'Tar Sum Financials'!$D$57</definedName>
    <definedName name="tlabel2">'Tar Sum Financials'!$F$57</definedName>
    <definedName name="tlabel3">'Tar Sum Financials'!$L$57</definedName>
    <definedName name="tlabelswitch">'Tar Sum Financials'!$C$57</definedName>
    <definedName name="tlbo">'Tar LBO'!$B$2</definedName>
    <definedName name="tlboprice">'Tar LBO Tables'!$F$9</definedName>
    <definedName name="tltg">Inputs!$L$21</definedName>
    <definedName name="tltmdate">Inputs!$L$16</definedName>
    <definedName name="toptions">Inputs!$P$14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RECEIV" hidden="1">"TOTAL_RECEIV"</definedName>
    <definedName name="TOTAL_REVENUE" hidden="1">"TOTAL_REVENUE"</definedName>
    <definedName name="TOTAL_SPECIAL" hidden="1">"TOTAL_SPECIAL"</definedName>
    <definedName name="tprice">Inputs!$P$9</definedName>
    <definedName name="tquarter">Inputs!$D$49</definedName>
    <definedName name="TRADE_AR" hidden="1">"TRADE_AR"</definedName>
    <definedName name="TREASURY_STOCK" hidden="1">"TREASURY_STOCK"</definedName>
    <definedName name="trsu">Inputs!$P$19</definedName>
    <definedName name="tshares">Inputs!$P$13</definedName>
    <definedName name="tspread">'Tar Spread Cover'!$B$2</definedName>
    <definedName name="tsum">'Tar Sum Financials'!$B$2</definedName>
    <definedName name="ttable1">'Tar LBO Tables'!$E$21</definedName>
    <definedName name="ttable2">'Tar LBO Tables'!$E$33</definedName>
    <definedName name="ttax">Inputs!$L$20</definedName>
    <definedName name="tticker">Inputs!$L$10</definedName>
    <definedName name="twc">'Tar Working Capital'!$B$2</definedName>
    <definedName name="UNREALIZED_GAIN" hidden="1">"UNREALIZED_GAIN"</definedName>
    <definedName name="UNUSUAL_EXP" hidden="1">"UNUSUAL_EXP"</definedName>
    <definedName name="US_GAAP" hidden="1">"US_GAAP"</definedName>
    <definedName name="VOLUME" hidden="1">"VOLUME"</definedName>
    <definedName name="xxx" localSheetId="26" hidden="1">#REF!</definedName>
    <definedName name="xxx" localSheetId="30" hidden="1">#REF!</definedName>
    <definedName name="xxx" localSheetId="28" hidden="1">#REF!</definedName>
    <definedName name="xxx" localSheetId="27" hidden="1">#REF!</definedName>
    <definedName name="xxx" hidden="1">#REF!</definedName>
    <definedName name="xxxx" hidden="1">'[1]op inc as pct t'!$K$11:$K$17</definedName>
    <definedName name="YEARHIGH" hidden="1">"YEARHIGH"</definedName>
    <definedName name="YEARLOW" hidden="1">"YEARLOW"</definedName>
    <definedName name="Z_9AE38660_BF5A_49A3_9FC0_AD5890AFC019_.wvu.PrintArea" localSheetId="2" hidden="1">'Acq ~&gt;'!$B$2:$Q$38</definedName>
    <definedName name="Z_9AE38660_BF5A_49A3_9FC0_AD5890AFC019_.wvu.PrintArea" localSheetId="5" hidden="1">'Acq Balance Sheet'!$B$2:$O$36</definedName>
    <definedName name="Z_9AE38660_BF5A_49A3_9FC0_AD5890AFC019_.wvu.PrintArea" localSheetId="9" hidden="1">'Acq Cap Summary'!$B$2:$L$22</definedName>
    <definedName name="Z_9AE38660_BF5A_49A3_9FC0_AD5890AFC019_.wvu.PrintArea" localSheetId="7" hidden="1">'Acq Cash Flow'!$B$2:$L$33</definedName>
    <definedName name="Z_9AE38660_BF5A_49A3_9FC0_AD5890AFC019_.wvu.PrintArea" localSheetId="10" hidden="1">'Acq DCF'!$B$2:$O$46</definedName>
    <definedName name="Z_9AE38660_BF5A_49A3_9FC0_AD5890AFC019_.wvu.PrintArea" localSheetId="4" hidden="1">'Acq Income Statement'!$B$2:$U$66</definedName>
    <definedName name="Z_9AE38660_BF5A_49A3_9FC0_AD5890AFC019_.wvu.PrintArea" localSheetId="23" hidden="1">'Acq LBO'!$B$2:$Q$345</definedName>
    <definedName name="Z_9AE38660_BF5A_49A3_9FC0_AD5890AFC019_.wvu.PrintArea" localSheetId="26" hidden="1">'Acq LBO Tables'!$C$2:$Q$39</definedName>
    <definedName name="Z_9AE38660_BF5A_49A3_9FC0_AD5890AFC019_.wvu.PrintArea" localSheetId="21" hidden="1">'Acq Proj'!$B$2:$P$241</definedName>
    <definedName name="Z_9AE38660_BF5A_49A3_9FC0_AD5890AFC019_.wvu.PrintArea" localSheetId="3" hidden="1">'Acq Spread Cover'!$B$2:$O$41</definedName>
    <definedName name="Z_9AE38660_BF5A_49A3_9FC0_AD5890AFC019_.wvu.PrintArea" localSheetId="8" hidden="1">'Acq Sum Financials'!$B$2:$AL$49</definedName>
    <definedName name="Z_9AE38660_BF5A_49A3_9FC0_AD5890AFC019_.wvu.PrintArea" localSheetId="6" hidden="1">'Acq Working Capital'!$B$2:$R$30</definedName>
    <definedName name="Z_9AE38660_BF5A_49A3_9FC0_AD5890AFC019_.wvu.PrintArea" localSheetId="34" hidden="1">'Hist Contrib'!$B$2:$N$23</definedName>
    <definedName name="Z_9AE38660_BF5A_49A3_9FC0_AD5890AFC019_.wvu.PrintArea" localSheetId="1" hidden="1">Inputs!$B$2:$Q$34</definedName>
    <definedName name="Z_9AE38660_BF5A_49A3_9FC0_AD5890AFC019_.wvu.PrintArea" localSheetId="25" hidden="1">Merger!$B$2:$P$512</definedName>
    <definedName name="Z_9AE38660_BF5A_49A3_9FC0_AD5890AFC019_.wvu.PrintArea" localSheetId="29" hidden="1">'Merger Check'!$B$2:$O$49</definedName>
    <definedName name="Z_9AE38660_BF5A_49A3_9FC0_AD5890AFC019_.wvu.PrintArea" localSheetId="31" hidden="1">'Merger Outputs ~&gt;'!$B$2:$Q$38</definedName>
    <definedName name="Z_9AE38660_BF5A_49A3_9FC0_AD5890AFC019_.wvu.PrintArea" localSheetId="30" hidden="1">'Merger Sensitivities'!$B$2:$AA$57</definedName>
    <definedName name="Z_9AE38660_BF5A_49A3_9FC0_AD5890AFC019_.wvu.PrintArea" localSheetId="32" hidden="1">'Merger Summary'!$B$2:$AC$53</definedName>
    <definedName name="Z_9AE38660_BF5A_49A3_9FC0_AD5890AFC019_.wvu.PrintArea" localSheetId="28" hidden="1">'Merger Tables'!$C$2:$Q$55</definedName>
    <definedName name="Z_9AE38660_BF5A_49A3_9FC0_AD5890AFC019_.wvu.PrintArea" localSheetId="20" hidden="1">'Models ~&gt;'!$B$2:$Q$38</definedName>
    <definedName name="Z_9AE38660_BF5A_49A3_9FC0_AD5890AFC019_.wvu.PrintArea" localSheetId="35" hidden="1">'Proj Contrib'!$B$2:$N$25</definedName>
    <definedName name="Z_9AE38660_BF5A_49A3_9FC0_AD5890AFC019_.wvu.PrintArea" localSheetId="33" hidden="1">'Side by Side'!$B$2:$S$33</definedName>
    <definedName name="Z_9AE38660_BF5A_49A3_9FC0_AD5890AFC019_.wvu.PrintArea" localSheetId="11" hidden="1">'Tar ~&gt;'!$B$2:$Q$38</definedName>
    <definedName name="Z_9AE38660_BF5A_49A3_9FC0_AD5890AFC019_.wvu.PrintArea" localSheetId="14" hidden="1">'Tar Balance Sheet'!$B$2:$O$36</definedName>
    <definedName name="Z_9AE38660_BF5A_49A3_9FC0_AD5890AFC019_.wvu.PrintArea" localSheetId="18" hidden="1">'Tar Cap Summary'!$B$2:$L$22</definedName>
    <definedName name="Z_9AE38660_BF5A_49A3_9FC0_AD5890AFC019_.wvu.PrintArea" localSheetId="16" hidden="1">'Tar Cash Flow'!$B$2:$L$33</definedName>
    <definedName name="Z_9AE38660_BF5A_49A3_9FC0_AD5890AFC019_.wvu.PrintArea" localSheetId="19" hidden="1">'Tar DCF'!$B$2:$O$46</definedName>
    <definedName name="Z_9AE38660_BF5A_49A3_9FC0_AD5890AFC019_.wvu.PrintArea" localSheetId="13" hidden="1">'Tar Income Statement'!$B$2:$U$66</definedName>
    <definedName name="Z_9AE38660_BF5A_49A3_9FC0_AD5890AFC019_.wvu.PrintArea" localSheetId="24" hidden="1">'Tar LBO'!$B$2:$Q$345</definedName>
    <definedName name="Z_9AE38660_BF5A_49A3_9FC0_AD5890AFC019_.wvu.PrintArea" localSheetId="27" hidden="1">'Tar LBO Tables'!$C$2:$Q$39</definedName>
    <definedName name="Z_9AE38660_BF5A_49A3_9FC0_AD5890AFC019_.wvu.PrintArea" localSheetId="22" hidden="1">'Tar Proj'!$B$2:$Q$306</definedName>
    <definedName name="Z_9AE38660_BF5A_49A3_9FC0_AD5890AFC019_.wvu.PrintArea" localSheetId="12" hidden="1">'Tar Spread Cover'!$B$2:$O$41</definedName>
    <definedName name="Z_9AE38660_BF5A_49A3_9FC0_AD5890AFC019_.wvu.PrintArea" localSheetId="17" hidden="1">'Tar Sum Financials'!$B$2:$AL$49</definedName>
    <definedName name="Z_9AE38660_BF5A_49A3_9FC0_AD5890AFC019_.wvu.PrintArea" localSheetId="15" hidden="1">'Tar Working Capital'!$B$2:$R$30</definedName>
    <definedName name="Z_9AE38660_BF5A_49A3_9FC0_AD5890AFC019_.wvu.PrintTitles" localSheetId="23" hidden="1">'Acq LBO'!$2:$5</definedName>
    <definedName name="Z_9AE38660_BF5A_49A3_9FC0_AD5890AFC019_.wvu.PrintTitles" localSheetId="26" hidden="1">'Acq LBO Tables'!$2:$5</definedName>
    <definedName name="Z_9AE38660_BF5A_49A3_9FC0_AD5890AFC019_.wvu.PrintTitles" localSheetId="21" hidden="1">'Acq Proj'!$2:$5</definedName>
    <definedName name="Z_9AE38660_BF5A_49A3_9FC0_AD5890AFC019_.wvu.PrintTitles" localSheetId="25" hidden="1">Merger!$2:$5</definedName>
    <definedName name="Z_9AE38660_BF5A_49A3_9FC0_AD5890AFC019_.wvu.PrintTitles" localSheetId="28" hidden="1">'Merger Tables'!$2:$5</definedName>
    <definedName name="Z_9AE38660_BF5A_49A3_9FC0_AD5890AFC019_.wvu.PrintTitles" localSheetId="24" hidden="1">'Tar LBO'!$2:$5</definedName>
    <definedName name="Z_9AE38660_BF5A_49A3_9FC0_AD5890AFC019_.wvu.PrintTitles" localSheetId="27" hidden="1">'Tar LBO Tables'!$2:$5</definedName>
    <definedName name="Z_9AE38660_BF5A_49A3_9FC0_AD5890AFC019_.wvu.PrintTitles" localSheetId="22" hidden="1">'Tar Proj'!$2:$5</definedName>
    <definedName name="Z_9AE38660_BF5A_49A3_9FC0_AD5890AFC019_.wvu.Rows" localSheetId="26" hidden="1">'Acq LBO Tables'!#REF!,'Acq LBO Tables'!#REF!</definedName>
    <definedName name="Z_9AE38660_BF5A_49A3_9FC0_AD5890AFC019_.wvu.Rows" localSheetId="21" hidden="1">'Acq Proj'!#REF!</definedName>
    <definedName name="Z_9AE38660_BF5A_49A3_9FC0_AD5890AFC019_.wvu.Rows" localSheetId="8" hidden="1">'Acq Sum Financials'!#REF!</definedName>
    <definedName name="Z_9AE38660_BF5A_49A3_9FC0_AD5890AFC019_.wvu.Rows" localSheetId="25" hidden="1">Merger!#REF!,Merger!#REF!</definedName>
    <definedName name="Z_9AE38660_BF5A_49A3_9FC0_AD5890AFC019_.wvu.Rows" localSheetId="28" hidden="1">'Merger Tables'!$20:$20,'Merger Tables'!$40:$40</definedName>
    <definedName name="Z_9AE38660_BF5A_49A3_9FC0_AD5890AFC019_.wvu.Rows" localSheetId="27" hidden="1">'Tar LBO Tables'!#REF!,'Tar LBO Tables'!#REF!</definedName>
    <definedName name="Z_9AE38660_BF5A_49A3_9FC0_AD5890AFC019_.wvu.Rows" localSheetId="22" hidden="1">'Tar Proj'!#REF!</definedName>
    <definedName name="Z_9AE38660_BF5A_49A3_9FC0_AD5890AFC019_.wvu.Rows" localSheetId="17" hidden="1">'Tar Sum Financials'!#REF!</definedName>
  </definedNames>
  <calcPr calcId="145621" calcMode="manual" iterate="1" calcCompleted="0" calcOnSave="0"/>
  <customWorkbookViews>
    <customWorkbookView name="Michael Stack - Personal View" guid="{9AE38660-BF5A-49A3-9FC0-AD5890AFC019}" mergeInterval="0" personalView="1" maximized="1" windowWidth="1276" windowHeight="827" tabRatio="830" activeSheetId="36"/>
  </customWorkbookViews>
</workbook>
</file>

<file path=xl/calcChain.xml><?xml version="1.0" encoding="utf-8"?>
<calcChain xmlns="http://schemas.openxmlformats.org/spreadsheetml/2006/main">
  <c r="C312" i="38" l="1"/>
  <c r="H103" i="38"/>
  <c r="H93" i="38"/>
  <c r="M234" i="39"/>
  <c r="M264" i="39"/>
  <c r="M11" i="42"/>
  <c r="M12" i="42"/>
  <c r="Q248" i="39"/>
  <c r="P248" i="39"/>
  <c r="O248" i="39"/>
  <c r="N248" i="39"/>
  <c r="L284" i="36"/>
  <c r="C66" i="76"/>
  <c r="C78" i="76" s="1"/>
  <c r="B66" i="76"/>
  <c r="B78" i="76" s="1"/>
  <c r="C65" i="76"/>
  <c r="B65" i="76"/>
  <c r="B77" i="76" s="1"/>
  <c r="C64" i="76"/>
  <c r="C76" i="76" s="1"/>
  <c r="B64" i="76"/>
  <c r="B76" i="76" s="1"/>
  <c r="C63" i="76"/>
  <c r="C75" i="76" s="1"/>
  <c r="B63" i="76"/>
  <c r="B75" i="76" s="1"/>
  <c r="C62" i="76"/>
  <c r="C74" i="76" s="1"/>
  <c r="B62" i="76"/>
  <c r="B74" i="76" s="1"/>
  <c r="C61" i="76"/>
  <c r="B61" i="76"/>
  <c r="V18" i="76"/>
  <c r="N18" i="76"/>
  <c r="M18" i="76"/>
  <c r="L18" i="76"/>
  <c r="K18" i="76"/>
  <c r="J18" i="76"/>
  <c r="V17" i="76"/>
  <c r="N17" i="76"/>
  <c r="M17" i="76"/>
  <c r="L17" i="76"/>
  <c r="K17" i="76"/>
  <c r="J17" i="76"/>
  <c r="V12" i="76"/>
  <c r="V13" i="76" s="1"/>
  <c r="V8" i="76"/>
  <c r="V9" i="76" s="1"/>
  <c r="B4" i="76"/>
  <c r="N8" i="76"/>
  <c r="M8" i="76"/>
  <c r="L8" i="76"/>
  <c r="K8" i="76"/>
  <c r="J8" i="76"/>
  <c r="J9" i="76" s="1"/>
  <c r="B8" i="76"/>
  <c r="B2" i="76"/>
  <c r="B3" i="76"/>
  <c r="C14" i="76"/>
  <c r="H22" i="76"/>
  <c r="G23" i="76"/>
  <c r="H23" i="76" s="1"/>
  <c r="N23" i="76" s="1"/>
  <c r="N35" i="76" s="1"/>
  <c r="H34" i="76"/>
  <c r="K34" i="76" s="1"/>
  <c r="J34" i="76" s="1"/>
  <c r="C53" i="76"/>
  <c r="B45" i="76" s="1"/>
  <c r="F53" i="76"/>
  <c r="J54" i="76"/>
  <c r="K54" i="76" s="1"/>
  <c r="L54" i="76" s="1"/>
  <c r="M54" i="76" s="1"/>
  <c r="J55" i="76"/>
  <c r="K55" i="76" s="1"/>
  <c r="L55" i="76" s="1"/>
  <c r="M55" i="76" s="1"/>
  <c r="N55" i="76" s="1"/>
  <c r="J23" i="76" l="1"/>
  <c r="J35" i="76" s="1"/>
  <c r="I23" i="76"/>
  <c r="O23" i="76" s="1"/>
  <c r="M9" i="76"/>
  <c r="L53" i="76"/>
  <c r="K53" i="76"/>
  <c r="J53" i="76"/>
  <c r="R54" i="76" s="1"/>
  <c r="G34" i="76"/>
  <c r="I34" i="76"/>
  <c r="M23" i="76"/>
  <c r="M35" i="76" s="1"/>
  <c r="L9" i="76"/>
  <c r="K9" i="76"/>
  <c r="B73" i="76"/>
  <c r="B79" i="76" s="1"/>
  <c r="B67" i="76"/>
  <c r="C67" i="76" s="1"/>
  <c r="M53" i="76"/>
  <c r="N54" i="76"/>
  <c r="N53" i="76" s="1"/>
  <c r="H35" i="76"/>
  <c r="Q23" i="76"/>
  <c r="V14" i="76"/>
  <c r="V15" i="76" s="1"/>
  <c r="N9" i="76"/>
  <c r="C77" i="76"/>
  <c r="C73" i="76"/>
  <c r="N34" i="76"/>
  <c r="K23" i="76"/>
  <c r="I22" i="76"/>
  <c r="K22" i="76"/>
  <c r="L34" i="76"/>
  <c r="G22" i="76"/>
  <c r="G35" i="76"/>
  <c r="P23" i="76"/>
  <c r="R23" i="76" l="1"/>
  <c r="L23" i="76"/>
  <c r="L35" i="76" s="1"/>
  <c r="I35" i="76"/>
  <c r="R55" i="76"/>
  <c r="Q35" i="76"/>
  <c r="C79" i="76"/>
  <c r="K35" i="76"/>
  <c r="O35" i="76"/>
  <c r="Q34" i="76"/>
  <c r="M34" i="76"/>
  <c r="O34" i="76"/>
  <c r="P35" i="76"/>
  <c r="J22" i="76"/>
  <c r="L22" i="76"/>
  <c r="N22" i="76"/>
  <c r="R35" i="76" l="1"/>
  <c r="P34" i="76"/>
  <c r="R34" i="76"/>
  <c r="Q22" i="76"/>
  <c r="M22" i="76"/>
  <c r="O22" i="76"/>
  <c r="R22" i="76" l="1"/>
  <c r="P22" i="76"/>
  <c r="M286" i="37" l="1"/>
  <c r="M218" i="37"/>
  <c r="B61" i="75"/>
  <c r="B66" i="75"/>
  <c r="B78" i="75" s="1"/>
  <c r="C66" i="75"/>
  <c r="C78" i="75" s="1"/>
  <c r="C65" i="75"/>
  <c r="B65" i="75"/>
  <c r="B77" i="75" s="1"/>
  <c r="C64" i="75"/>
  <c r="C76" i="75" s="1"/>
  <c r="B64" i="75"/>
  <c r="B76" i="75" s="1"/>
  <c r="C63" i="75"/>
  <c r="C75" i="75" s="1"/>
  <c r="B63" i="75"/>
  <c r="B75" i="75" s="1"/>
  <c r="C62" i="75"/>
  <c r="C74" i="75" s="1"/>
  <c r="B62" i="75"/>
  <c r="B74" i="75" s="1"/>
  <c r="C61" i="75"/>
  <c r="B8" i="75"/>
  <c r="B4" i="75"/>
  <c r="B2" i="75"/>
  <c r="J55" i="75"/>
  <c r="K55" i="75" s="1"/>
  <c r="L55" i="75" s="1"/>
  <c r="M55" i="75" s="1"/>
  <c r="N55" i="75" s="1"/>
  <c r="J54" i="75"/>
  <c r="F53" i="75"/>
  <c r="C53" i="75"/>
  <c r="H34" i="75"/>
  <c r="I34" i="75" s="1"/>
  <c r="G23" i="75"/>
  <c r="M23" i="75" s="1"/>
  <c r="H22" i="75"/>
  <c r="G22" i="75" s="1"/>
  <c r="C14" i="75"/>
  <c r="B3" i="75"/>
  <c r="K22" i="75" l="1"/>
  <c r="L22" i="75" s="1"/>
  <c r="B67" i="75"/>
  <c r="C67" i="75" s="1"/>
  <c r="I22" i="75"/>
  <c r="M35" i="75"/>
  <c r="B45" i="75"/>
  <c r="J53" i="75"/>
  <c r="R54" i="75" s="1"/>
  <c r="K54" i="75"/>
  <c r="G35" i="75"/>
  <c r="J23" i="75"/>
  <c r="H23" i="75"/>
  <c r="P23" i="75"/>
  <c r="K34" i="75"/>
  <c r="B73" i="75"/>
  <c r="G34" i="75"/>
  <c r="C73" i="75"/>
  <c r="C77" i="75"/>
  <c r="I48" i="37"/>
  <c r="J48" i="37"/>
  <c r="K48" i="37"/>
  <c r="AB27" i="30"/>
  <c r="K175" i="36"/>
  <c r="Q160" i="36"/>
  <c r="P160" i="36"/>
  <c r="O160" i="36"/>
  <c r="N160" i="36"/>
  <c r="M160" i="36"/>
  <c r="L160" i="36"/>
  <c r="L159" i="36"/>
  <c r="L158" i="36"/>
  <c r="L159" i="37"/>
  <c r="K12" i="21"/>
  <c r="K17" i="21" s="1"/>
  <c r="K78" i="37"/>
  <c r="H35" i="39"/>
  <c r="L10" i="41"/>
  <c r="C22" i="69"/>
  <c r="C23" i="69" s="1"/>
  <c r="C24" i="69" s="1"/>
  <c r="C25" i="69" s="1"/>
  <c r="C26" i="69" s="1"/>
  <c r="C27" i="69" s="1"/>
  <c r="C28" i="69" s="1"/>
  <c r="C29" i="69" s="1"/>
  <c r="C30" i="69" s="1"/>
  <c r="C31" i="69" s="1"/>
  <c r="C32" i="69" s="1"/>
  <c r="M247" i="37"/>
  <c r="L247" i="37"/>
  <c r="G21" i="73"/>
  <c r="H21" i="73" s="1"/>
  <c r="I21" i="73" s="1"/>
  <c r="J21" i="73" s="1"/>
  <c r="G23" i="19"/>
  <c r="H59" i="19"/>
  <c r="F28" i="30"/>
  <c r="H21" i="72"/>
  <c r="I21" i="72" s="1"/>
  <c r="J21" i="72" s="1"/>
  <c r="L28" i="37"/>
  <c r="M28" i="37" s="1"/>
  <c r="N28" i="37" s="1"/>
  <c r="O28" i="37" s="1"/>
  <c r="P28" i="37" s="1"/>
  <c r="Q28" i="37" s="1"/>
  <c r="K48" i="36"/>
  <c r="J48" i="36"/>
  <c r="I48" i="36"/>
  <c r="L28" i="36"/>
  <c r="M28" i="36" s="1"/>
  <c r="N28" i="36" s="1"/>
  <c r="O28" i="36" s="1"/>
  <c r="P28" i="36" s="1"/>
  <c r="Q28" i="36" s="1"/>
  <c r="M15" i="23"/>
  <c r="I10" i="24"/>
  <c r="K29" i="21"/>
  <c r="N29" i="21"/>
  <c r="K21" i="23"/>
  <c r="J21" i="23"/>
  <c r="I21" i="23"/>
  <c r="H21" i="23"/>
  <c r="K39" i="23"/>
  <c r="H39" i="23"/>
  <c r="K44" i="23"/>
  <c r="J44" i="23"/>
  <c r="I44" i="23"/>
  <c r="K43" i="23"/>
  <c r="J43" i="23"/>
  <c r="I43" i="23"/>
  <c r="K42" i="23"/>
  <c r="J42" i="23"/>
  <c r="I42" i="23"/>
  <c r="K41" i="23"/>
  <c r="J41" i="23"/>
  <c r="I41" i="23"/>
  <c r="K40" i="23"/>
  <c r="J40" i="23"/>
  <c r="I40" i="23"/>
  <c r="J39" i="23"/>
  <c r="I39" i="23"/>
  <c r="H44" i="23"/>
  <c r="G44" i="23" s="1"/>
  <c r="H43" i="23"/>
  <c r="G43" i="23" s="1"/>
  <c r="H42" i="23"/>
  <c r="G42" i="23" s="1"/>
  <c r="H41" i="23"/>
  <c r="G41" i="23" s="1"/>
  <c r="H40" i="23"/>
  <c r="G40" i="23" s="1"/>
  <c r="G39" i="23"/>
  <c r="J22" i="75" l="1"/>
  <c r="N22" i="75"/>
  <c r="O22" i="75" s="1"/>
  <c r="K23" i="75"/>
  <c r="H35" i="75"/>
  <c r="Q23" i="75"/>
  <c r="I23" i="75"/>
  <c r="N23" i="75"/>
  <c r="B79" i="75"/>
  <c r="C79" i="75" s="1"/>
  <c r="N34" i="75"/>
  <c r="L34" i="75"/>
  <c r="J34" i="75"/>
  <c r="P35" i="75"/>
  <c r="K53" i="75"/>
  <c r="L54" i="75"/>
  <c r="J35" i="75"/>
  <c r="J22" i="21"/>
  <c r="I22" i="21" s="1"/>
  <c r="H22" i="21" s="1"/>
  <c r="G22" i="21" s="1"/>
  <c r="J21" i="21"/>
  <c r="I21" i="21" s="1"/>
  <c r="H21" i="21" s="1"/>
  <c r="G21" i="21" s="1"/>
  <c r="J24" i="21"/>
  <c r="I24" i="21" s="1"/>
  <c r="H24" i="21" s="1"/>
  <c r="G24" i="21" s="1"/>
  <c r="J16" i="21"/>
  <c r="I16" i="21" s="1"/>
  <c r="H16" i="21" s="1"/>
  <c r="G16" i="21" s="1"/>
  <c r="J14" i="21"/>
  <c r="I14" i="21" s="1"/>
  <c r="H14" i="21" s="1"/>
  <c r="G14" i="21" s="1"/>
  <c r="J13" i="21"/>
  <c r="I13" i="21" s="1"/>
  <c r="H13" i="21" s="1"/>
  <c r="G13" i="21" s="1"/>
  <c r="J11" i="21"/>
  <c r="I11" i="21" s="1"/>
  <c r="H11" i="21" s="1"/>
  <c r="J10" i="21"/>
  <c r="I10" i="21" s="1"/>
  <c r="H10" i="21" s="1"/>
  <c r="G10" i="21" s="1"/>
  <c r="J9" i="21"/>
  <c r="I9" i="21" s="1"/>
  <c r="H9" i="21" s="1"/>
  <c r="G9" i="21" s="1"/>
  <c r="I113" i="19"/>
  <c r="J113" i="19" s="1"/>
  <c r="K113" i="19" s="1"/>
  <c r="L113" i="19" s="1"/>
  <c r="M22" i="75" l="1"/>
  <c r="Q22" i="75"/>
  <c r="L53" i="75"/>
  <c r="M54" i="75"/>
  <c r="Q35" i="75"/>
  <c r="K35" i="75"/>
  <c r="Q34" i="75"/>
  <c r="O34" i="75"/>
  <c r="M34" i="75"/>
  <c r="N35" i="75"/>
  <c r="L23" i="75"/>
  <c r="O23" i="75"/>
  <c r="R23" i="75"/>
  <c r="I35" i="75"/>
  <c r="O30" i="18"/>
  <c r="N29" i="18"/>
  <c r="O29" i="18" s="1"/>
  <c r="O28" i="18"/>
  <c r="O27" i="18"/>
  <c r="O26" i="18"/>
  <c r="N29" i="6"/>
  <c r="M29" i="6"/>
  <c r="I11" i="9"/>
  <c r="P21" i="8"/>
  <c r="M247" i="36"/>
  <c r="O247" i="36"/>
  <c r="N247" i="36"/>
  <c r="L247" i="36"/>
  <c r="N12" i="6"/>
  <c r="N17" i="6" s="1"/>
  <c r="M12" i="6"/>
  <c r="M17" i="6" s="1"/>
  <c r="R22" i="75" l="1"/>
  <c r="P22" i="75"/>
  <c r="R34" i="75"/>
  <c r="P34" i="75"/>
  <c r="R35" i="75"/>
  <c r="M53" i="75"/>
  <c r="N54" i="75"/>
  <c r="N53" i="75" s="1"/>
  <c r="L35" i="75"/>
  <c r="O35" i="75"/>
  <c r="N29" i="3"/>
  <c r="O29" i="3" s="1"/>
  <c r="O30" i="3"/>
  <c r="O28" i="3"/>
  <c r="O27" i="3"/>
  <c r="O26" i="3"/>
  <c r="N45" i="8"/>
  <c r="M45" i="8"/>
  <c r="P44" i="8"/>
  <c r="G45" i="8"/>
  <c r="P16" i="8"/>
  <c r="K23" i="4"/>
  <c r="J23" i="4" s="1"/>
  <c r="I23" i="4" s="1"/>
  <c r="H23" i="4" s="1"/>
  <c r="F41" i="1"/>
  <c r="R55" i="75" l="1"/>
  <c r="B2" i="7"/>
  <c r="D10" i="46" l="1"/>
  <c r="D14" i="46" s="1"/>
  <c r="D18" i="46" s="1"/>
  <c r="D22" i="46" s="1"/>
  <c r="D9" i="46"/>
  <c r="D13" i="46" s="1"/>
  <c r="D17" i="46" s="1"/>
  <c r="D21" i="46" s="1"/>
  <c r="F7" i="46"/>
  <c r="I7" i="46" s="1"/>
  <c r="L7" i="46" s="1"/>
  <c r="B3" i="46"/>
  <c r="B2" i="46"/>
  <c r="D10" i="45"/>
  <c r="D14" i="45" s="1"/>
  <c r="D18" i="45" s="1"/>
  <c r="D22" i="45" s="1"/>
  <c r="D9" i="45"/>
  <c r="D13" i="45" s="1"/>
  <c r="D17" i="45" s="1"/>
  <c r="D21" i="45" s="1"/>
  <c r="L7" i="45"/>
  <c r="I7" i="45" s="1"/>
  <c r="F7" i="45" s="1"/>
  <c r="B3" i="45"/>
  <c r="B2" i="45"/>
  <c r="G10" i="41"/>
  <c r="B10" i="41"/>
  <c r="L7" i="41"/>
  <c r="G7" i="41"/>
  <c r="B3" i="41"/>
  <c r="B2" i="41"/>
  <c r="K40" i="71"/>
  <c r="Z33" i="71"/>
  <c r="Y33" i="71"/>
  <c r="X33" i="71"/>
  <c r="W33" i="71"/>
  <c r="U33" i="71"/>
  <c r="T33" i="71"/>
  <c r="S33" i="71"/>
  <c r="R33" i="71"/>
  <c r="P33" i="71"/>
  <c r="O33" i="71"/>
  <c r="N33" i="71"/>
  <c r="M33" i="71"/>
  <c r="B25" i="71"/>
  <c r="J25" i="71" s="1"/>
  <c r="B24" i="71"/>
  <c r="K48" i="71" s="1"/>
  <c r="B23" i="71"/>
  <c r="K47" i="71" s="1"/>
  <c r="B22" i="71"/>
  <c r="H21" i="71"/>
  <c r="B21" i="71"/>
  <c r="K20" i="71"/>
  <c r="B20" i="71"/>
  <c r="K44" i="71" s="1"/>
  <c r="B19" i="71"/>
  <c r="K43" i="71" s="1"/>
  <c r="B18" i="71"/>
  <c r="B17" i="71"/>
  <c r="K17" i="71" s="1"/>
  <c r="B16" i="71"/>
  <c r="B15" i="71"/>
  <c r="B14" i="71"/>
  <c r="K38" i="71" s="1"/>
  <c r="K13" i="71"/>
  <c r="J13" i="71"/>
  <c r="H13" i="71"/>
  <c r="F13" i="71"/>
  <c r="B13" i="71"/>
  <c r="K12" i="71"/>
  <c r="J12" i="71"/>
  <c r="H12" i="71"/>
  <c r="F12" i="71"/>
  <c r="D12" i="71"/>
  <c r="B12" i="71"/>
  <c r="J11" i="71"/>
  <c r="D11" i="71"/>
  <c r="B11" i="71"/>
  <c r="D10" i="71"/>
  <c r="U8" i="71"/>
  <c r="T8" i="71"/>
  <c r="T20" i="71" s="1"/>
  <c r="S8" i="71"/>
  <c r="S19" i="71" s="1"/>
  <c r="R8" i="71"/>
  <c r="R15" i="71" s="1"/>
  <c r="P8" i="71"/>
  <c r="O8" i="71"/>
  <c r="O14" i="71" s="1"/>
  <c r="N8" i="71"/>
  <c r="N15" i="71" s="1"/>
  <c r="M8" i="71"/>
  <c r="K8" i="71"/>
  <c r="J8" i="71"/>
  <c r="J19" i="71" s="1"/>
  <c r="H8" i="71"/>
  <c r="H14" i="71" s="1"/>
  <c r="F8" i="71"/>
  <c r="F15" i="71" s="1"/>
  <c r="D8" i="71"/>
  <c r="C67" i="40"/>
  <c r="C62" i="40"/>
  <c r="B55" i="40"/>
  <c r="B54" i="40"/>
  <c r="B53" i="40"/>
  <c r="B44" i="40"/>
  <c r="B43" i="40"/>
  <c r="B42" i="40"/>
  <c r="B41" i="40"/>
  <c r="B40" i="40"/>
  <c r="B39" i="40"/>
  <c r="B31" i="40"/>
  <c r="Q23" i="40"/>
  <c r="Q22" i="40"/>
  <c r="B14" i="40"/>
  <c r="F13" i="40"/>
  <c r="B13" i="63"/>
  <c r="B25" i="42"/>
  <c r="B18" i="42"/>
  <c r="B16" i="42"/>
  <c r="Q15" i="42"/>
  <c r="P15" i="42"/>
  <c r="O15" i="42"/>
  <c r="N15" i="42"/>
  <c r="M15" i="42"/>
  <c r="B15" i="42"/>
  <c r="B14" i="42"/>
  <c r="Q13" i="42"/>
  <c r="P13" i="42"/>
  <c r="O13" i="42"/>
  <c r="N13" i="42"/>
  <c r="M13" i="42"/>
  <c r="B13" i="42"/>
  <c r="Q12" i="42"/>
  <c r="P12" i="42"/>
  <c r="O12" i="42"/>
  <c r="N12" i="42"/>
  <c r="B12" i="42"/>
  <c r="B11" i="42"/>
  <c r="B8" i="42"/>
  <c r="B2" i="42"/>
  <c r="M54" i="69"/>
  <c r="R54" i="69" s="1"/>
  <c r="H54" i="69"/>
  <c r="C52" i="69"/>
  <c r="C51" i="69"/>
  <c r="C50" i="69"/>
  <c r="C49" i="69"/>
  <c r="C48" i="69"/>
  <c r="C47" i="69"/>
  <c r="C46" i="69"/>
  <c r="C45" i="69"/>
  <c r="C44" i="69"/>
  <c r="C43" i="69"/>
  <c r="C42" i="69"/>
  <c r="C41" i="69"/>
  <c r="C39" i="69"/>
  <c r="N38" i="69"/>
  <c r="I38" i="69"/>
  <c r="D38" i="69"/>
  <c r="C38" i="69"/>
  <c r="I37" i="69"/>
  <c r="N37" i="69" s="1"/>
  <c r="C37" i="69"/>
  <c r="M34" i="69"/>
  <c r="R34" i="69" s="1"/>
  <c r="E34" i="69"/>
  <c r="H27" i="71" s="1"/>
  <c r="A23" i="69"/>
  <c r="B23" i="69" s="1"/>
  <c r="B22" i="69"/>
  <c r="N18" i="69"/>
  <c r="R12" i="71" s="1"/>
  <c r="I18" i="69"/>
  <c r="M12" i="71" s="1"/>
  <c r="F17" i="69"/>
  <c r="H11" i="71" s="1"/>
  <c r="C2" i="69"/>
  <c r="E42" i="73"/>
  <c r="E43" i="73" s="1"/>
  <c r="E44" i="73" s="1"/>
  <c r="E45" i="73" s="1"/>
  <c r="E46" i="73" s="1"/>
  <c r="F41" i="73"/>
  <c r="G41" i="73" s="1"/>
  <c r="H41" i="73" s="1"/>
  <c r="I41" i="73" s="1"/>
  <c r="J41" i="73" s="1"/>
  <c r="E38" i="73"/>
  <c r="E37" i="73"/>
  <c r="E36" i="73"/>
  <c r="E35" i="73"/>
  <c r="E34" i="73"/>
  <c r="J33" i="73"/>
  <c r="G41" i="38" s="1"/>
  <c r="I33" i="73"/>
  <c r="F41" i="38" s="1"/>
  <c r="H33" i="73"/>
  <c r="E41" i="38" s="1"/>
  <c r="G33" i="73"/>
  <c r="F33" i="73"/>
  <c r="C41" i="38" s="1"/>
  <c r="C2" i="73"/>
  <c r="E42" i="72"/>
  <c r="E43" i="72" s="1"/>
  <c r="E44" i="72" s="1"/>
  <c r="E45" i="72" s="1"/>
  <c r="E46" i="72" s="1"/>
  <c r="F41" i="72"/>
  <c r="G41" i="72" s="1"/>
  <c r="H41" i="72" s="1"/>
  <c r="I41" i="72" s="1"/>
  <c r="J41" i="72" s="1"/>
  <c r="E38" i="72"/>
  <c r="E37" i="72"/>
  <c r="E36" i="72"/>
  <c r="E35" i="72"/>
  <c r="E34" i="72"/>
  <c r="J33" i="72"/>
  <c r="I33" i="72"/>
  <c r="H33" i="72"/>
  <c r="G33" i="72"/>
  <c r="D41" i="64" s="1"/>
  <c r="F33" i="72"/>
  <c r="C2" i="72"/>
  <c r="G482" i="39"/>
  <c r="G488" i="39" s="1"/>
  <c r="Q479" i="39"/>
  <c r="Q485" i="39" s="1"/>
  <c r="P479" i="39"/>
  <c r="P485" i="39" s="1"/>
  <c r="O479" i="39"/>
  <c r="O485" i="39" s="1"/>
  <c r="N479" i="39"/>
  <c r="N485" i="39" s="1"/>
  <c r="M479" i="39"/>
  <c r="M485" i="39" s="1"/>
  <c r="Q474" i="39"/>
  <c r="P474" i="39"/>
  <c r="P475" i="39" s="1"/>
  <c r="O474" i="39"/>
  <c r="O475" i="39" s="1"/>
  <c r="N474" i="39"/>
  <c r="N475" i="39" s="1"/>
  <c r="N476" i="39" s="1"/>
  <c r="N480" i="39" s="1"/>
  <c r="N486" i="39" s="1"/>
  <c r="M474" i="39"/>
  <c r="M471" i="39"/>
  <c r="N471" i="39" s="1"/>
  <c r="O471" i="39" s="1"/>
  <c r="P471" i="39" s="1"/>
  <c r="Q471" i="39" s="1"/>
  <c r="H455" i="39"/>
  <c r="G455" i="39"/>
  <c r="F455" i="39"/>
  <c r="E455" i="39"/>
  <c r="O455" i="39" s="1"/>
  <c r="M454" i="39"/>
  <c r="H454" i="39"/>
  <c r="G454" i="39"/>
  <c r="F454" i="39"/>
  <c r="E454" i="39"/>
  <c r="N454" i="39" s="1"/>
  <c r="H453" i="39"/>
  <c r="G453" i="39"/>
  <c r="F453" i="39"/>
  <c r="E453" i="39"/>
  <c r="P453" i="39" s="1"/>
  <c r="H452" i="39"/>
  <c r="G452" i="39"/>
  <c r="F452" i="39"/>
  <c r="E452" i="39"/>
  <c r="N451" i="39"/>
  <c r="H451" i="39"/>
  <c r="G451" i="39"/>
  <c r="F451" i="39"/>
  <c r="E451" i="39"/>
  <c r="O451" i="39" s="1"/>
  <c r="M450" i="39"/>
  <c r="H450" i="39"/>
  <c r="G450" i="39"/>
  <c r="F450" i="39"/>
  <c r="Q450" i="39" s="1"/>
  <c r="E450" i="39"/>
  <c r="N450" i="39" s="1"/>
  <c r="H449" i="39"/>
  <c r="G449" i="39"/>
  <c r="F449" i="39"/>
  <c r="E449" i="39"/>
  <c r="H448" i="39"/>
  <c r="G448" i="39"/>
  <c r="F448" i="39"/>
  <c r="E448" i="39"/>
  <c r="P448" i="39" s="1"/>
  <c r="H447" i="39"/>
  <c r="G447" i="39"/>
  <c r="F447" i="39"/>
  <c r="E447" i="39"/>
  <c r="Q442" i="39"/>
  <c r="P442" i="39"/>
  <c r="O442" i="39"/>
  <c r="N442" i="39"/>
  <c r="M442" i="39"/>
  <c r="L442" i="39"/>
  <c r="L441" i="39"/>
  <c r="L440" i="39"/>
  <c r="B434" i="39"/>
  <c r="B455" i="39" s="1"/>
  <c r="Q432" i="39"/>
  <c r="P432" i="39"/>
  <c r="O432" i="39"/>
  <c r="N432" i="39"/>
  <c r="M432" i="39"/>
  <c r="L432" i="39"/>
  <c r="B432" i="39"/>
  <c r="B424" i="39"/>
  <c r="B448" i="39" s="1"/>
  <c r="Q413" i="39"/>
  <c r="P413" i="39"/>
  <c r="O413" i="39"/>
  <c r="N413" i="39"/>
  <c r="M413" i="39"/>
  <c r="Q412" i="39"/>
  <c r="P412" i="39"/>
  <c r="O412" i="39"/>
  <c r="N412" i="39"/>
  <c r="M412" i="39"/>
  <c r="Q411" i="39"/>
  <c r="P411" i="39"/>
  <c r="O411" i="39"/>
  <c r="N411" i="39"/>
  <c r="M411" i="39"/>
  <c r="Q405" i="39"/>
  <c r="P405" i="39"/>
  <c r="O405" i="39"/>
  <c r="N405" i="39"/>
  <c r="M405" i="39"/>
  <c r="Q404" i="39"/>
  <c r="P404" i="39"/>
  <c r="O404" i="39"/>
  <c r="N404" i="39"/>
  <c r="M404" i="39"/>
  <c r="Q403" i="39"/>
  <c r="P403" i="39"/>
  <c r="O403" i="39"/>
  <c r="N403" i="39"/>
  <c r="M403" i="39"/>
  <c r="K396" i="39"/>
  <c r="B396" i="39"/>
  <c r="B430" i="39" s="1"/>
  <c r="B454" i="39" s="1"/>
  <c r="K395" i="39"/>
  <c r="B395" i="39"/>
  <c r="B412" i="39" s="1"/>
  <c r="K394" i="39"/>
  <c r="B394" i="39"/>
  <c r="B428" i="39" s="1"/>
  <c r="B452" i="39" s="1"/>
  <c r="B393" i="39"/>
  <c r="B410" i="39" s="1"/>
  <c r="B392" i="39"/>
  <c r="B409" i="39" s="1"/>
  <c r="B391" i="39"/>
  <c r="B425" i="39" s="1"/>
  <c r="B449" i="39" s="1"/>
  <c r="K390" i="39"/>
  <c r="Q366" i="39"/>
  <c r="P366" i="39"/>
  <c r="O366" i="39"/>
  <c r="N366" i="39"/>
  <c r="M366" i="39"/>
  <c r="N365" i="39"/>
  <c r="Q360" i="39"/>
  <c r="P360" i="39"/>
  <c r="O360" i="39"/>
  <c r="N360" i="39"/>
  <c r="M360" i="39"/>
  <c r="Q353" i="39"/>
  <c r="P353" i="39"/>
  <c r="O353" i="39"/>
  <c r="N353" i="39"/>
  <c r="M353" i="39"/>
  <c r="Q352" i="39"/>
  <c r="P352" i="39"/>
  <c r="O352" i="39"/>
  <c r="N352" i="39"/>
  <c r="M352" i="39"/>
  <c r="B344" i="39"/>
  <c r="M310" i="39"/>
  <c r="B309" i="39"/>
  <c r="B282" i="39"/>
  <c r="B280" i="39"/>
  <c r="B307" i="39" s="1"/>
  <c r="B279" i="39"/>
  <c r="L276" i="39"/>
  <c r="L275" i="39"/>
  <c r="B271" i="39"/>
  <c r="B270" i="39"/>
  <c r="B269" i="39"/>
  <c r="B268" i="39"/>
  <c r="B267" i="39"/>
  <c r="L266" i="39"/>
  <c r="B266" i="39"/>
  <c r="B264" i="39"/>
  <c r="B297" i="39" s="1"/>
  <c r="B263" i="39"/>
  <c r="B262" i="39"/>
  <c r="B261" i="39"/>
  <c r="I259" i="39"/>
  <c r="J310" i="39" s="1"/>
  <c r="B258" i="39"/>
  <c r="B249" i="39"/>
  <c r="M248" i="39"/>
  <c r="B248" i="39"/>
  <c r="B217" i="39"/>
  <c r="B216" i="39"/>
  <c r="B247" i="39" s="1"/>
  <c r="B215" i="39"/>
  <c r="B253" i="39" s="1"/>
  <c r="Q210" i="39"/>
  <c r="P210" i="39"/>
  <c r="O210" i="39"/>
  <c r="N210" i="39"/>
  <c r="M210" i="39"/>
  <c r="L210" i="39"/>
  <c r="B210" i="39"/>
  <c r="B174" i="39"/>
  <c r="B171" i="39"/>
  <c r="B169" i="39"/>
  <c r="B172" i="39" s="1"/>
  <c r="B175" i="39" s="1"/>
  <c r="B168" i="39"/>
  <c r="B162" i="39"/>
  <c r="B191" i="39" s="1"/>
  <c r="B152" i="39"/>
  <c r="B151" i="39"/>
  <c r="B150" i="39"/>
  <c r="B149" i="39"/>
  <c r="B148" i="39"/>
  <c r="B147" i="39"/>
  <c r="B146" i="39"/>
  <c r="B145" i="39"/>
  <c r="J113" i="39"/>
  <c r="H113" i="39"/>
  <c r="N108" i="39"/>
  <c r="N107" i="39"/>
  <c r="N106" i="39"/>
  <c r="P100" i="39"/>
  <c r="P108" i="39" s="1"/>
  <c r="J100" i="39"/>
  <c r="J108" i="39" s="1"/>
  <c r="P99" i="39"/>
  <c r="P107" i="39" s="1"/>
  <c r="J99" i="39"/>
  <c r="J107" i="39" s="1"/>
  <c r="C99" i="39"/>
  <c r="B99" i="39"/>
  <c r="P98" i="39"/>
  <c r="P106" i="39" s="1"/>
  <c r="J98" i="39"/>
  <c r="J106" i="39" s="1"/>
  <c r="C98" i="39"/>
  <c r="B98" i="39"/>
  <c r="P97" i="39"/>
  <c r="C97" i="39"/>
  <c r="B97" i="39"/>
  <c r="C96" i="39"/>
  <c r="B96" i="39"/>
  <c r="C95" i="39"/>
  <c r="B95" i="39"/>
  <c r="C94" i="39"/>
  <c r="B94" i="39"/>
  <c r="J89" i="39"/>
  <c r="J88" i="39"/>
  <c r="J87" i="39"/>
  <c r="B84" i="39"/>
  <c r="B83" i="39"/>
  <c r="B82" i="39"/>
  <c r="Q81" i="39"/>
  <c r="F367" i="39" s="1"/>
  <c r="M385" i="39" s="1"/>
  <c r="Q80" i="39"/>
  <c r="F424" i="39" s="1"/>
  <c r="M77" i="39"/>
  <c r="M29" i="39" s="1"/>
  <c r="O76" i="39"/>
  <c r="P76" i="39" s="1"/>
  <c r="Q76" i="39" s="1"/>
  <c r="B65" i="39"/>
  <c r="G63" i="39"/>
  <c r="B62" i="39"/>
  <c r="B61" i="39"/>
  <c r="B60" i="39"/>
  <c r="B59" i="39"/>
  <c r="B58" i="39"/>
  <c r="B57" i="39"/>
  <c r="B56" i="39"/>
  <c r="B55" i="39"/>
  <c r="J53" i="39"/>
  <c r="G53" i="39"/>
  <c r="J50" i="39"/>
  <c r="G49" i="39"/>
  <c r="B49" i="39"/>
  <c r="G48" i="39"/>
  <c r="B48" i="39"/>
  <c r="J47" i="39"/>
  <c r="B47" i="39"/>
  <c r="J46" i="39"/>
  <c r="J45" i="39"/>
  <c r="B44" i="39"/>
  <c r="N43" i="39"/>
  <c r="L43" i="39"/>
  <c r="S42" i="39"/>
  <c r="S41" i="39"/>
  <c r="S40" i="39"/>
  <c r="B40" i="39"/>
  <c r="O37" i="39"/>
  <c r="M37" i="39"/>
  <c r="J37" i="39"/>
  <c r="B36" i="39"/>
  <c r="B35" i="39"/>
  <c r="O34" i="39"/>
  <c r="M34" i="39"/>
  <c r="D54" i="69"/>
  <c r="B29" i="39"/>
  <c r="S28" i="39"/>
  <c r="F28" i="39"/>
  <c r="S27" i="39"/>
  <c r="F27" i="39"/>
  <c r="S26" i="39"/>
  <c r="F26" i="39"/>
  <c r="F25" i="39"/>
  <c r="S24" i="39"/>
  <c r="J20" i="39"/>
  <c r="H20" i="39"/>
  <c r="G17" i="39"/>
  <c r="G16" i="39"/>
  <c r="G15" i="39"/>
  <c r="H14" i="39"/>
  <c r="H13" i="39"/>
  <c r="D19" i="69" s="1"/>
  <c r="D13" i="71" s="1"/>
  <c r="F13" i="39"/>
  <c r="J12" i="39"/>
  <c r="H12" i="39"/>
  <c r="F12" i="39"/>
  <c r="B12" i="39"/>
  <c r="H11" i="39"/>
  <c r="Q4" i="39"/>
  <c r="B3" i="39"/>
  <c r="B2" i="39"/>
  <c r="C313" i="38"/>
  <c r="C337" i="38" s="1"/>
  <c r="H297" i="38"/>
  <c r="G297" i="38"/>
  <c r="F297" i="38"/>
  <c r="E297" i="38"/>
  <c r="H296" i="38"/>
  <c r="G296" i="38"/>
  <c r="F296" i="38"/>
  <c r="Q296" i="38" s="1"/>
  <c r="E296" i="38"/>
  <c r="N296" i="38" s="1"/>
  <c r="B296" i="38"/>
  <c r="H295" i="38"/>
  <c r="G295" i="38"/>
  <c r="F295" i="38"/>
  <c r="E295" i="38"/>
  <c r="H294" i="38"/>
  <c r="G294" i="38"/>
  <c r="F294" i="38"/>
  <c r="E294" i="38"/>
  <c r="H293" i="38"/>
  <c r="G293" i="38"/>
  <c r="F293" i="38"/>
  <c r="E293" i="38"/>
  <c r="N293" i="38" s="1"/>
  <c r="H292" i="38"/>
  <c r="G292" i="38"/>
  <c r="F292" i="38"/>
  <c r="E292" i="38"/>
  <c r="Q287" i="38"/>
  <c r="P287" i="38"/>
  <c r="O287" i="38"/>
  <c r="N287" i="38"/>
  <c r="M287" i="38"/>
  <c r="L287" i="38"/>
  <c r="L286" i="38"/>
  <c r="L285" i="38"/>
  <c r="B279" i="38"/>
  <c r="B297" i="38" s="1"/>
  <c r="B277" i="38"/>
  <c r="B272" i="38"/>
  <c r="B293" i="38" s="1"/>
  <c r="Q256" i="38"/>
  <c r="P256" i="38"/>
  <c r="O256" i="38"/>
  <c r="N256" i="38"/>
  <c r="M256" i="38"/>
  <c r="Q255" i="38"/>
  <c r="P255" i="38"/>
  <c r="O255" i="38"/>
  <c r="N255" i="38"/>
  <c r="M255" i="38"/>
  <c r="Q254" i="38"/>
  <c r="P254" i="38"/>
  <c r="O254" i="38"/>
  <c r="N254" i="38"/>
  <c r="M254" i="38"/>
  <c r="B247" i="38"/>
  <c r="B275" i="38" s="1"/>
  <c r="B246" i="38"/>
  <c r="B274" i="38" s="1"/>
  <c r="B295" i="38" s="1"/>
  <c r="B245" i="38"/>
  <c r="B254" i="38" s="1"/>
  <c r="Q220" i="38"/>
  <c r="P220" i="38"/>
  <c r="O220" i="38"/>
  <c r="N220" i="38"/>
  <c r="M220" i="38"/>
  <c r="Q216" i="38"/>
  <c r="P216" i="38"/>
  <c r="O216" i="38"/>
  <c r="N216" i="38"/>
  <c r="M216" i="38"/>
  <c r="Q209" i="38"/>
  <c r="P209" i="38"/>
  <c r="O209" i="38"/>
  <c r="N209" i="38"/>
  <c r="M209" i="38"/>
  <c r="B156" i="38"/>
  <c r="B148" i="38"/>
  <c r="B147" i="38"/>
  <c r="Q145" i="38"/>
  <c r="P145" i="38"/>
  <c r="O145" i="38"/>
  <c r="N145" i="38"/>
  <c r="M145" i="38"/>
  <c r="L145" i="38"/>
  <c r="B145" i="38"/>
  <c r="B144" i="38"/>
  <c r="Q132" i="38"/>
  <c r="Q204" i="38" s="1"/>
  <c r="P132" i="38"/>
  <c r="P204" i="38" s="1"/>
  <c r="O132" i="38"/>
  <c r="O204" i="38" s="1"/>
  <c r="N132" i="38"/>
  <c r="N204" i="38" s="1"/>
  <c r="M132" i="38"/>
  <c r="M204" i="38" s="1"/>
  <c r="L132" i="38"/>
  <c r="H91" i="38"/>
  <c r="H90" i="38"/>
  <c r="N84" i="38"/>
  <c r="N83" i="38"/>
  <c r="N82" i="38"/>
  <c r="C82" i="38"/>
  <c r="B82" i="38"/>
  <c r="C81" i="38"/>
  <c r="B81" i="38"/>
  <c r="C80" i="38"/>
  <c r="B80" i="38"/>
  <c r="C79" i="38"/>
  <c r="B79" i="38"/>
  <c r="C78" i="38"/>
  <c r="B78" i="38"/>
  <c r="C77" i="38"/>
  <c r="B77" i="38"/>
  <c r="P76" i="38"/>
  <c r="P84" i="38" s="1"/>
  <c r="J76" i="38"/>
  <c r="J84" i="38" s="1"/>
  <c r="P75" i="38"/>
  <c r="P83" i="38" s="1"/>
  <c r="J75" i="38"/>
  <c r="J83" i="38" s="1"/>
  <c r="P74" i="38"/>
  <c r="P82" i="38" s="1"/>
  <c r="J74" i="38"/>
  <c r="J82" i="38" s="1"/>
  <c r="P73" i="38"/>
  <c r="B70" i="38"/>
  <c r="B69" i="38"/>
  <c r="B68" i="38"/>
  <c r="J65" i="38"/>
  <c r="J64" i="38"/>
  <c r="J63" i="38"/>
  <c r="Q59" i="38"/>
  <c r="F221" i="38" s="1"/>
  <c r="M239" i="38" s="1"/>
  <c r="Q58" i="38"/>
  <c r="F272" i="38" s="1"/>
  <c r="B51" i="38"/>
  <c r="G48" i="38"/>
  <c r="F48" i="38"/>
  <c r="E48" i="38"/>
  <c r="D48" i="38"/>
  <c r="C48" i="38"/>
  <c r="B48" i="38"/>
  <c r="G47" i="38"/>
  <c r="F47" i="38"/>
  <c r="E47" i="38"/>
  <c r="D47" i="38"/>
  <c r="C47" i="38"/>
  <c r="B47" i="38"/>
  <c r="G46" i="38"/>
  <c r="F46" i="38"/>
  <c r="E46" i="38"/>
  <c r="D46" i="38"/>
  <c r="C46" i="38"/>
  <c r="B46" i="38"/>
  <c r="G45" i="38"/>
  <c r="F45" i="38"/>
  <c r="E45" i="38"/>
  <c r="D45" i="38"/>
  <c r="C45" i="38"/>
  <c r="B45" i="38"/>
  <c r="G44" i="38"/>
  <c r="F44" i="38"/>
  <c r="E44" i="38"/>
  <c r="D44" i="38"/>
  <c r="C44" i="38"/>
  <c r="B44" i="38"/>
  <c r="D41" i="38"/>
  <c r="C40" i="38"/>
  <c r="T36" i="38"/>
  <c r="F34" i="38"/>
  <c r="B23" i="38"/>
  <c r="T22" i="38"/>
  <c r="T21" i="38"/>
  <c r="T20" i="38"/>
  <c r="B20" i="38"/>
  <c r="X19" i="38"/>
  <c r="Y19" i="38" s="1"/>
  <c r="L19" i="38" s="1"/>
  <c r="T19" i="38"/>
  <c r="T18" i="38"/>
  <c r="V17" i="38"/>
  <c r="T17" i="38"/>
  <c r="B17" i="38"/>
  <c r="T16" i="38"/>
  <c r="O16" i="38"/>
  <c r="G16" i="38"/>
  <c r="B16" i="38"/>
  <c r="T15" i="38"/>
  <c r="T35" i="38" s="1"/>
  <c r="O15" i="38"/>
  <c r="T14" i="38"/>
  <c r="T34" i="38" s="1"/>
  <c r="O14" i="38"/>
  <c r="O13" i="38"/>
  <c r="I13" i="38"/>
  <c r="T13" i="38" s="1"/>
  <c r="T33" i="38" s="1"/>
  <c r="G12" i="38"/>
  <c r="G15" i="38" s="1"/>
  <c r="G11" i="38"/>
  <c r="B11" i="38"/>
  <c r="B8" i="38"/>
  <c r="B3" i="38"/>
  <c r="C3" i="73" s="1"/>
  <c r="B2" i="38"/>
  <c r="C313" i="64"/>
  <c r="C337" i="64" s="1"/>
  <c r="H297" i="64"/>
  <c r="G297" i="64"/>
  <c r="F297" i="64"/>
  <c r="E297" i="64"/>
  <c r="H296" i="64"/>
  <c r="G296" i="64"/>
  <c r="F296" i="64"/>
  <c r="E296" i="64"/>
  <c r="B296" i="64"/>
  <c r="H295" i="64"/>
  <c r="G295" i="64"/>
  <c r="F295" i="64"/>
  <c r="E295" i="64"/>
  <c r="H294" i="64"/>
  <c r="G294" i="64"/>
  <c r="F294" i="64"/>
  <c r="E294" i="64"/>
  <c r="H293" i="64"/>
  <c r="G293" i="64"/>
  <c r="F293" i="64"/>
  <c r="E293" i="64"/>
  <c r="N293" i="64" s="1"/>
  <c r="H292" i="64"/>
  <c r="G292" i="64"/>
  <c r="F292" i="64"/>
  <c r="E292" i="64"/>
  <c r="Q287" i="64"/>
  <c r="P287" i="64"/>
  <c r="O287" i="64"/>
  <c r="N287" i="64"/>
  <c r="M287" i="64"/>
  <c r="L287" i="64"/>
  <c r="L286" i="64"/>
  <c r="L285" i="64"/>
  <c r="B279" i="64"/>
  <c r="B297" i="64" s="1"/>
  <c r="B277" i="64"/>
  <c r="B272" i="64"/>
  <c r="B293" i="64" s="1"/>
  <c r="Q256" i="64"/>
  <c r="P256" i="64"/>
  <c r="O256" i="64"/>
  <c r="N256" i="64"/>
  <c r="M256" i="64"/>
  <c r="Q255" i="64"/>
  <c r="P255" i="64"/>
  <c r="O255" i="64"/>
  <c r="N255" i="64"/>
  <c r="M255" i="64"/>
  <c r="Q254" i="64"/>
  <c r="P254" i="64"/>
  <c r="O254" i="64"/>
  <c r="N254" i="64"/>
  <c r="M254" i="64"/>
  <c r="B247" i="64"/>
  <c r="B275" i="64" s="1"/>
  <c r="B246" i="64"/>
  <c r="B255" i="64" s="1"/>
  <c r="B245" i="64"/>
  <c r="B259" i="64" s="1"/>
  <c r="B264" i="64" s="1"/>
  <c r="B268" i="64" s="1"/>
  <c r="Q220" i="64"/>
  <c r="P220" i="64"/>
  <c r="O220" i="64"/>
  <c r="N220" i="64"/>
  <c r="M220" i="64"/>
  <c r="Q216" i="64"/>
  <c r="P216" i="64"/>
  <c r="O216" i="64"/>
  <c r="N216" i="64"/>
  <c r="M216" i="64"/>
  <c r="Q209" i="64"/>
  <c r="P209" i="64"/>
  <c r="O209" i="64"/>
  <c r="N209" i="64"/>
  <c r="M209" i="64"/>
  <c r="Q204" i="64"/>
  <c r="B156" i="64"/>
  <c r="B148" i="64"/>
  <c r="B147" i="64"/>
  <c r="Q145" i="64"/>
  <c r="P145" i="64"/>
  <c r="O145" i="64"/>
  <c r="N145" i="64"/>
  <c r="M145" i="64"/>
  <c r="L145" i="64"/>
  <c r="B145" i="64"/>
  <c r="B144" i="64"/>
  <c r="Q132" i="64"/>
  <c r="P132" i="64"/>
  <c r="P204" i="64" s="1"/>
  <c r="O132" i="64"/>
  <c r="O204" i="64" s="1"/>
  <c r="N132" i="64"/>
  <c r="N204" i="64" s="1"/>
  <c r="M132" i="64"/>
  <c r="M204" i="64" s="1"/>
  <c r="L132" i="64"/>
  <c r="H91" i="64"/>
  <c r="H90" i="64"/>
  <c r="N84" i="64"/>
  <c r="N83" i="64"/>
  <c r="N82" i="64"/>
  <c r="C82" i="64"/>
  <c r="B82" i="64"/>
  <c r="C81" i="64"/>
  <c r="B81" i="64"/>
  <c r="C80" i="64"/>
  <c r="B80" i="64"/>
  <c r="C79" i="64"/>
  <c r="B79" i="64"/>
  <c r="C78" i="64"/>
  <c r="B78" i="64"/>
  <c r="C77" i="64"/>
  <c r="B77" i="64"/>
  <c r="P76" i="64"/>
  <c r="P84" i="64" s="1"/>
  <c r="J76" i="64"/>
  <c r="J84" i="64" s="1"/>
  <c r="P75" i="64"/>
  <c r="P83" i="64" s="1"/>
  <c r="J75" i="64"/>
  <c r="J83" i="64" s="1"/>
  <c r="P74" i="64"/>
  <c r="P82" i="64" s="1"/>
  <c r="J74" i="64"/>
  <c r="J82" i="64" s="1"/>
  <c r="P73" i="64"/>
  <c r="B70" i="64"/>
  <c r="B69" i="64"/>
  <c r="B68" i="64"/>
  <c r="J65" i="64"/>
  <c r="J64" i="64"/>
  <c r="J63" i="64"/>
  <c r="Q59" i="64"/>
  <c r="F221" i="64" s="1"/>
  <c r="M239" i="64" s="1"/>
  <c r="Q58" i="64"/>
  <c r="F272" i="64" s="1"/>
  <c r="B51" i="64"/>
  <c r="G48" i="64"/>
  <c r="F48" i="64"/>
  <c r="E48" i="64"/>
  <c r="D48" i="64"/>
  <c r="C48" i="64"/>
  <c r="B48" i="64"/>
  <c r="G47" i="64"/>
  <c r="F47" i="64"/>
  <c r="E47" i="64"/>
  <c r="D47" i="64"/>
  <c r="C47" i="64"/>
  <c r="B47" i="64"/>
  <c r="G46" i="64"/>
  <c r="F46" i="64"/>
  <c r="E46" i="64"/>
  <c r="D46" i="64"/>
  <c r="C46" i="64"/>
  <c r="B46" i="64"/>
  <c r="G45" i="64"/>
  <c r="F45" i="64"/>
  <c r="E45" i="64"/>
  <c r="D45" i="64"/>
  <c r="C45" i="64"/>
  <c r="B45" i="64"/>
  <c r="G44" i="64"/>
  <c r="F44" i="64"/>
  <c r="E44" i="64"/>
  <c r="D44" i="64"/>
  <c r="C44" i="64"/>
  <c r="B44" i="64"/>
  <c r="G41" i="64"/>
  <c r="F41" i="64"/>
  <c r="E41" i="64"/>
  <c r="C41" i="64"/>
  <c r="C40" i="64"/>
  <c r="F34" i="64"/>
  <c r="B23" i="64"/>
  <c r="T22" i="64"/>
  <c r="T21" i="64"/>
  <c r="T20" i="64"/>
  <c r="B20" i="64"/>
  <c r="Y19" i="64"/>
  <c r="L19" i="64" s="1"/>
  <c r="X19" i="64"/>
  <c r="T19" i="64"/>
  <c r="T18" i="64"/>
  <c r="V17" i="64"/>
  <c r="T17" i="64"/>
  <c r="B17" i="64"/>
  <c r="T16" i="64"/>
  <c r="T36" i="64" s="1"/>
  <c r="O16" i="64"/>
  <c r="G16" i="64"/>
  <c r="B16" i="64"/>
  <c r="T15" i="64"/>
  <c r="T35" i="64" s="1"/>
  <c r="O15" i="64"/>
  <c r="T14" i="64"/>
  <c r="T34" i="64" s="1"/>
  <c r="O14" i="64"/>
  <c r="O13" i="64"/>
  <c r="G12" i="64"/>
  <c r="G11" i="64"/>
  <c r="B11" i="64"/>
  <c r="B8" i="64"/>
  <c r="C15" i="72" s="1"/>
  <c r="B3" i="64"/>
  <c r="C3" i="72" s="1"/>
  <c r="B2" i="64"/>
  <c r="L300" i="37"/>
  <c r="M293" i="37"/>
  <c r="L293" i="37"/>
  <c r="L286" i="37"/>
  <c r="M284" i="37"/>
  <c r="L284" i="37"/>
  <c r="M280" i="37"/>
  <c r="L280" i="37"/>
  <c r="M278" i="37"/>
  <c r="L278" i="37"/>
  <c r="M276" i="37"/>
  <c r="L276" i="37"/>
  <c r="M274" i="37"/>
  <c r="L274" i="37"/>
  <c r="L282" i="37" s="1"/>
  <c r="M270" i="37"/>
  <c r="L270" i="37"/>
  <c r="L272" i="37" s="1"/>
  <c r="N265" i="37"/>
  <c r="O265" i="37" s="1"/>
  <c r="P265" i="37" s="1"/>
  <c r="Q265" i="37" s="1"/>
  <c r="N264" i="37"/>
  <c r="O264" i="37" s="1"/>
  <c r="P264" i="37" s="1"/>
  <c r="Q264" i="37" s="1"/>
  <c r="N263" i="37"/>
  <c r="O263" i="37" s="1"/>
  <c r="P263" i="37" s="1"/>
  <c r="Q263" i="37" s="1"/>
  <c r="N262" i="37"/>
  <c r="O262" i="37" s="1"/>
  <c r="P262" i="37" s="1"/>
  <c r="Q262" i="37" s="1"/>
  <c r="N261" i="37"/>
  <c r="O261" i="37" s="1"/>
  <c r="P261" i="37" s="1"/>
  <c r="Q261" i="37" s="1"/>
  <c r="K261" i="37"/>
  <c r="K262" i="37" s="1"/>
  <c r="K263" i="37" s="1"/>
  <c r="K264" i="37" s="1"/>
  <c r="K265" i="37" s="1"/>
  <c r="K260" i="37"/>
  <c r="N258" i="37"/>
  <c r="O258" i="37" s="1"/>
  <c r="P258" i="37" s="1"/>
  <c r="Q258" i="37" s="1"/>
  <c r="N257" i="37"/>
  <c r="O257" i="37" s="1"/>
  <c r="P257" i="37" s="1"/>
  <c r="Q257" i="37" s="1"/>
  <c r="N256" i="37"/>
  <c r="O256" i="37" s="1"/>
  <c r="P256" i="37" s="1"/>
  <c r="Q256" i="37" s="1"/>
  <c r="N255" i="37"/>
  <c r="O255" i="37" s="1"/>
  <c r="P255" i="37" s="1"/>
  <c r="Q255" i="37" s="1"/>
  <c r="N254" i="37"/>
  <c r="O254" i="37" s="1"/>
  <c r="P254" i="37" s="1"/>
  <c r="Q254" i="37" s="1"/>
  <c r="K254" i="37"/>
  <c r="K255" i="37" s="1"/>
  <c r="K256" i="37" s="1"/>
  <c r="K257" i="37" s="1"/>
  <c r="K258" i="37" s="1"/>
  <c r="K253" i="37"/>
  <c r="Q253" i="37" s="1"/>
  <c r="N251" i="37"/>
  <c r="O251" i="37" s="1"/>
  <c r="P251" i="37" s="1"/>
  <c r="Q251" i="37" s="1"/>
  <c r="N250" i="37"/>
  <c r="O250" i="37" s="1"/>
  <c r="P250" i="37" s="1"/>
  <c r="Q250" i="37" s="1"/>
  <c r="N249" i="37"/>
  <c r="O249" i="37" s="1"/>
  <c r="P249" i="37" s="1"/>
  <c r="Q249" i="37" s="1"/>
  <c r="N248" i="37"/>
  <c r="O248" i="37" s="1"/>
  <c r="P248" i="37" s="1"/>
  <c r="Q248" i="37" s="1"/>
  <c r="K248" i="37"/>
  <c r="K249" i="37" s="1"/>
  <c r="K250" i="37" s="1"/>
  <c r="K251" i="37" s="1"/>
  <c r="N247" i="37"/>
  <c r="O247" i="37" s="1"/>
  <c r="P247" i="37" s="1"/>
  <c r="Q247" i="37" s="1"/>
  <c r="K246" i="37"/>
  <c r="M246" i="37" s="1"/>
  <c r="D244" i="37"/>
  <c r="K217" i="37"/>
  <c r="K218" i="37" s="1"/>
  <c r="J217" i="37"/>
  <c r="J218" i="37" s="1"/>
  <c r="I217" i="37"/>
  <c r="G213" i="37"/>
  <c r="Q210" i="37"/>
  <c r="P210" i="37"/>
  <c r="O210" i="37"/>
  <c r="N210" i="37"/>
  <c r="M210" i="37"/>
  <c r="L210" i="37"/>
  <c r="L209" i="37"/>
  <c r="Q205" i="37"/>
  <c r="Q211" i="37" s="1"/>
  <c r="P205" i="37"/>
  <c r="P211" i="37" s="1"/>
  <c r="O205" i="37"/>
  <c r="O211" i="37" s="1"/>
  <c r="N205" i="37"/>
  <c r="N211" i="37" s="1"/>
  <c r="M205" i="37"/>
  <c r="M211" i="37" s="1"/>
  <c r="L205" i="37"/>
  <c r="L211" i="37" s="1"/>
  <c r="L199" i="37"/>
  <c r="M198" i="37"/>
  <c r="N198" i="37" s="1"/>
  <c r="O198" i="37" s="1"/>
  <c r="P198" i="37" s="1"/>
  <c r="Q198" i="37" s="1"/>
  <c r="J196" i="37"/>
  <c r="I196" i="37"/>
  <c r="E186" i="37"/>
  <c r="E128" i="38" s="1"/>
  <c r="B53" i="38" s="1"/>
  <c r="Q183" i="37"/>
  <c r="P183" i="37"/>
  <c r="O183" i="37"/>
  <c r="N183" i="37"/>
  <c r="M183" i="37"/>
  <c r="L183" i="37"/>
  <c r="B182" i="37"/>
  <c r="B178" i="37"/>
  <c r="Q170" i="37"/>
  <c r="P170" i="37"/>
  <c r="O170" i="37"/>
  <c r="N170" i="37"/>
  <c r="M170" i="37"/>
  <c r="L170" i="37"/>
  <c r="B170" i="37"/>
  <c r="Q169" i="37"/>
  <c r="P169" i="37"/>
  <c r="O169" i="37"/>
  <c r="N169" i="37"/>
  <c r="M169" i="37"/>
  <c r="L169" i="37"/>
  <c r="Q168" i="37"/>
  <c r="P168" i="37"/>
  <c r="O168" i="37"/>
  <c r="N168" i="37"/>
  <c r="M168" i="37"/>
  <c r="L168" i="37"/>
  <c r="Q166" i="37"/>
  <c r="P166" i="37"/>
  <c r="O166" i="37"/>
  <c r="N166" i="37"/>
  <c r="M166" i="37"/>
  <c r="L166" i="37"/>
  <c r="B166" i="37"/>
  <c r="B165" i="37"/>
  <c r="L161" i="37"/>
  <c r="L165" i="37" s="1"/>
  <c r="Q158" i="37"/>
  <c r="Q158" i="36" s="1"/>
  <c r="P158" i="37"/>
  <c r="P158" i="36" s="1"/>
  <c r="O158" i="37"/>
  <c r="O158" i="36" s="1"/>
  <c r="N158" i="37"/>
  <c r="N158" i="36" s="1"/>
  <c r="M158" i="37"/>
  <c r="M158" i="36" s="1"/>
  <c r="B149" i="37"/>
  <c r="B169" i="37" s="1"/>
  <c r="B148" i="37"/>
  <c r="B168" i="37" s="1"/>
  <c r="B147" i="37"/>
  <c r="B167" i="37" s="1"/>
  <c r="B145" i="37"/>
  <c r="Q142" i="37"/>
  <c r="Q102" i="37" s="1"/>
  <c r="P142" i="37"/>
  <c r="P102" i="37" s="1"/>
  <c r="O142" i="37"/>
  <c r="O102" i="37" s="1"/>
  <c r="N142" i="37"/>
  <c r="N102" i="37" s="1"/>
  <c r="M142" i="37"/>
  <c r="M102" i="37" s="1"/>
  <c r="L142" i="37"/>
  <c r="L102" i="37" s="1"/>
  <c r="K142" i="37"/>
  <c r="B141" i="37"/>
  <c r="B140" i="37"/>
  <c r="B139" i="37"/>
  <c r="K132" i="37"/>
  <c r="L131" i="37"/>
  <c r="M131" i="37" s="1"/>
  <c r="N131" i="37" s="1"/>
  <c r="O131" i="37" s="1"/>
  <c r="L130" i="37"/>
  <c r="L129" i="37"/>
  <c r="M129" i="37" s="1"/>
  <c r="N129" i="37" s="1"/>
  <c r="O129" i="37" s="1"/>
  <c r="P129" i="37" s="1"/>
  <c r="Q129" i="37" s="1"/>
  <c r="L123" i="37"/>
  <c r="M123" i="37" s="1"/>
  <c r="N123" i="37" s="1"/>
  <c r="O123" i="37" s="1"/>
  <c r="P123" i="37" s="1"/>
  <c r="Q123" i="37" s="1"/>
  <c r="L120" i="37"/>
  <c r="L114" i="37" s="1"/>
  <c r="Q104" i="37"/>
  <c r="P104" i="37"/>
  <c r="O104" i="37"/>
  <c r="N104" i="37"/>
  <c r="M104" i="37"/>
  <c r="L104" i="37"/>
  <c r="F103" i="37"/>
  <c r="K135" i="37"/>
  <c r="J78" i="37"/>
  <c r="K77" i="37"/>
  <c r="L77" i="37" s="1"/>
  <c r="J77" i="37"/>
  <c r="K76" i="37"/>
  <c r="K133" i="37" s="1"/>
  <c r="J76" i="37"/>
  <c r="K75" i="37"/>
  <c r="L75" i="37" s="1"/>
  <c r="J75" i="37"/>
  <c r="K74" i="37"/>
  <c r="J74" i="37"/>
  <c r="K72" i="37"/>
  <c r="K239" i="37" s="1"/>
  <c r="J72" i="37"/>
  <c r="J239" i="37" s="1"/>
  <c r="K71" i="37"/>
  <c r="K235" i="37" s="1"/>
  <c r="J71" i="37"/>
  <c r="J235" i="37" s="1"/>
  <c r="Q70" i="37"/>
  <c r="K70" i="37"/>
  <c r="J70" i="37"/>
  <c r="K66" i="37"/>
  <c r="L66" i="37" s="1"/>
  <c r="J66" i="37"/>
  <c r="K65" i="37"/>
  <c r="L65" i="37" s="1"/>
  <c r="J65" i="37"/>
  <c r="K64" i="37"/>
  <c r="L64" i="37" s="1"/>
  <c r="J64" i="37"/>
  <c r="K63" i="37"/>
  <c r="J63" i="37"/>
  <c r="K61" i="37"/>
  <c r="K232" i="37" s="1"/>
  <c r="J61" i="37"/>
  <c r="J232" i="37" s="1"/>
  <c r="K60" i="37"/>
  <c r="K228" i="37" s="1"/>
  <c r="J60" i="37"/>
  <c r="J228" i="37" s="1"/>
  <c r="K59" i="37"/>
  <c r="J59" i="37"/>
  <c r="K58" i="37"/>
  <c r="J58" i="37"/>
  <c r="B53" i="37"/>
  <c r="K37" i="37"/>
  <c r="J37" i="37"/>
  <c r="I37" i="37"/>
  <c r="L31" i="37"/>
  <c r="AB72" i="30" s="1"/>
  <c r="K28" i="37"/>
  <c r="J28" i="37"/>
  <c r="I28" i="37"/>
  <c r="K25" i="37"/>
  <c r="J25" i="37"/>
  <c r="I25" i="37"/>
  <c r="B23" i="37"/>
  <c r="K21" i="37"/>
  <c r="J21" i="37"/>
  <c r="I21" i="37"/>
  <c r="B21" i="37"/>
  <c r="K19" i="37"/>
  <c r="L19" i="37" s="1"/>
  <c r="M19" i="37" s="1"/>
  <c r="N19" i="37" s="1"/>
  <c r="O19" i="37" s="1"/>
  <c r="P19" i="37" s="1"/>
  <c r="Q19" i="37" s="1"/>
  <c r="J19" i="37"/>
  <c r="I19" i="37"/>
  <c r="B19" i="37"/>
  <c r="B18" i="37"/>
  <c r="K15" i="37"/>
  <c r="J15" i="37"/>
  <c r="I15" i="37"/>
  <c r="M12" i="37"/>
  <c r="M235" i="39" s="1"/>
  <c r="K8" i="37"/>
  <c r="L10" i="45" s="1"/>
  <c r="J8" i="37"/>
  <c r="I10" i="45" s="1"/>
  <c r="I8" i="37"/>
  <c r="F10" i="45" s="1"/>
  <c r="K7" i="37"/>
  <c r="Q4" i="37"/>
  <c r="Q4" i="38" s="1"/>
  <c r="R4" i="73" s="1"/>
  <c r="B4" i="37"/>
  <c r="B3" i="37"/>
  <c r="B2" i="37"/>
  <c r="L300" i="36"/>
  <c r="M293" i="36"/>
  <c r="L293" i="36"/>
  <c r="M286" i="36"/>
  <c r="L286" i="36"/>
  <c r="M284" i="36"/>
  <c r="M280" i="36"/>
  <c r="N280" i="36" s="1"/>
  <c r="O280" i="36" s="1"/>
  <c r="P280" i="36" s="1"/>
  <c r="Q280" i="36" s="1"/>
  <c r="L280" i="36"/>
  <c r="L279" i="36" s="1"/>
  <c r="M278" i="36"/>
  <c r="L278" i="36"/>
  <c r="M276" i="36"/>
  <c r="L276" i="36"/>
  <c r="M274" i="36"/>
  <c r="M282" i="36" s="1"/>
  <c r="L274" i="36"/>
  <c r="M270" i="36"/>
  <c r="L270" i="36"/>
  <c r="L272" i="36" s="1"/>
  <c r="L271" i="36" s="1"/>
  <c r="N265" i="36"/>
  <c r="O265" i="36" s="1"/>
  <c r="P265" i="36" s="1"/>
  <c r="Q265" i="36" s="1"/>
  <c r="N264" i="36"/>
  <c r="O264" i="36" s="1"/>
  <c r="P264" i="36" s="1"/>
  <c r="Q264" i="36" s="1"/>
  <c r="N263" i="36"/>
  <c r="O263" i="36" s="1"/>
  <c r="P263" i="36" s="1"/>
  <c r="Q263" i="36" s="1"/>
  <c r="N262" i="36"/>
  <c r="O262" i="36" s="1"/>
  <c r="P262" i="36" s="1"/>
  <c r="Q262" i="36" s="1"/>
  <c r="K262" i="36"/>
  <c r="K263" i="36" s="1"/>
  <c r="K264" i="36" s="1"/>
  <c r="K265" i="36" s="1"/>
  <c r="N261" i="36"/>
  <c r="O261" i="36" s="1"/>
  <c r="P261" i="36" s="1"/>
  <c r="Q261" i="36" s="1"/>
  <c r="K261" i="36"/>
  <c r="K260" i="36"/>
  <c r="N258" i="36"/>
  <c r="O258" i="36" s="1"/>
  <c r="P258" i="36" s="1"/>
  <c r="Q258" i="36" s="1"/>
  <c r="N257" i="36"/>
  <c r="O257" i="36" s="1"/>
  <c r="P257" i="36" s="1"/>
  <c r="Q257" i="36" s="1"/>
  <c r="N256" i="36"/>
  <c r="O256" i="36" s="1"/>
  <c r="P256" i="36" s="1"/>
  <c r="Q256" i="36" s="1"/>
  <c r="O255" i="36"/>
  <c r="P255" i="36" s="1"/>
  <c r="Q255" i="36" s="1"/>
  <c r="N255" i="36"/>
  <c r="N254" i="36"/>
  <c r="O254" i="36" s="1"/>
  <c r="P254" i="36" s="1"/>
  <c r="Q254" i="36" s="1"/>
  <c r="K254" i="36"/>
  <c r="K255" i="36" s="1"/>
  <c r="K256" i="36" s="1"/>
  <c r="K257" i="36" s="1"/>
  <c r="K258" i="36" s="1"/>
  <c r="K253" i="36"/>
  <c r="N251" i="36"/>
  <c r="O251" i="36" s="1"/>
  <c r="P251" i="36" s="1"/>
  <c r="Q251" i="36" s="1"/>
  <c r="N250" i="36"/>
  <c r="O250" i="36" s="1"/>
  <c r="P250" i="36" s="1"/>
  <c r="Q250" i="36" s="1"/>
  <c r="N249" i="36"/>
  <c r="O249" i="36" s="1"/>
  <c r="P249" i="36" s="1"/>
  <c r="Q249" i="36" s="1"/>
  <c r="N248" i="36"/>
  <c r="O248" i="36" s="1"/>
  <c r="P248" i="36" s="1"/>
  <c r="Q248" i="36" s="1"/>
  <c r="K248" i="36"/>
  <c r="K249" i="36" s="1"/>
  <c r="K250" i="36" s="1"/>
  <c r="K251" i="36" s="1"/>
  <c r="P247" i="36"/>
  <c r="K246" i="36"/>
  <c r="O246" i="36" s="1"/>
  <c r="D244" i="36"/>
  <c r="K217" i="36"/>
  <c r="J217" i="36"/>
  <c r="I217" i="36"/>
  <c r="G213" i="36"/>
  <c r="Q210" i="36"/>
  <c r="P210" i="36"/>
  <c r="O210" i="36"/>
  <c r="N210" i="36"/>
  <c r="M210" i="36"/>
  <c r="L210" i="36"/>
  <c r="L209" i="36"/>
  <c r="Q205" i="36"/>
  <c r="Q211" i="36" s="1"/>
  <c r="P205" i="36"/>
  <c r="P211" i="36" s="1"/>
  <c r="O205" i="36"/>
  <c r="O211" i="36" s="1"/>
  <c r="N205" i="36"/>
  <c r="N211" i="36" s="1"/>
  <c r="M205" i="36"/>
  <c r="M211" i="36" s="1"/>
  <c r="L205" i="36"/>
  <c r="L211" i="36" s="1"/>
  <c r="L199" i="36"/>
  <c r="M198" i="36"/>
  <c r="N198" i="36" s="1"/>
  <c r="O198" i="36" s="1"/>
  <c r="P198" i="36" s="1"/>
  <c r="Q198" i="36" s="1"/>
  <c r="J196" i="36"/>
  <c r="I196" i="36"/>
  <c r="E186" i="36"/>
  <c r="Q183" i="36"/>
  <c r="P183" i="36"/>
  <c r="O183" i="36"/>
  <c r="N183" i="36"/>
  <c r="M183" i="36"/>
  <c r="L183" i="36"/>
  <c r="B182" i="36"/>
  <c r="B178" i="36"/>
  <c r="Q170" i="36"/>
  <c r="P170" i="36"/>
  <c r="O170" i="36"/>
  <c r="N170" i="36"/>
  <c r="M170" i="36"/>
  <c r="L170" i="36"/>
  <c r="B170" i="36"/>
  <c r="Q169" i="36"/>
  <c r="P169" i="36"/>
  <c r="O169" i="36"/>
  <c r="N169" i="36"/>
  <c r="M169" i="36"/>
  <c r="L169" i="36"/>
  <c r="Q168" i="36"/>
  <c r="P168" i="36"/>
  <c r="O168" i="36"/>
  <c r="N168" i="36"/>
  <c r="M168" i="36"/>
  <c r="L168" i="36"/>
  <c r="Q166" i="36"/>
  <c r="P166" i="36"/>
  <c r="O166" i="36"/>
  <c r="N166" i="36"/>
  <c r="M166" i="36"/>
  <c r="L166" i="36"/>
  <c r="B166" i="36"/>
  <c r="L161" i="36"/>
  <c r="L165" i="36" s="1"/>
  <c r="B149" i="36"/>
  <c r="B169" i="36" s="1"/>
  <c r="B148" i="36"/>
  <c r="B168" i="36" s="1"/>
  <c r="B147" i="36"/>
  <c r="B167" i="36" s="1"/>
  <c r="B145" i="36"/>
  <c r="B165" i="36" s="1"/>
  <c r="Q142" i="36"/>
  <c r="P70" i="36" s="1"/>
  <c r="P142" i="36"/>
  <c r="P102" i="36" s="1"/>
  <c r="O142" i="36"/>
  <c r="O102" i="36" s="1"/>
  <c r="N142" i="36"/>
  <c r="M142" i="36"/>
  <c r="L142" i="36"/>
  <c r="B141" i="36"/>
  <c r="B140" i="36"/>
  <c r="B139" i="36"/>
  <c r="K132" i="36"/>
  <c r="L131" i="36"/>
  <c r="L396" i="39" s="1"/>
  <c r="L130" i="36"/>
  <c r="L395" i="39" s="1"/>
  <c r="M395" i="39" s="1"/>
  <c r="N395" i="39" s="1"/>
  <c r="L129" i="36"/>
  <c r="L394" i="39" s="1"/>
  <c r="L123" i="36"/>
  <c r="M123" i="36" s="1"/>
  <c r="N123" i="36" s="1"/>
  <c r="O123" i="36" s="1"/>
  <c r="P123" i="36" s="1"/>
  <c r="Q123" i="36" s="1"/>
  <c r="L120" i="36"/>
  <c r="L114" i="36" s="1"/>
  <c r="Q104" i="36"/>
  <c r="P104" i="36"/>
  <c r="O104" i="36"/>
  <c r="N104" i="36"/>
  <c r="M104" i="36"/>
  <c r="L104" i="36"/>
  <c r="F103" i="36"/>
  <c r="F364" i="39" s="1"/>
  <c r="Q102" i="36"/>
  <c r="N102" i="36"/>
  <c r="M102" i="36"/>
  <c r="L102" i="36"/>
  <c r="K78" i="36"/>
  <c r="K335" i="39" s="1"/>
  <c r="J78" i="36"/>
  <c r="J335" i="39" s="1"/>
  <c r="K77" i="36"/>
  <c r="K334" i="39" s="1"/>
  <c r="J77" i="36"/>
  <c r="J334" i="39" s="1"/>
  <c r="K76" i="36"/>
  <c r="K333" i="39" s="1"/>
  <c r="J76" i="36"/>
  <c r="J333" i="39" s="1"/>
  <c r="K75" i="36"/>
  <c r="K330" i="39" s="1"/>
  <c r="J75" i="36"/>
  <c r="J330" i="39" s="1"/>
  <c r="K74" i="36"/>
  <c r="J74" i="36"/>
  <c r="K72" i="36"/>
  <c r="K327" i="39" s="1"/>
  <c r="J72" i="36"/>
  <c r="J327" i="39" s="1"/>
  <c r="K71" i="36"/>
  <c r="K326" i="39" s="1"/>
  <c r="J71" i="36"/>
  <c r="J326" i="39" s="1"/>
  <c r="J328" i="39" s="1"/>
  <c r="Q70" i="36"/>
  <c r="M70" i="36"/>
  <c r="L70" i="36"/>
  <c r="K70" i="36"/>
  <c r="J70" i="36"/>
  <c r="J329" i="39" s="1"/>
  <c r="K66" i="36"/>
  <c r="K322" i="39" s="1"/>
  <c r="J66" i="36"/>
  <c r="J322" i="39" s="1"/>
  <c r="K65" i="36"/>
  <c r="K320" i="39" s="1"/>
  <c r="J65" i="36"/>
  <c r="J320" i="39" s="1"/>
  <c r="K64" i="36"/>
  <c r="K319" i="39" s="1"/>
  <c r="J64" i="36"/>
  <c r="J319" i="39" s="1"/>
  <c r="K63" i="36"/>
  <c r="K318" i="39" s="1"/>
  <c r="J63" i="36"/>
  <c r="J318" i="39" s="1"/>
  <c r="K61" i="36"/>
  <c r="K316" i="39" s="1"/>
  <c r="J61" i="36"/>
  <c r="J316" i="39" s="1"/>
  <c r="K60" i="36"/>
  <c r="K315" i="39" s="1"/>
  <c r="J60" i="36"/>
  <c r="J315" i="39" s="1"/>
  <c r="K59" i="36"/>
  <c r="K314" i="39" s="1"/>
  <c r="J59" i="36"/>
  <c r="J314" i="39" s="1"/>
  <c r="K58" i="36"/>
  <c r="K313" i="39" s="1"/>
  <c r="J58" i="36"/>
  <c r="J313" i="39" s="1"/>
  <c r="B53" i="36"/>
  <c r="K37" i="36"/>
  <c r="K292" i="39" s="1"/>
  <c r="J37" i="36"/>
  <c r="J292" i="39" s="1"/>
  <c r="I37" i="36"/>
  <c r="I292" i="39" s="1"/>
  <c r="L31" i="36"/>
  <c r="L142" i="64" s="1"/>
  <c r="K28" i="36"/>
  <c r="J28" i="36"/>
  <c r="I28" i="36"/>
  <c r="K25" i="36"/>
  <c r="K279" i="39" s="1"/>
  <c r="J25" i="36"/>
  <c r="J279" i="39" s="1"/>
  <c r="I25" i="36"/>
  <c r="I279" i="39" s="1"/>
  <c r="B23" i="36"/>
  <c r="B277" i="39" s="1"/>
  <c r="K21" i="36"/>
  <c r="K275" i="39" s="1"/>
  <c r="K281" i="39" s="1"/>
  <c r="J21" i="36"/>
  <c r="J275" i="39" s="1"/>
  <c r="I21" i="36"/>
  <c r="I275" i="39" s="1"/>
  <c r="B21" i="36"/>
  <c r="B275" i="39" s="1"/>
  <c r="B281" i="39" s="1"/>
  <c r="K19" i="36"/>
  <c r="K273" i="39" s="1"/>
  <c r="J19" i="36"/>
  <c r="J273" i="39" s="1"/>
  <c r="I19" i="36"/>
  <c r="I273" i="39" s="1"/>
  <c r="B19" i="36"/>
  <c r="B273" i="39" s="1"/>
  <c r="B18" i="36"/>
  <c r="B272" i="39" s="1"/>
  <c r="K15" i="36"/>
  <c r="K269" i="39" s="1"/>
  <c r="J15" i="36"/>
  <c r="J269" i="39" s="1"/>
  <c r="I15" i="36"/>
  <c r="I269" i="39" s="1"/>
  <c r="M12" i="36"/>
  <c r="K8" i="36"/>
  <c r="J8" i="36"/>
  <c r="I8" i="36"/>
  <c r="K7" i="36"/>
  <c r="J7" i="36" s="1"/>
  <c r="J173" i="36" s="1"/>
  <c r="Q4" i="36"/>
  <c r="Q4" i="64" s="1"/>
  <c r="R4" i="72" s="1"/>
  <c r="B4" i="36"/>
  <c r="B3" i="36"/>
  <c r="B2" i="36"/>
  <c r="B13" i="59"/>
  <c r="I13" i="24"/>
  <c r="I9" i="24"/>
  <c r="B4" i="24"/>
  <c r="B3" i="24"/>
  <c r="B2" i="24"/>
  <c r="D59" i="30"/>
  <c r="L58" i="30"/>
  <c r="L57" i="30" s="1"/>
  <c r="F58" i="30"/>
  <c r="D58" i="30"/>
  <c r="D57" i="30" s="1"/>
  <c r="F57" i="30"/>
  <c r="B16" i="30" s="1"/>
  <c r="B32" i="30" s="1"/>
  <c r="B51" i="30"/>
  <c r="B50" i="30"/>
  <c r="R38" i="30"/>
  <c r="R76" i="30" s="1"/>
  <c r="P38" i="30"/>
  <c r="P76" i="30" s="1"/>
  <c r="N38" i="30"/>
  <c r="N76" i="30" s="1"/>
  <c r="L38" i="30"/>
  <c r="L76" i="30" s="1"/>
  <c r="J38" i="30"/>
  <c r="J76" i="30" s="1"/>
  <c r="H38" i="30"/>
  <c r="H76" i="30" s="1"/>
  <c r="F38" i="30"/>
  <c r="F76" i="30" s="1"/>
  <c r="R37" i="30"/>
  <c r="R74" i="30" s="1"/>
  <c r="P37" i="30"/>
  <c r="P74" i="30" s="1"/>
  <c r="N37" i="30"/>
  <c r="N74" i="30" s="1"/>
  <c r="L37" i="30"/>
  <c r="L74" i="30" s="1"/>
  <c r="J37" i="30"/>
  <c r="J74" i="30" s="1"/>
  <c r="H37" i="30"/>
  <c r="H74" i="30" s="1"/>
  <c r="F37" i="30"/>
  <c r="F74" i="30" s="1"/>
  <c r="R35" i="30"/>
  <c r="T35" i="30" s="1"/>
  <c r="Z35" i="30" s="1"/>
  <c r="P35" i="30"/>
  <c r="N35" i="30"/>
  <c r="X35" i="30" s="1"/>
  <c r="L35" i="30"/>
  <c r="J35" i="30"/>
  <c r="H35" i="30"/>
  <c r="F35" i="30"/>
  <c r="J28" i="30"/>
  <c r="AJ27" i="30"/>
  <c r="AK27" i="30" s="1"/>
  <c r="AH27" i="30"/>
  <c r="AI28" i="30" s="1"/>
  <c r="AF27" i="30"/>
  <c r="AG27" i="30" s="1"/>
  <c r="AD27" i="30"/>
  <c r="AE28" i="30" s="1"/>
  <c r="AC27" i="30"/>
  <c r="T27" i="30"/>
  <c r="U28" i="30" s="1"/>
  <c r="R27" i="30"/>
  <c r="S27" i="30" s="1"/>
  <c r="Q27" i="30"/>
  <c r="P27" i="30"/>
  <c r="Q28" i="30" s="1"/>
  <c r="N27" i="30"/>
  <c r="O27" i="30" s="1"/>
  <c r="M27" i="30"/>
  <c r="L27" i="30"/>
  <c r="M28" i="30" s="1"/>
  <c r="J27" i="30"/>
  <c r="K27" i="30" s="1"/>
  <c r="H27" i="30"/>
  <c r="I28" i="30" s="1"/>
  <c r="F27" i="30"/>
  <c r="G27" i="30" s="1"/>
  <c r="B27" i="30"/>
  <c r="B26" i="30"/>
  <c r="AJ18" i="30"/>
  <c r="AH18" i="30"/>
  <c r="AF18" i="30"/>
  <c r="AD18" i="30"/>
  <c r="AB18" i="30"/>
  <c r="R18" i="30"/>
  <c r="P18" i="30"/>
  <c r="N18" i="30"/>
  <c r="X18" i="30" s="1"/>
  <c r="L18" i="30"/>
  <c r="J18" i="30"/>
  <c r="H18" i="30"/>
  <c r="F18" i="30"/>
  <c r="B18" i="30"/>
  <c r="R11" i="30"/>
  <c r="R28" i="30" s="1"/>
  <c r="P11" i="30"/>
  <c r="N11" i="30"/>
  <c r="L11" i="30"/>
  <c r="L28" i="30" s="1"/>
  <c r="J11" i="30"/>
  <c r="H11" i="30"/>
  <c r="H28" i="30" s="1"/>
  <c r="F11" i="30"/>
  <c r="B11" i="30"/>
  <c r="AL9" i="30"/>
  <c r="AB9" i="30"/>
  <c r="Z9" i="30"/>
  <c r="T9" i="30"/>
  <c r="B7" i="30"/>
  <c r="B3" i="30"/>
  <c r="B2" i="30"/>
  <c r="N45" i="23"/>
  <c r="N11" i="23" s="1"/>
  <c r="R39" i="30" s="1"/>
  <c r="R75" i="30" s="1"/>
  <c r="M45" i="23"/>
  <c r="M11" i="23" s="1"/>
  <c r="P39" i="30" s="1"/>
  <c r="P75" i="30" s="1"/>
  <c r="K45" i="23"/>
  <c r="J45" i="23"/>
  <c r="J11" i="23" s="1"/>
  <c r="L39" i="30" s="1"/>
  <c r="L75" i="30" s="1"/>
  <c r="I45" i="23"/>
  <c r="I11" i="23" s="1"/>
  <c r="J39" i="30" s="1"/>
  <c r="J75" i="30" s="1"/>
  <c r="H45" i="23"/>
  <c r="G45" i="23"/>
  <c r="P44" i="23"/>
  <c r="P43" i="23"/>
  <c r="P42" i="23"/>
  <c r="P40" i="23"/>
  <c r="P39" i="23"/>
  <c r="N35" i="23"/>
  <c r="P35" i="23" s="1"/>
  <c r="M35" i="23"/>
  <c r="K35" i="23"/>
  <c r="J35" i="23"/>
  <c r="I35" i="23"/>
  <c r="H35" i="23"/>
  <c r="G35" i="23"/>
  <c r="B33" i="23"/>
  <c r="P25" i="23"/>
  <c r="N23" i="23"/>
  <c r="M23" i="23"/>
  <c r="K23" i="23"/>
  <c r="J23" i="23"/>
  <c r="I23" i="23"/>
  <c r="H23" i="23"/>
  <c r="G23" i="23"/>
  <c r="P22" i="23"/>
  <c r="P21" i="23"/>
  <c r="P20" i="23"/>
  <c r="N17" i="23"/>
  <c r="M17" i="23"/>
  <c r="K17" i="23"/>
  <c r="J17" i="23"/>
  <c r="I17" i="23"/>
  <c r="H17" i="23"/>
  <c r="G17" i="23"/>
  <c r="P16" i="23"/>
  <c r="P15" i="23"/>
  <c r="T38" i="30" s="1"/>
  <c r="K11" i="23"/>
  <c r="N39" i="30" s="1"/>
  <c r="H11" i="23"/>
  <c r="H39" i="30" s="1"/>
  <c r="H75" i="30" s="1"/>
  <c r="G11" i="23"/>
  <c r="F39" i="30" s="1"/>
  <c r="F75" i="30" s="1"/>
  <c r="P10" i="23"/>
  <c r="P9" i="23"/>
  <c r="T37" i="30" s="1"/>
  <c r="P5" i="23"/>
  <c r="B4" i="23"/>
  <c r="B3" i="23"/>
  <c r="B2" i="23"/>
  <c r="O33" i="22"/>
  <c r="M33" i="22"/>
  <c r="K33" i="22"/>
  <c r="I33" i="22"/>
  <c r="I14" i="22" s="1"/>
  <c r="G33" i="22"/>
  <c r="O32" i="22"/>
  <c r="M32" i="22"/>
  <c r="K32" i="22"/>
  <c r="I32" i="22"/>
  <c r="G32" i="22"/>
  <c r="Q23" i="22"/>
  <c r="O23" i="22"/>
  <c r="M23" i="22"/>
  <c r="M24" i="22" s="1"/>
  <c r="K23" i="22"/>
  <c r="I23" i="22"/>
  <c r="I24" i="22" s="1"/>
  <c r="G23" i="22"/>
  <c r="Q19" i="22"/>
  <c r="O19" i="22"/>
  <c r="O21" i="22" s="1"/>
  <c r="M19" i="22"/>
  <c r="M21" i="22" s="1"/>
  <c r="K19" i="22"/>
  <c r="I19" i="22"/>
  <c r="G19" i="22"/>
  <c r="G21" i="22" s="1"/>
  <c r="M17" i="22"/>
  <c r="Q16" i="22"/>
  <c r="O16" i="22"/>
  <c r="O17" i="22" s="1"/>
  <c r="M16" i="22"/>
  <c r="K16" i="22"/>
  <c r="K17" i="22" s="1"/>
  <c r="I16" i="22"/>
  <c r="I17" i="22" s="1"/>
  <c r="G16" i="22"/>
  <c r="I13" i="22"/>
  <c r="G13" i="22"/>
  <c r="Q12" i="22"/>
  <c r="O12" i="22"/>
  <c r="O14" i="22" s="1"/>
  <c r="M12" i="22"/>
  <c r="M20" i="22" s="1"/>
  <c r="K12" i="22"/>
  <c r="I12" i="22"/>
  <c r="G12" i="22"/>
  <c r="G14" i="22" s="1"/>
  <c r="M9" i="22"/>
  <c r="Q8" i="22"/>
  <c r="O8" i="22"/>
  <c r="O10" i="22" s="1"/>
  <c r="M8" i="22"/>
  <c r="M10" i="22" s="1"/>
  <c r="K8" i="22"/>
  <c r="I8" i="22"/>
  <c r="I10" i="22" s="1"/>
  <c r="G8" i="22"/>
  <c r="Q6" i="22"/>
  <c r="B4" i="22"/>
  <c r="B3" i="22"/>
  <c r="B2" i="22"/>
  <c r="N57" i="21"/>
  <c r="K57" i="21"/>
  <c r="J57" i="21"/>
  <c r="I57" i="21"/>
  <c r="H57" i="21"/>
  <c r="G57" i="21"/>
  <c r="K56" i="21"/>
  <c r="J56" i="21"/>
  <c r="I56" i="21"/>
  <c r="H56" i="21"/>
  <c r="G56" i="21"/>
  <c r="K51" i="21"/>
  <c r="J51" i="21"/>
  <c r="I51" i="21"/>
  <c r="H51" i="21"/>
  <c r="G51" i="21"/>
  <c r="N41" i="21"/>
  <c r="N42" i="21" s="1"/>
  <c r="M41" i="21"/>
  <c r="M42" i="21" s="1"/>
  <c r="K41" i="21"/>
  <c r="K42" i="21" s="1"/>
  <c r="J41" i="21"/>
  <c r="J42" i="21" s="1"/>
  <c r="I41" i="21"/>
  <c r="I42" i="21" s="1"/>
  <c r="H41" i="21"/>
  <c r="H42" i="21" s="1"/>
  <c r="G41" i="21"/>
  <c r="G42" i="21" s="1"/>
  <c r="N34" i="21"/>
  <c r="M34" i="21"/>
  <c r="K34" i="21"/>
  <c r="J34" i="21"/>
  <c r="I34" i="21"/>
  <c r="H34" i="21"/>
  <c r="G34" i="21"/>
  <c r="N33" i="21"/>
  <c r="R36" i="30" s="1"/>
  <c r="T36" i="30" s="1"/>
  <c r="Z36" i="30" s="1"/>
  <c r="M33" i="21"/>
  <c r="P36" i="30" s="1"/>
  <c r="K33" i="21"/>
  <c r="N36" i="30" s="1"/>
  <c r="X36" i="30" s="1"/>
  <c r="J33" i="21"/>
  <c r="L36" i="30" s="1"/>
  <c r="I33" i="21"/>
  <c r="J36" i="30" s="1"/>
  <c r="H33" i="21"/>
  <c r="H36" i="30" s="1"/>
  <c r="G33" i="21"/>
  <c r="F36" i="30" s="1"/>
  <c r="M23" i="21"/>
  <c r="M29" i="21" s="1"/>
  <c r="J23" i="21"/>
  <c r="J29" i="21" s="1"/>
  <c r="I23" i="21"/>
  <c r="I29" i="21" s="1"/>
  <c r="H23" i="21"/>
  <c r="H29" i="21" s="1"/>
  <c r="G23" i="21"/>
  <c r="G29" i="21" s="1"/>
  <c r="N31" i="21"/>
  <c r="Q26" i="22" s="1"/>
  <c r="M12" i="21"/>
  <c r="J12" i="21"/>
  <c r="I12" i="21"/>
  <c r="H12" i="21"/>
  <c r="G12" i="21"/>
  <c r="B3" i="21"/>
  <c r="B2" i="21"/>
  <c r="N132" i="19"/>
  <c r="G132" i="19"/>
  <c r="P130" i="19"/>
  <c r="O130" i="19"/>
  <c r="N130" i="19"/>
  <c r="L130" i="19"/>
  <c r="K130" i="19"/>
  <c r="J130" i="19"/>
  <c r="I130" i="19"/>
  <c r="H130" i="19"/>
  <c r="G130" i="19"/>
  <c r="P129" i="19"/>
  <c r="O129" i="19"/>
  <c r="N129" i="19"/>
  <c r="L129" i="19"/>
  <c r="K129" i="19"/>
  <c r="J129" i="19"/>
  <c r="I129" i="19"/>
  <c r="H129" i="19"/>
  <c r="G129" i="19"/>
  <c r="P127" i="19"/>
  <c r="O127" i="19"/>
  <c r="N127" i="19"/>
  <c r="L127" i="19"/>
  <c r="K127" i="19"/>
  <c r="J127" i="19"/>
  <c r="I127" i="19"/>
  <c r="H127" i="19"/>
  <c r="P125" i="19"/>
  <c r="O125" i="19"/>
  <c r="N125" i="19"/>
  <c r="L125" i="19"/>
  <c r="K125" i="19"/>
  <c r="J125" i="19"/>
  <c r="I125" i="19"/>
  <c r="H125" i="19"/>
  <c r="G125" i="19"/>
  <c r="P123" i="19"/>
  <c r="O123" i="19"/>
  <c r="N123" i="19"/>
  <c r="L123" i="19"/>
  <c r="K123" i="19"/>
  <c r="J123" i="19"/>
  <c r="I123" i="19"/>
  <c r="H123" i="19"/>
  <c r="G123" i="19"/>
  <c r="P116" i="19"/>
  <c r="O116" i="19"/>
  <c r="N116" i="19"/>
  <c r="L116" i="19"/>
  <c r="K179" i="37" s="1"/>
  <c r="K183" i="37" s="1"/>
  <c r="K116" i="19"/>
  <c r="J179" i="37" s="1"/>
  <c r="J183" i="37" s="1"/>
  <c r="J116" i="19"/>
  <c r="I116" i="19"/>
  <c r="H116" i="19"/>
  <c r="G116" i="19"/>
  <c r="P98" i="19"/>
  <c r="O98" i="19"/>
  <c r="N98" i="19"/>
  <c r="L98" i="19"/>
  <c r="K98" i="19"/>
  <c r="J98" i="19"/>
  <c r="I98" i="19"/>
  <c r="H98" i="19"/>
  <c r="G98" i="19"/>
  <c r="P90" i="19"/>
  <c r="P92" i="19" s="1"/>
  <c r="O90" i="19"/>
  <c r="N90" i="19"/>
  <c r="N92" i="19" s="1"/>
  <c r="L90" i="19"/>
  <c r="L92" i="19" s="1"/>
  <c r="L100" i="19" s="1"/>
  <c r="K90" i="19"/>
  <c r="K92" i="19" s="1"/>
  <c r="J90" i="19"/>
  <c r="I90" i="19"/>
  <c r="I92" i="19" s="1"/>
  <c r="H90" i="19"/>
  <c r="H92" i="19" s="1"/>
  <c r="H100" i="19" s="1"/>
  <c r="G90" i="19"/>
  <c r="G92" i="19" s="1"/>
  <c r="P84" i="19"/>
  <c r="O84" i="19"/>
  <c r="N84" i="19"/>
  <c r="L84" i="19"/>
  <c r="K84" i="19"/>
  <c r="J84" i="19"/>
  <c r="I84" i="19"/>
  <c r="H84" i="19"/>
  <c r="G84" i="19"/>
  <c r="P78" i="19"/>
  <c r="O78" i="19"/>
  <c r="O92" i="19" s="1"/>
  <c r="N78" i="19"/>
  <c r="L78" i="19"/>
  <c r="K78" i="19"/>
  <c r="J78" i="19"/>
  <c r="J92" i="19" s="1"/>
  <c r="I78" i="19"/>
  <c r="H78" i="19"/>
  <c r="G78" i="19"/>
  <c r="P59" i="19"/>
  <c r="O59" i="19"/>
  <c r="P28" i="30" s="1"/>
  <c r="L59" i="19"/>
  <c r="K59" i="19"/>
  <c r="J59" i="19"/>
  <c r="I49" i="37" s="1"/>
  <c r="I59" i="19"/>
  <c r="B59" i="19"/>
  <c r="B44" i="19"/>
  <c r="B63" i="19" s="1"/>
  <c r="P42" i="19"/>
  <c r="O42" i="19"/>
  <c r="N42" i="19"/>
  <c r="R42" i="19" s="1"/>
  <c r="L42" i="19"/>
  <c r="K14" i="37" s="1"/>
  <c r="L14" i="37" s="1"/>
  <c r="K42" i="19"/>
  <c r="J14" i="37" s="1"/>
  <c r="J42" i="19"/>
  <c r="I14" i="37" s="1"/>
  <c r="I42" i="19"/>
  <c r="H42" i="19"/>
  <c r="U42" i="19" s="1"/>
  <c r="G42" i="19"/>
  <c r="B42" i="19"/>
  <c r="B41" i="19"/>
  <c r="B54" i="19" s="1"/>
  <c r="B40" i="19"/>
  <c r="B60" i="19" s="1"/>
  <c r="B39" i="19"/>
  <c r="P38" i="19"/>
  <c r="O38" i="19"/>
  <c r="N38" i="19"/>
  <c r="R38" i="19" s="1"/>
  <c r="L38" i="19"/>
  <c r="K12" i="37" s="1"/>
  <c r="K38" i="19"/>
  <c r="J12" i="37" s="1"/>
  <c r="J38" i="19"/>
  <c r="I12" i="37" s="1"/>
  <c r="I38" i="19"/>
  <c r="H38" i="19"/>
  <c r="U38" i="19" s="1"/>
  <c r="G38" i="19"/>
  <c r="B38" i="19"/>
  <c r="P37" i="19"/>
  <c r="P52" i="19" s="1"/>
  <c r="O37" i="19"/>
  <c r="O52" i="19" s="1"/>
  <c r="N37" i="19"/>
  <c r="N52" i="19" s="1"/>
  <c r="L37" i="19"/>
  <c r="K11" i="37" s="1"/>
  <c r="K42" i="37" s="1"/>
  <c r="K37" i="19"/>
  <c r="J11" i="37" s="1"/>
  <c r="J42" i="37" s="1"/>
  <c r="J37" i="19"/>
  <c r="I11" i="37" s="1"/>
  <c r="I37" i="19"/>
  <c r="I52" i="19" s="1"/>
  <c r="H37" i="19"/>
  <c r="G37" i="19"/>
  <c r="G52" i="19" s="1"/>
  <c r="B37" i="19"/>
  <c r="B52" i="19" s="1"/>
  <c r="B36" i="19"/>
  <c r="S32" i="19"/>
  <c r="N51" i="21" s="1"/>
  <c r="R32" i="19"/>
  <c r="M51" i="21" s="1"/>
  <c r="P30" i="19"/>
  <c r="P132" i="19" s="1"/>
  <c r="O30" i="19"/>
  <c r="O132" i="19" s="1"/>
  <c r="L30" i="19"/>
  <c r="K30" i="19"/>
  <c r="J30" i="19"/>
  <c r="I35" i="37" s="1"/>
  <c r="I220" i="37" s="1"/>
  <c r="I30" i="19"/>
  <c r="I132" i="19" s="1"/>
  <c r="H30" i="19"/>
  <c r="H132" i="19" s="1"/>
  <c r="U20" i="19"/>
  <c r="S20" i="19"/>
  <c r="S123" i="19" s="1"/>
  <c r="R20" i="19"/>
  <c r="R123" i="19" s="1"/>
  <c r="U18" i="19"/>
  <c r="S18" i="19"/>
  <c r="S125" i="19" s="1"/>
  <c r="R18" i="19"/>
  <c r="R125" i="19" s="1"/>
  <c r="S16" i="19"/>
  <c r="S127" i="19" s="1"/>
  <c r="R16" i="19"/>
  <c r="R127" i="19" s="1"/>
  <c r="S14" i="19"/>
  <c r="R14" i="19"/>
  <c r="U13" i="19"/>
  <c r="S13" i="19"/>
  <c r="S130" i="19" s="1"/>
  <c r="R13" i="19"/>
  <c r="R130" i="19" s="1"/>
  <c r="U11" i="19"/>
  <c r="S11" i="19"/>
  <c r="R11" i="19"/>
  <c r="S10" i="19"/>
  <c r="R10" i="19"/>
  <c r="P9" i="19"/>
  <c r="P36" i="19" s="1"/>
  <c r="O9" i="19"/>
  <c r="O12" i="19" s="1"/>
  <c r="N36" i="19"/>
  <c r="N51" i="19" s="1"/>
  <c r="L9" i="19"/>
  <c r="L36" i="19" s="1"/>
  <c r="K9" i="19"/>
  <c r="K36" i="19" s="1"/>
  <c r="J9" i="19"/>
  <c r="J12" i="19" s="1"/>
  <c r="I9" i="19"/>
  <c r="I36" i="19" s="1"/>
  <c r="H9" i="19"/>
  <c r="H36" i="19" s="1"/>
  <c r="G9" i="19"/>
  <c r="G36" i="19" s="1"/>
  <c r="G51" i="19" s="1"/>
  <c r="S8" i="19"/>
  <c r="R8" i="19"/>
  <c r="S7" i="19"/>
  <c r="J10" i="18" s="1"/>
  <c r="R7" i="19"/>
  <c r="P6" i="19"/>
  <c r="L6" i="19"/>
  <c r="N10" i="30" s="1"/>
  <c r="X10" i="30" s="1"/>
  <c r="H5" i="19"/>
  <c r="B4" i="19"/>
  <c r="B3" i="19"/>
  <c r="B2" i="19"/>
  <c r="B43" i="18"/>
  <c r="B41" i="18"/>
  <c r="B38" i="18"/>
  <c r="B37" i="18"/>
  <c r="G27" i="18"/>
  <c r="G26" i="18"/>
  <c r="G25" i="18"/>
  <c r="E25" i="18"/>
  <c r="J17" i="18"/>
  <c r="L23" i="41" s="1"/>
  <c r="J16" i="18"/>
  <c r="G16" i="18"/>
  <c r="J15" i="18"/>
  <c r="G15" i="18"/>
  <c r="G34" i="18" s="1"/>
  <c r="E9" i="18"/>
  <c r="E24" i="18" s="1"/>
  <c r="B9" i="18"/>
  <c r="B24" i="18" s="1"/>
  <c r="O8" i="18"/>
  <c r="J8" i="18"/>
  <c r="E8" i="18"/>
  <c r="J7" i="18"/>
  <c r="E7" i="18"/>
  <c r="B3" i="18"/>
  <c r="B2" i="18"/>
  <c r="B14" i="57"/>
  <c r="B13" i="57"/>
  <c r="I13" i="9"/>
  <c r="I9" i="9"/>
  <c r="B4" i="9"/>
  <c r="B3" i="9"/>
  <c r="B2" i="9"/>
  <c r="AB72" i="11"/>
  <c r="D59" i="11"/>
  <c r="L58" i="11"/>
  <c r="F58" i="11"/>
  <c r="D58" i="11"/>
  <c r="L57" i="11"/>
  <c r="I29" i="64" s="1"/>
  <c r="I42" i="64" s="1"/>
  <c r="F57" i="11"/>
  <c r="B16" i="11" s="1"/>
  <c r="B20" i="40" s="1"/>
  <c r="D57" i="11"/>
  <c r="B14" i="11" s="1"/>
  <c r="B12" i="76" s="1"/>
  <c r="B15" i="76" s="1"/>
  <c r="B51" i="11"/>
  <c r="B56" i="40" s="1"/>
  <c r="B50" i="11"/>
  <c r="R38" i="11"/>
  <c r="R76" i="11" s="1"/>
  <c r="P38" i="11"/>
  <c r="P76" i="11" s="1"/>
  <c r="N38" i="11"/>
  <c r="X38" i="11" s="1"/>
  <c r="L38" i="11"/>
  <c r="L76" i="11" s="1"/>
  <c r="J38" i="11"/>
  <c r="J76" i="11" s="1"/>
  <c r="H38" i="11"/>
  <c r="H76" i="11" s="1"/>
  <c r="F38" i="11"/>
  <c r="F76" i="11" s="1"/>
  <c r="R37" i="11"/>
  <c r="R74" i="11" s="1"/>
  <c r="P37" i="11"/>
  <c r="P74" i="11" s="1"/>
  <c r="N37" i="11"/>
  <c r="N74" i="11" s="1"/>
  <c r="L37" i="11"/>
  <c r="L74" i="11" s="1"/>
  <c r="J37" i="11"/>
  <c r="J74" i="11" s="1"/>
  <c r="H37" i="11"/>
  <c r="H74" i="11" s="1"/>
  <c r="F37" i="11"/>
  <c r="F74" i="11" s="1"/>
  <c r="R35" i="11"/>
  <c r="T35" i="11" s="1"/>
  <c r="Z35" i="11" s="1"/>
  <c r="P35" i="11"/>
  <c r="N35" i="11"/>
  <c r="X35" i="11" s="1"/>
  <c r="L35" i="11"/>
  <c r="J35" i="11"/>
  <c r="H35" i="11"/>
  <c r="F35" i="11"/>
  <c r="AJ27" i="11"/>
  <c r="AK27" i="11" s="1"/>
  <c r="AH27" i="11"/>
  <c r="AI28" i="11" s="1"/>
  <c r="AF27" i="11"/>
  <c r="AG27" i="11" s="1"/>
  <c r="AD27" i="11"/>
  <c r="AE28" i="11" s="1"/>
  <c r="AB27" i="11"/>
  <c r="AC27" i="11" s="1"/>
  <c r="T27" i="11"/>
  <c r="U28" i="11" s="1"/>
  <c r="R27" i="11"/>
  <c r="S27" i="11" s="1"/>
  <c r="P27" i="11"/>
  <c r="Q28" i="11" s="1"/>
  <c r="N27" i="11"/>
  <c r="O27" i="11" s="1"/>
  <c r="M27" i="11"/>
  <c r="L27" i="11"/>
  <c r="M28" i="11" s="1"/>
  <c r="J27" i="11"/>
  <c r="K27" i="11" s="1"/>
  <c r="H27" i="11"/>
  <c r="I28" i="11" s="1"/>
  <c r="F27" i="11"/>
  <c r="G27" i="11" s="1"/>
  <c r="B27" i="11"/>
  <c r="B26" i="11"/>
  <c r="B21" i="11"/>
  <c r="B26" i="40" s="1"/>
  <c r="AJ18" i="11"/>
  <c r="AH18" i="11"/>
  <c r="AF18" i="11"/>
  <c r="AD18" i="11"/>
  <c r="AB18" i="11"/>
  <c r="R18" i="11"/>
  <c r="P18" i="11"/>
  <c r="N18" i="11"/>
  <c r="X18" i="11" s="1"/>
  <c r="L18" i="11"/>
  <c r="J18" i="11"/>
  <c r="H18" i="11"/>
  <c r="F18" i="11"/>
  <c r="B18" i="11"/>
  <c r="B13" i="11"/>
  <c r="R11" i="11"/>
  <c r="P11" i="11"/>
  <c r="N11" i="11"/>
  <c r="L11" i="11"/>
  <c r="J11" i="11"/>
  <c r="H11" i="11"/>
  <c r="F11" i="11"/>
  <c r="B11" i="11"/>
  <c r="B15" i="40" s="1"/>
  <c r="AL9" i="11"/>
  <c r="AB9" i="11"/>
  <c r="T9" i="11"/>
  <c r="Z9" i="11" s="1"/>
  <c r="B7" i="11"/>
  <c r="B3" i="11"/>
  <c r="B2" i="11"/>
  <c r="M11" i="8"/>
  <c r="P39" i="11" s="1"/>
  <c r="P75" i="11" s="1"/>
  <c r="K45" i="8"/>
  <c r="K11" i="8" s="1"/>
  <c r="N39" i="11" s="1"/>
  <c r="J45" i="8"/>
  <c r="J11" i="8" s="1"/>
  <c r="L39" i="11" s="1"/>
  <c r="L75" i="11" s="1"/>
  <c r="I45" i="8"/>
  <c r="I11" i="8" s="1"/>
  <c r="J39" i="11" s="1"/>
  <c r="J75" i="11" s="1"/>
  <c r="H45" i="8"/>
  <c r="H11" i="8" s="1"/>
  <c r="H39" i="11" s="1"/>
  <c r="H75" i="11" s="1"/>
  <c r="G11" i="8"/>
  <c r="F39" i="11" s="1"/>
  <c r="F75" i="11" s="1"/>
  <c r="P43" i="8"/>
  <c r="P42" i="8"/>
  <c r="P41" i="8"/>
  <c r="P40" i="8"/>
  <c r="P39" i="8"/>
  <c r="N35" i="8"/>
  <c r="P35" i="8" s="1"/>
  <c r="M35" i="8"/>
  <c r="K35" i="8"/>
  <c r="J35" i="8"/>
  <c r="I35" i="8"/>
  <c r="H35" i="8"/>
  <c r="G35" i="8"/>
  <c r="B33" i="8"/>
  <c r="P25" i="8"/>
  <c r="N23" i="8"/>
  <c r="M23" i="8"/>
  <c r="K23" i="8"/>
  <c r="J23" i="8"/>
  <c r="I23" i="8"/>
  <c r="H23" i="8"/>
  <c r="G23" i="8"/>
  <c r="P22" i="8"/>
  <c r="P20" i="8"/>
  <c r="N17" i="8"/>
  <c r="M17" i="8"/>
  <c r="K17" i="8"/>
  <c r="J17" i="8"/>
  <c r="I17" i="8"/>
  <c r="H17" i="8"/>
  <c r="G17" i="8"/>
  <c r="P15" i="8"/>
  <c r="T38" i="11" s="1"/>
  <c r="N11" i="8"/>
  <c r="R39" i="11" s="1"/>
  <c r="R75" i="11" s="1"/>
  <c r="P10" i="8"/>
  <c r="P9" i="8"/>
  <c r="T37" i="11" s="1"/>
  <c r="P5" i="8"/>
  <c r="B4" i="8"/>
  <c r="B3" i="8"/>
  <c r="B2" i="8"/>
  <c r="O33" i="7"/>
  <c r="M33" i="7"/>
  <c r="K33" i="7"/>
  <c r="I33" i="7"/>
  <c r="G33" i="7"/>
  <c r="G14" i="7" s="1"/>
  <c r="O32" i="7"/>
  <c r="M32" i="7"/>
  <c r="M24" i="7" s="1"/>
  <c r="K32" i="7"/>
  <c r="K9" i="7" s="1"/>
  <c r="I32" i="7"/>
  <c r="I17" i="7" s="1"/>
  <c r="G32" i="7"/>
  <c r="G24" i="7" s="1"/>
  <c r="Q23" i="7"/>
  <c r="O23" i="7"/>
  <c r="O24" i="7" s="1"/>
  <c r="M23" i="7"/>
  <c r="K23" i="7"/>
  <c r="I23" i="7"/>
  <c r="G23" i="7"/>
  <c r="Q19" i="7"/>
  <c r="O19" i="7"/>
  <c r="M19" i="7"/>
  <c r="K19" i="7"/>
  <c r="K21" i="7" s="1"/>
  <c r="I19" i="7"/>
  <c r="G19" i="7"/>
  <c r="G20" i="7" s="1"/>
  <c r="Q16" i="7"/>
  <c r="O16" i="7"/>
  <c r="M16" i="7"/>
  <c r="K16" i="7"/>
  <c r="I16" i="7"/>
  <c r="G16" i="7"/>
  <c r="Q12" i="7"/>
  <c r="Q20" i="7" s="1"/>
  <c r="O12" i="7"/>
  <c r="O13" i="7" s="1"/>
  <c r="M12" i="7"/>
  <c r="K12" i="7"/>
  <c r="K13" i="7" s="1"/>
  <c r="I12" i="7"/>
  <c r="I20" i="7" s="1"/>
  <c r="G12" i="7"/>
  <c r="Q8" i="7"/>
  <c r="O8" i="7"/>
  <c r="O9" i="7" s="1"/>
  <c r="M8" i="7"/>
  <c r="M10" i="7" s="1"/>
  <c r="K8" i="7"/>
  <c r="K10" i="7" s="1"/>
  <c r="I8" i="7"/>
  <c r="G8" i="7"/>
  <c r="Q6" i="7"/>
  <c r="B4" i="7"/>
  <c r="B3" i="7"/>
  <c r="K57" i="6"/>
  <c r="J57" i="6"/>
  <c r="I57" i="6"/>
  <c r="H57" i="6"/>
  <c r="G57" i="6"/>
  <c r="K56" i="6"/>
  <c r="J56" i="6"/>
  <c r="I56" i="6"/>
  <c r="H56" i="6"/>
  <c r="G56" i="6"/>
  <c r="K51" i="6"/>
  <c r="J51" i="6"/>
  <c r="I51" i="6"/>
  <c r="H51" i="6"/>
  <c r="G51" i="6"/>
  <c r="N41" i="6"/>
  <c r="N42" i="6" s="1"/>
  <c r="M41" i="6"/>
  <c r="M42" i="6" s="1"/>
  <c r="K41" i="6"/>
  <c r="K42" i="6" s="1"/>
  <c r="J41" i="6"/>
  <c r="J42" i="6" s="1"/>
  <c r="I41" i="6"/>
  <c r="I42" i="6" s="1"/>
  <c r="H41" i="6"/>
  <c r="H42" i="6" s="1"/>
  <c r="G41" i="6"/>
  <c r="G42" i="6" s="1"/>
  <c r="N34" i="6"/>
  <c r="N45" i="6" s="1"/>
  <c r="M34" i="6"/>
  <c r="K34" i="6"/>
  <c r="J34" i="6"/>
  <c r="I34" i="6"/>
  <c r="I45" i="6" s="1"/>
  <c r="H34" i="6"/>
  <c r="G34" i="6"/>
  <c r="N33" i="6"/>
  <c r="M33" i="6"/>
  <c r="K33" i="6"/>
  <c r="N36" i="11" s="1"/>
  <c r="X36" i="11" s="1"/>
  <c r="J33" i="6"/>
  <c r="I33" i="6"/>
  <c r="H33" i="6"/>
  <c r="G33" i="6"/>
  <c r="F36" i="11" s="1"/>
  <c r="K23" i="6"/>
  <c r="K29" i="6" s="1"/>
  <c r="J23" i="6"/>
  <c r="J29" i="6" s="1"/>
  <c r="I23" i="6"/>
  <c r="I29" i="6" s="1"/>
  <c r="H23" i="6"/>
  <c r="H29" i="6" s="1"/>
  <c r="G23" i="6"/>
  <c r="G29" i="6" s="1"/>
  <c r="N38" i="6"/>
  <c r="N31" i="6"/>
  <c r="Q26" i="7" s="1"/>
  <c r="M38" i="6"/>
  <c r="K12" i="6"/>
  <c r="K31" i="6" s="1"/>
  <c r="O26" i="7" s="1"/>
  <c r="J12" i="6"/>
  <c r="J31" i="6" s="1"/>
  <c r="M26" i="7" s="1"/>
  <c r="I12" i="6"/>
  <c r="H12" i="6"/>
  <c r="H17" i="6" s="1"/>
  <c r="G12" i="6"/>
  <c r="G31" i="6" s="1"/>
  <c r="G26" i="7" s="1"/>
  <c r="B3" i="6"/>
  <c r="B2" i="6"/>
  <c r="N132" i="4"/>
  <c r="G132" i="4"/>
  <c r="P130" i="4"/>
  <c r="O130" i="4"/>
  <c r="N130" i="4"/>
  <c r="L130" i="4"/>
  <c r="K130" i="4"/>
  <c r="J130" i="4"/>
  <c r="I130" i="4"/>
  <c r="H130" i="4"/>
  <c r="G130" i="4"/>
  <c r="P129" i="4"/>
  <c r="O129" i="4"/>
  <c r="N129" i="4"/>
  <c r="L129" i="4"/>
  <c r="K129" i="4"/>
  <c r="J129" i="4"/>
  <c r="I129" i="4"/>
  <c r="H129" i="4"/>
  <c r="G129" i="4"/>
  <c r="P127" i="4"/>
  <c r="O127" i="4"/>
  <c r="N127" i="4"/>
  <c r="G127" i="4"/>
  <c r="P125" i="4"/>
  <c r="O125" i="4"/>
  <c r="N125" i="4"/>
  <c r="L125" i="4"/>
  <c r="K125" i="4"/>
  <c r="J125" i="4"/>
  <c r="I125" i="4"/>
  <c r="H125" i="4"/>
  <c r="G125" i="4"/>
  <c r="P123" i="4"/>
  <c r="O123" i="4"/>
  <c r="N123" i="4"/>
  <c r="L123" i="4"/>
  <c r="K123" i="4"/>
  <c r="J123" i="4"/>
  <c r="I123" i="4"/>
  <c r="H123" i="4"/>
  <c r="G123" i="4"/>
  <c r="P116" i="4"/>
  <c r="O116" i="4"/>
  <c r="N116" i="4"/>
  <c r="L116" i="4"/>
  <c r="K179" i="36" s="1"/>
  <c r="K183" i="36" s="1"/>
  <c r="K116" i="4"/>
  <c r="J179" i="36" s="1"/>
  <c r="J183" i="36" s="1"/>
  <c r="J116" i="4"/>
  <c r="I116" i="4"/>
  <c r="H116" i="4"/>
  <c r="G116" i="4"/>
  <c r="P98" i="4"/>
  <c r="P42" i="4" s="1"/>
  <c r="O98" i="4"/>
  <c r="N98" i="4"/>
  <c r="N42" i="4" s="1"/>
  <c r="L98" i="4"/>
  <c r="L42" i="4" s="1"/>
  <c r="K14" i="36" s="1"/>
  <c r="K98" i="4"/>
  <c r="K42" i="4" s="1"/>
  <c r="J14" i="36" s="1"/>
  <c r="J268" i="39" s="1"/>
  <c r="J98" i="4"/>
  <c r="J42" i="4" s="1"/>
  <c r="I14" i="36" s="1"/>
  <c r="I268" i="39" s="1"/>
  <c r="I98" i="4"/>
  <c r="I42" i="4" s="1"/>
  <c r="H98" i="4"/>
  <c r="H42" i="4" s="1"/>
  <c r="G98" i="4"/>
  <c r="G42" i="4" s="1"/>
  <c r="P90" i="4"/>
  <c r="O90" i="4"/>
  <c r="O38" i="4" s="1"/>
  <c r="N90" i="4"/>
  <c r="N38" i="4" s="1"/>
  <c r="L90" i="4"/>
  <c r="L38" i="4" s="1"/>
  <c r="K12" i="36" s="1"/>
  <c r="K266" i="39" s="1"/>
  <c r="K90" i="4"/>
  <c r="K38" i="4" s="1"/>
  <c r="J12" i="36" s="1"/>
  <c r="J266" i="39" s="1"/>
  <c r="J90" i="4"/>
  <c r="I90" i="4"/>
  <c r="I38" i="4" s="1"/>
  <c r="H90" i="4"/>
  <c r="G90" i="4"/>
  <c r="P84" i="4"/>
  <c r="P37" i="4" s="1"/>
  <c r="P52" i="4" s="1"/>
  <c r="O84" i="4"/>
  <c r="O37" i="4" s="1"/>
  <c r="O52" i="4" s="1"/>
  <c r="N84" i="4"/>
  <c r="N37" i="4" s="1"/>
  <c r="N52" i="4" s="1"/>
  <c r="L84" i="4"/>
  <c r="L37" i="4" s="1"/>
  <c r="K84" i="4"/>
  <c r="J84" i="4"/>
  <c r="I84" i="4"/>
  <c r="I37" i="4" s="1"/>
  <c r="I52" i="4" s="1"/>
  <c r="H84" i="4"/>
  <c r="H37" i="4" s="1"/>
  <c r="H52" i="4" s="1"/>
  <c r="G84" i="4"/>
  <c r="G37" i="4" s="1"/>
  <c r="G52" i="4" s="1"/>
  <c r="P78" i="4"/>
  <c r="O78" i="4"/>
  <c r="N78" i="4"/>
  <c r="L78" i="4"/>
  <c r="K78" i="4"/>
  <c r="J78" i="4"/>
  <c r="I78" i="4"/>
  <c r="H78" i="4"/>
  <c r="G78" i="4"/>
  <c r="P59" i="4"/>
  <c r="O59" i="4"/>
  <c r="P28" i="11" s="1"/>
  <c r="L59" i="4"/>
  <c r="K59" i="4"/>
  <c r="J59" i="4"/>
  <c r="I49" i="36" s="1"/>
  <c r="I59" i="4"/>
  <c r="H59" i="4"/>
  <c r="F28" i="11" s="1"/>
  <c r="B59" i="4"/>
  <c r="B44" i="4"/>
  <c r="B63" i="4" s="1"/>
  <c r="B42" i="4"/>
  <c r="B41" i="4"/>
  <c r="B40" i="4"/>
  <c r="B39" i="4"/>
  <c r="J38" i="4"/>
  <c r="I12" i="36" s="1"/>
  <c r="I266" i="39" s="1"/>
  <c r="H38" i="4"/>
  <c r="B38" i="4"/>
  <c r="K37" i="4"/>
  <c r="J37" i="4"/>
  <c r="B37" i="4"/>
  <c r="B52" i="4" s="1"/>
  <c r="B36" i="4"/>
  <c r="S32" i="4"/>
  <c r="N51" i="6" s="1"/>
  <c r="R32" i="4"/>
  <c r="M51" i="6" s="1"/>
  <c r="P30" i="4"/>
  <c r="P132" i="4" s="1"/>
  <c r="O30" i="4"/>
  <c r="O132" i="4" s="1"/>
  <c r="L30" i="4"/>
  <c r="K30" i="4"/>
  <c r="J30" i="4"/>
  <c r="I30" i="4"/>
  <c r="I132" i="4" s="1"/>
  <c r="H30" i="4"/>
  <c r="H132" i="4" s="1"/>
  <c r="U20" i="4"/>
  <c r="S20" i="4"/>
  <c r="S123" i="4" s="1"/>
  <c r="R20" i="4"/>
  <c r="R123" i="4" s="1"/>
  <c r="U18" i="4"/>
  <c r="S18" i="4"/>
  <c r="S125" i="4" s="1"/>
  <c r="R18" i="4"/>
  <c r="R125" i="4" s="1"/>
  <c r="S14" i="4"/>
  <c r="R14" i="4"/>
  <c r="S13" i="4"/>
  <c r="S130" i="4" s="1"/>
  <c r="R13" i="4"/>
  <c r="R130" i="4" s="1"/>
  <c r="S11" i="4"/>
  <c r="R11" i="4"/>
  <c r="S10" i="4"/>
  <c r="R10" i="4"/>
  <c r="P9" i="4"/>
  <c r="O9" i="4"/>
  <c r="N9" i="4"/>
  <c r="N12" i="4" s="1"/>
  <c r="L9" i="4"/>
  <c r="L12" i="4" s="1"/>
  <c r="K9" i="4"/>
  <c r="J9" i="4"/>
  <c r="I9" i="4"/>
  <c r="I12" i="4" s="1"/>
  <c r="H9" i="4"/>
  <c r="H12" i="4" s="1"/>
  <c r="G9" i="4"/>
  <c r="S8" i="4"/>
  <c r="Q33" i="7" s="1"/>
  <c r="Q14" i="7" s="1"/>
  <c r="R8" i="4"/>
  <c r="S7" i="4"/>
  <c r="J10" i="3" s="1"/>
  <c r="R7" i="4"/>
  <c r="P6" i="4"/>
  <c r="O6" i="4" s="1"/>
  <c r="L6" i="4"/>
  <c r="K6" i="4" s="1"/>
  <c r="H5" i="4"/>
  <c r="B4" i="4"/>
  <c r="B3" i="4"/>
  <c r="B2" i="4"/>
  <c r="B43" i="3"/>
  <c r="B41" i="3"/>
  <c r="B37" i="3"/>
  <c r="G27" i="3"/>
  <c r="G26" i="3"/>
  <c r="G25" i="3"/>
  <c r="E25" i="3"/>
  <c r="E20" i="3" s="1"/>
  <c r="J17" i="3"/>
  <c r="G23" i="41" s="1"/>
  <c r="J16" i="3"/>
  <c r="G16" i="3"/>
  <c r="B22" i="41" s="1"/>
  <c r="B32" i="41" s="1"/>
  <c r="J15" i="3"/>
  <c r="G15" i="3"/>
  <c r="B21" i="41" s="1"/>
  <c r="B31" i="41" s="1"/>
  <c r="E9" i="3"/>
  <c r="E24" i="3" s="1"/>
  <c r="B9" i="3"/>
  <c r="B24" i="3" s="1"/>
  <c r="O8" i="3"/>
  <c r="J8" i="3"/>
  <c r="E8" i="3"/>
  <c r="J7" i="3"/>
  <c r="E7" i="3"/>
  <c r="B3" i="3"/>
  <c r="B2" i="3"/>
  <c r="B1" i="3"/>
  <c r="B14" i="2"/>
  <c r="B13" i="2"/>
  <c r="D52" i="1"/>
  <c r="D51" i="1"/>
  <c r="D50" i="1"/>
  <c r="D49" i="1"/>
  <c r="B49" i="1"/>
  <c r="Q48" i="1"/>
  <c r="P48" i="1"/>
  <c r="O48" i="1"/>
  <c r="N48" i="1"/>
  <c r="M48" i="1"/>
  <c r="D48" i="1"/>
  <c r="R26" i="4" s="1"/>
  <c r="B48" i="1"/>
  <c r="K44" i="1"/>
  <c r="K43" i="1"/>
  <c r="O41" i="1"/>
  <c r="K41" i="1"/>
  <c r="N40" i="1"/>
  <c r="M40" i="1"/>
  <c r="K40" i="1"/>
  <c r="E40" i="1"/>
  <c r="D40" i="1"/>
  <c r="O39" i="1"/>
  <c r="P39" i="1" s="1"/>
  <c r="K39" i="1"/>
  <c r="F39" i="1"/>
  <c r="K38" i="1"/>
  <c r="K37" i="1"/>
  <c r="K35" i="1"/>
  <c r="Q34" i="1"/>
  <c r="P34" i="1"/>
  <c r="O34" i="1"/>
  <c r="N34" i="1"/>
  <c r="M34" i="1"/>
  <c r="K34" i="1"/>
  <c r="G34" i="1"/>
  <c r="F34" i="1"/>
  <c r="E34" i="1"/>
  <c r="D34" i="1"/>
  <c r="B34" i="1"/>
  <c r="K31" i="1"/>
  <c r="L31" i="1" s="1"/>
  <c r="B31" i="1"/>
  <c r="C31" i="1" s="1"/>
  <c r="N30" i="1"/>
  <c r="M30" i="1"/>
  <c r="E30" i="1"/>
  <c r="D30" i="1"/>
  <c r="N29" i="1"/>
  <c r="M29" i="1"/>
  <c r="E29" i="1"/>
  <c r="D29" i="1"/>
  <c r="N28" i="1"/>
  <c r="M28" i="1"/>
  <c r="E28" i="1"/>
  <c r="D28" i="1"/>
  <c r="N27" i="1"/>
  <c r="M27" i="1"/>
  <c r="E27" i="1"/>
  <c r="D27" i="1"/>
  <c r="N26" i="1"/>
  <c r="M26" i="1"/>
  <c r="E26" i="1"/>
  <c r="D26" i="1"/>
  <c r="N25" i="1"/>
  <c r="M25" i="1"/>
  <c r="E25" i="1"/>
  <c r="D25" i="1"/>
  <c r="Q12" i="1"/>
  <c r="P12" i="1"/>
  <c r="H12" i="1"/>
  <c r="G12" i="1"/>
  <c r="P70" i="37" l="1"/>
  <c r="L70" i="37"/>
  <c r="M149" i="37"/>
  <c r="B12" i="11"/>
  <c r="B16" i="40" s="1"/>
  <c r="B17" i="40"/>
  <c r="B10" i="76"/>
  <c r="Q3" i="36"/>
  <c r="B6" i="76"/>
  <c r="O3" i="76"/>
  <c r="I17" i="24"/>
  <c r="I15" i="24"/>
  <c r="AL3" i="30"/>
  <c r="O3" i="75"/>
  <c r="B6" i="75"/>
  <c r="P285" i="38"/>
  <c r="P159" i="37"/>
  <c r="P161" i="37" s="1"/>
  <c r="M285" i="38"/>
  <c r="M159" i="37"/>
  <c r="Q285" i="38"/>
  <c r="Q159" i="37"/>
  <c r="N285" i="38"/>
  <c r="N159" i="37"/>
  <c r="N161" i="37" s="1"/>
  <c r="N167" i="37" s="1"/>
  <c r="N147" i="37" s="1"/>
  <c r="O285" i="38"/>
  <c r="O159" i="37"/>
  <c r="O161" i="37" s="1"/>
  <c r="P37" i="39"/>
  <c r="P10" i="41"/>
  <c r="U24" i="71"/>
  <c r="J23" i="71"/>
  <c r="J24" i="71"/>
  <c r="D20" i="71"/>
  <c r="E20" i="69"/>
  <c r="C336" i="38"/>
  <c r="D42" i="38"/>
  <c r="G15" i="64"/>
  <c r="G14" i="64"/>
  <c r="C312" i="64"/>
  <c r="C327" i="64" s="1"/>
  <c r="J31" i="3"/>
  <c r="N296" i="64"/>
  <c r="Q295" i="64"/>
  <c r="I27" i="30"/>
  <c r="U27" i="30"/>
  <c r="Q260" i="37"/>
  <c r="Q3" i="37"/>
  <c r="AE27" i="11"/>
  <c r="N70" i="36"/>
  <c r="O70" i="36"/>
  <c r="N448" i="39"/>
  <c r="AI27" i="11"/>
  <c r="M394" i="39"/>
  <c r="N394" i="39" s="1"/>
  <c r="O394" i="39" s="1"/>
  <c r="P394" i="39" s="1"/>
  <c r="Q394" i="39" s="1"/>
  <c r="M246" i="36"/>
  <c r="B25" i="39"/>
  <c r="S39" i="39" s="1"/>
  <c r="N297" i="64"/>
  <c r="O395" i="39"/>
  <c r="N246" i="36"/>
  <c r="I13" i="64"/>
  <c r="T13" i="64" s="1"/>
  <c r="T33" i="64" s="1"/>
  <c r="L443" i="39"/>
  <c r="L449" i="39" s="1"/>
  <c r="O476" i="39"/>
  <c r="I281" i="39"/>
  <c r="K328" i="39"/>
  <c r="K336" i="39" s="1"/>
  <c r="M130" i="36"/>
  <c r="L148" i="36"/>
  <c r="Q454" i="39"/>
  <c r="N455" i="39"/>
  <c r="L246" i="36"/>
  <c r="L8" i="36" s="1"/>
  <c r="E35" i="64" s="1"/>
  <c r="J281" i="39"/>
  <c r="M73" i="64"/>
  <c r="O73" i="64" s="1"/>
  <c r="Q73" i="64" s="1"/>
  <c r="B254" i="64"/>
  <c r="B260" i="64"/>
  <c r="O296" i="38"/>
  <c r="C42" i="64"/>
  <c r="O297" i="64"/>
  <c r="L288" i="64"/>
  <c r="L292" i="64" s="1"/>
  <c r="B273" i="64"/>
  <c r="B294" i="64" s="1"/>
  <c r="B274" i="64"/>
  <c r="B295" i="64" s="1"/>
  <c r="O295" i="64"/>
  <c r="M296" i="38"/>
  <c r="P45" i="23"/>
  <c r="P23" i="23"/>
  <c r="M31" i="21"/>
  <c r="M52" i="21"/>
  <c r="K20" i="22"/>
  <c r="K134" i="37"/>
  <c r="K136" i="37" s="1"/>
  <c r="O13" i="22"/>
  <c r="K9" i="22"/>
  <c r="M17" i="21"/>
  <c r="M38" i="21" s="1"/>
  <c r="J45" i="21"/>
  <c r="H31" i="21"/>
  <c r="I26" i="22" s="1"/>
  <c r="I27" i="22" s="1"/>
  <c r="I31" i="21"/>
  <c r="K26" i="22" s="1"/>
  <c r="K27" i="22" s="1"/>
  <c r="J31" i="21"/>
  <c r="M26" i="22" s="1"/>
  <c r="M27" i="22" s="1"/>
  <c r="I44" i="21"/>
  <c r="G52" i="21"/>
  <c r="H52" i="21"/>
  <c r="I52" i="21"/>
  <c r="J52" i="21"/>
  <c r="H17" i="21"/>
  <c r="H38" i="21" s="1"/>
  <c r="N44" i="21"/>
  <c r="Q44" i="21" s="1"/>
  <c r="O14" i="18" s="1"/>
  <c r="N52" i="21"/>
  <c r="K52" i="21"/>
  <c r="B19" i="19"/>
  <c r="B20" i="37" s="1"/>
  <c r="B52" i="37" s="1"/>
  <c r="R9" i="19"/>
  <c r="G24" i="22"/>
  <c r="G10" i="22"/>
  <c r="K24" i="22"/>
  <c r="J233" i="37"/>
  <c r="I221" i="37"/>
  <c r="G17" i="22"/>
  <c r="I21" i="22"/>
  <c r="R12" i="19"/>
  <c r="R29" i="19" s="1"/>
  <c r="K10" i="22"/>
  <c r="K14" i="22"/>
  <c r="O24" i="22"/>
  <c r="S9" i="19"/>
  <c r="S12" i="19" s="1"/>
  <c r="S29" i="19" s="1"/>
  <c r="S37" i="19"/>
  <c r="S52" i="19" s="1"/>
  <c r="M283" i="36"/>
  <c r="M221" i="36" s="1"/>
  <c r="N221" i="36" s="1"/>
  <c r="L218" i="36"/>
  <c r="L275" i="36"/>
  <c r="AB11" i="11"/>
  <c r="F15" i="40" s="1"/>
  <c r="S16" i="71"/>
  <c r="J31" i="18"/>
  <c r="J30" i="18"/>
  <c r="I197" i="37" s="1"/>
  <c r="I31" i="6"/>
  <c r="K26" i="7" s="1"/>
  <c r="K27" i="7" s="1"/>
  <c r="N52" i="6"/>
  <c r="M44" i="6"/>
  <c r="H38" i="6"/>
  <c r="B5" i="11"/>
  <c r="AL3" i="11"/>
  <c r="P260" i="36"/>
  <c r="P23" i="8"/>
  <c r="R28" i="11"/>
  <c r="I10" i="7"/>
  <c r="K218" i="36"/>
  <c r="I9" i="7"/>
  <c r="G17" i="7"/>
  <c r="G27" i="7"/>
  <c r="U27" i="11"/>
  <c r="M14" i="7"/>
  <c r="J28" i="11"/>
  <c r="K24" i="7"/>
  <c r="G9" i="7"/>
  <c r="K17" i="7"/>
  <c r="M21" i="7"/>
  <c r="P92" i="4"/>
  <c r="G92" i="4"/>
  <c r="G100" i="4" s="1"/>
  <c r="O92" i="4"/>
  <c r="O100" i="4" s="1"/>
  <c r="O103" i="4" s="1"/>
  <c r="O105" i="4" s="1"/>
  <c r="O36" i="4"/>
  <c r="O51" i="4" s="1"/>
  <c r="G36" i="4"/>
  <c r="G51" i="4" s="1"/>
  <c r="P36" i="4"/>
  <c r="N57" i="6"/>
  <c r="P45" i="8"/>
  <c r="M17" i="7"/>
  <c r="H28" i="11"/>
  <c r="J92" i="4"/>
  <c r="J100" i="4" s="1"/>
  <c r="J103" i="4" s="1"/>
  <c r="I17" i="36" s="1"/>
  <c r="Q27" i="11"/>
  <c r="M13" i="7"/>
  <c r="K329" i="39"/>
  <c r="K341" i="39" s="1"/>
  <c r="H92" i="4"/>
  <c r="H100" i="4" s="1"/>
  <c r="O20" i="7"/>
  <c r="L28" i="11"/>
  <c r="I24" i="7"/>
  <c r="I27" i="11"/>
  <c r="J340" i="39"/>
  <c r="I92" i="4"/>
  <c r="I100" i="4" s="1"/>
  <c r="I103" i="4" s="1"/>
  <c r="I105" i="4" s="1"/>
  <c r="M27" i="7"/>
  <c r="N44" i="6"/>
  <c r="O17" i="7"/>
  <c r="O12" i="4"/>
  <c r="P71" i="11" s="1"/>
  <c r="O27" i="7"/>
  <c r="N92" i="4"/>
  <c r="N100" i="4" s="1"/>
  <c r="N103" i="4" s="1"/>
  <c r="N105" i="4" s="1"/>
  <c r="O14" i="7"/>
  <c r="K340" i="39"/>
  <c r="I218" i="36"/>
  <c r="O42" i="4"/>
  <c r="R42" i="4" s="1"/>
  <c r="G13" i="7"/>
  <c r="J36" i="4"/>
  <c r="I9" i="36" s="1"/>
  <c r="G38" i="4"/>
  <c r="P38" i="4"/>
  <c r="S38" i="4" s="1"/>
  <c r="I21" i="7"/>
  <c r="J218" i="36"/>
  <c r="M52" i="6"/>
  <c r="J44" i="6"/>
  <c r="K52" i="6"/>
  <c r="G52" i="6"/>
  <c r="H44" i="6"/>
  <c r="H52" i="6"/>
  <c r="I44" i="6"/>
  <c r="I52" i="6"/>
  <c r="J52" i="6"/>
  <c r="I17" i="6"/>
  <c r="I38" i="6" s="1"/>
  <c r="K92" i="4"/>
  <c r="K100" i="4" s="1"/>
  <c r="L92" i="4"/>
  <c r="L100" i="4" s="1"/>
  <c r="K36" i="4"/>
  <c r="K51" i="4" s="1"/>
  <c r="S9" i="4"/>
  <c r="S12" i="4" s="1"/>
  <c r="S29" i="4" s="1"/>
  <c r="R38" i="4"/>
  <c r="R9" i="4"/>
  <c r="R12" i="4" s="1"/>
  <c r="R15" i="4" s="1"/>
  <c r="J12" i="4"/>
  <c r="J71" i="11" s="1"/>
  <c r="U23" i="71"/>
  <c r="N24" i="71"/>
  <c r="L273" i="37"/>
  <c r="N16" i="71"/>
  <c r="C42" i="38"/>
  <c r="E42" i="38"/>
  <c r="L212" i="36"/>
  <c r="M209" i="36" s="1"/>
  <c r="M212" i="36" s="1"/>
  <c r="N209" i="36" s="1"/>
  <c r="F42" i="38"/>
  <c r="B47" i="11"/>
  <c r="B51" i="40" s="1"/>
  <c r="L288" i="38"/>
  <c r="L292" i="38" s="1"/>
  <c r="B5" i="30"/>
  <c r="AI27" i="30"/>
  <c r="O70" i="37"/>
  <c r="I218" i="37"/>
  <c r="AE27" i="30"/>
  <c r="K240" i="37"/>
  <c r="L240" i="37" s="1"/>
  <c r="M240" i="37" s="1"/>
  <c r="N240" i="37" s="1"/>
  <c r="O240" i="37" s="1"/>
  <c r="P240" i="37" s="1"/>
  <c r="Q240" i="37" s="1"/>
  <c r="L275" i="37"/>
  <c r="M73" i="38"/>
  <c r="O73" i="38" s="1"/>
  <c r="Q73" i="38" s="1"/>
  <c r="O293" i="38"/>
  <c r="K83" i="37"/>
  <c r="K84" i="37" s="1"/>
  <c r="M70" i="37"/>
  <c r="N12" i="37"/>
  <c r="K233" i="37"/>
  <c r="L233" i="37" s="1"/>
  <c r="L218" i="37"/>
  <c r="L149" i="37"/>
  <c r="L283" i="37"/>
  <c r="L221" i="37" s="1"/>
  <c r="I42" i="37"/>
  <c r="K62" i="37"/>
  <c r="K67" i="37" s="1"/>
  <c r="J240" i="37"/>
  <c r="N149" i="37"/>
  <c r="P246" i="37"/>
  <c r="J83" i="37"/>
  <c r="J84" i="37" s="1"/>
  <c r="L246" i="37"/>
  <c r="L8" i="37" s="1"/>
  <c r="R6" i="4"/>
  <c r="N6" i="4"/>
  <c r="N72" i="4" s="1"/>
  <c r="B18" i="40"/>
  <c r="B23" i="11"/>
  <c r="B28" i="40" s="1"/>
  <c r="A43" i="11"/>
  <c r="I36" i="64" s="1"/>
  <c r="C318" i="38"/>
  <c r="S21" i="71"/>
  <c r="C314" i="38"/>
  <c r="C324" i="38" s="1"/>
  <c r="B32" i="11"/>
  <c r="B36" i="40" s="1"/>
  <c r="C318" i="64"/>
  <c r="C328" i="38"/>
  <c r="T18" i="71"/>
  <c r="S24" i="71"/>
  <c r="N21" i="71"/>
  <c r="N25" i="71"/>
  <c r="B44" i="11"/>
  <c r="L10" i="3" s="1"/>
  <c r="C323" i="64"/>
  <c r="C343" i="38"/>
  <c r="M31" i="1"/>
  <c r="P14" i="1" s="1"/>
  <c r="B45" i="11"/>
  <c r="L11" i="3" s="1"/>
  <c r="E42" i="64"/>
  <c r="U15" i="71"/>
  <c r="O22" i="71"/>
  <c r="S6" i="4"/>
  <c r="P6" i="8" s="1"/>
  <c r="D42" i="64"/>
  <c r="B46" i="11"/>
  <c r="L12" i="3" s="1"/>
  <c r="C343" i="64"/>
  <c r="D95" i="39"/>
  <c r="N23" i="71"/>
  <c r="S25" i="71"/>
  <c r="G31" i="3"/>
  <c r="L10" i="11"/>
  <c r="K111" i="4"/>
  <c r="F71" i="11"/>
  <c r="H15" i="4"/>
  <c r="H29" i="4"/>
  <c r="N71" i="11"/>
  <c r="L15" i="4"/>
  <c r="L29" i="4"/>
  <c r="H71" i="11"/>
  <c r="I29" i="4"/>
  <c r="I15" i="4"/>
  <c r="I127" i="4" s="1"/>
  <c r="N29" i="4"/>
  <c r="N15" i="4"/>
  <c r="N17" i="4" s="1"/>
  <c r="N19" i="4" s="1"/>
  <c r="J12" i="11"/>
  <c r="J21" i="11" s="1"/>
  <c r="P12" i="11"/>
  <c r="P21" i="11" s="1"/>
  <c r="R12" i="11"/>
  <c r="R21" i="11" s="1"/>
  <c r="P51" i="4"/>
  <c r="J20" i="3"/>
  <c r="G35" i="3"/>
  <c r="O5" i="4"/>
  <c r="M5" i="8" s="1"/>
  <c r="G12" i="4"/>
  <c r="K12" i="4"/>
  <c r="P12" i="4"/>
  <c r="S129" i="4"/>
  <c r="N56" i="6"/>
  <c r="B19" i="4"/>
  <c r="S23" i="4"/>
  <c r="J35" i="36"/>
  <c r="K132" i="4"/>
  <c r="R30" i="4"/>
  <c r="R132" i="4" s="1"/>
  <c r="H36" i="4"/>
  <c r="L36" i="4"/>
  <c r="J11" i="36"/>
  <c r="K52" i="4"/>
  <c r="P100" i="4"/>
  <c r="Q21" i="7"/>
  <c r="T74" i="11"/>
  <c r="Z37" i="11"/>
  <c r="T76" i="11"/>
  <c r="T67" i="11"/>
  <c r="Z38" i="11"/>
  <c r="J9" i="37"/>
  <c r="J229" i="37" s="1"/>
  <c r="J230" i="37" s="1"/>
  <c r="L12" i="30"/>
  <c r="L21" i="30" s="1"/>
  <c r="K51" i="19"/>
  <c r="R12" i="30"/>
  <c r="R21" i="30" s="1"/>
  <c r="P51" i="19"/>
  <c r="H103" i="19"/>
  <c r="H105" i="19" s="1"/>
  <c r="L103" i="19"/>
  <c r="K17" i="37" s="1"/>
  <c r="G100" i="19"/>
  <c r="K100" i="19"/>
  <c r="P100" i="19"/>
  <c r="I17" i="9"/>
  <c r="Q28" i="6"/>
  <c r="B65" i="4"/>
  <c r="B22" i="9" s="1"/>
  <c r="I16" i="9"/>
  <c r="Q26" i="6"/>
  <c r="E29" i="3" s="1"/>
  <c r="Q8" i="6"/>
  <c r="E31" i="3" s="1"/>
  <c r="G30" i="64" s="1"/>
  <c r="I15" i="9"/>
  <c r="Q24" i="6"/>
  <c r="Q20" i="6"/>
  <c r="P111" i="4"/>
  <c r="P72" i="4"/>
  <c r="R10" i="11"/>
  <c r="N6" i="6"/>
  <c r="Q7" i="7" s="1"/>
  <c r="N6" i="8"/>
  <c r="T11" i="11"/>
  <c r="Z11" i="11" s="1"/>
  <c r="Q32" i="7"/>
  <c r="Q27" i="7" s="1"/>
  <c r="S59" i="4"/>
  <c r="T28" i="11" s="1"/>
  <c r="Z28" i="11" s="1"/>
  <c r="K35" i="36"/>
  <c r="L132" i="4"/>
  <c r="S30" i="4"/>
  <c r="S132" i="4" s="1"/>
  <c r="I36" i="4"/>
  <c r="N36" i="4"/>
  <c r="N51" i="4" s="1"/>
  <c r="K11" i="36"/>
  <c r="L52" i="4"/>
  <c r="R37" i="4"/>
  <c r="R52" i="4" s="1"/>
  <c r="H45" i="6"/>
  <c r="M45" i="6"/>
  <c r="N75" i="11"/>
  <c r="X39" i="11"/>
  <c r="F12" i="30"/>
  <c r="F21" i="30" s="1"/>
  <c r="H51" i="19"/>
  <c r="K9" i="37"/>
  <c r="K10" i="37" s="1"/>
  <c r="N12" i="30"/>
  <c r="L51" i="19"/>
  <c r="G17" i="41"/>
  <c r="L49" i="39"/>
  <c r="D35" i="64"/>
  <c r="K6" i="8"/>
  <c r="L111" i="4"/>
  <c r="L72" i="4"/>
  <c r="N10" i="11"/>
  <c r="X10" i="11" s="1"/>
  <c r="K6" i="6"/>
  <c r="O7" i="7" s="1"/>
  <c r="S37" i="4"/>
  <c r="S52" i="4" s="1"/>
  <c r="B53" i="4"/>
  <c r="B60" i="4"/>
  <c r="K268" i="39"/>
  <c r="H12" i="30"/>
  <c r="H21" i="30" s="1"/>
  <c r="I51" i="19"/>
  <c r="I100" i="19"/>
  <c r="N100" i="19"/>
  <c r="R129" i="4"/>
  <c r="M56" i="6"/>
  <c r="I35" i="36"/>
  <c r="J132" i="4"/>
  <c r="I11" i="36"/>
  <c r="J52" i="4"/>
  <c r="B54" i="4"/>
  <c r="B61" i="4"/>
  <c r="T71" i="30"/>
  <c r="J71" i="30"/>
  <c r="J29" i="19"/>
  <c r="J15" i="19"/>
  <c r="P71" i="30"/>
  <c r="O29" i="19"/>
  <c r="O15" i="19"/>
  <c r="J100" i="19"/>
  <c r="O100" i="19"/>
  <c r="H31" i="6"/>
  <c r="I26" i="7" s="1"/>
  <c r="I27" i="7" s="1"/>
  <c r="M31" i="6"/>
  <c r="J45" i="6"/>
  <c r="G10" i="7"/>
  <c r="O10" i="7"/>
  <c r="K14" i="7"/>
  <c r="K20" i="7"/>
  <c r="G21" i="7"/>
  <c r="O21" i="7"/>
  <c r="X11" i="11"/>
  <c r="N28" i="11"/>
  <c r="X28" i="11" s="1"/>
  <c r="H36" i="11"/>
  <c r="P36" i="11"/>
  <c r="B192" i="36"/>
  <c r="F67" i="11"/>
  <c r="N67" i="11"/>
  <c r="N76" i="11"/>
  <c r="Q33" i="22"/>
  <c r="Q14" i="22" s="1"/>
  <c r="Q13" i="22"/>
  <c r="G12" i="19"/>
  <c r="K12" i="19"/>
  <c r="P12" i="19"/>
  <c r="N56" i="21"/>
  <c r="S129" i="19"/>
  <c r="B15" i="30"/>
  <c r="J36" i="19"/>
  <c r="O36" i="19"/>
  <c r="L298" i="37"/>
  <c r="L135" i="38"/>
  <c r="M14" i="37"/>
  <c r="H52" i="19"/>
  <c r="L52" i="19"/>
  <c r="B61" i="19"/>
  <c r="J132" i="19"/>
  <c r="J17" i="6"/>
  <c r="J38" i="6" s="1"/>
  <c r="G44" i="6"/>
  <c r="K44" i="6"/>
  <c r="G45" i="6"/>
  <c r="K45" i="6"/>
  <c r="Q45" i="6" s="1"/>
  <c r="O15" i="3" s="1"/>
  <c r="M9" i="7"/>
  <c r="I13" i="7"/>
  <c r="Q13" i="7"/>
  <c r="M20" i="7"/>
  <c r="P17" i="8"/>
  <c r="B22" i="11"/>
  <c r="B27" i="40" s="1"/>
  <c r="X27" i="11"/>
  <c r="G28" i="11"/>
  <c r="K28" i="11"/>
  <c r="O28" i="11"/>
  <c r="S28" i="11"/>
  <c r="AC28" i="11"/>
  <c r="AG28" i="11"/>
  <c r="AK28" i="11"/>
  <c r="B30" i="11"/>
  <c r="B34" i="40" s="1"/>
  <c r="J36" i="11"/>
  <c r="R36" i="11"/>
  <c r="T36" i="11" s="1"/>
  <c r="Z36" i="11" s="1"/>
  <c r="X37" i="11"/>
  <c r="H67" i="11"/>
  <c r="P67" i="11"/>
  <c r="J20" i="18"/>
  <c r="T11" i="30"/>
  <c r="Z11" i="30" s="1"/>
  <c r="Q32" i="22"/>
  <c r="Q24" i="22" s="1"/>
  <c r="H12" i="19"/>
  <c r="L12" i="19"/>
  <c r="S38" i="19"/>
  <c r="S42" i="19"/>
  <c r="I29" i="38"/>
  <c r="I42" i="38" s="1"/>
  <c r="B47" i="30"/>
  <c r="B44" i="30"/>
  <c r="A43" i="30"/>
  <c r="B45" i="30"/>
  <c r="B46" i="30"/>
  <c r="G17" i="6"/>
  <c r="G38" i="6" s="1"/>
  <c r="K17" i="6"/>
  <c r="K38" i="6" s="1"/>
  <c r="P11" i="8"/>
  <c r="T39" i="11" s="1"/>
  <c r="B29" i="11"/>
  <c r="B33" i="40" s="1"/>
  <c r="L36" i="11"/>
  <c r="I38" i="64"/>
  <c r="J67" i="11"/>
  <c r="R67" i="11"/>
  <c r="L17" i="41"/>
  <c r="N49" i="39"/>
  <c r="D35" i="38"/>
  <c r="I12" i="19"/>
  <c r="J35" i="37"/>
  <c r="J220" i="37" s="1"/>
  <c r="J221" i="37" s="1"/>
  <c r="K132" i="19"/>
  <c r="R30" i="19"/>
  <c r="R132" i="19" s="1"/>
  <c r="J52" i="19"/>
  <c r="B53" i="19"/>
  <c r="S59" i="19"/>
  <c r="T28" i="30" s="1"/>
  <c r="Z28" i="30" s="1"/>
  <c r="T74" i="30"/>
  <c r="Z37" i="30"/>
  <c r="T67" i="30"/>
  <c r="Z38" i="30"/>
  <c r="T76" i="30"/>
  <c r="I14" i="7"/>
  <c r="Z27" i="11"/>
  <c r="B28" i="11"/>
  <c r="B32" i="40" s="1"/>
  <c r="L67" i="11"/>
  <c r="M56" i="21"/>
  <c r="R129" i="19"/>
  <c r="K35" i="37"/>
  <c r="K220" i="37" s="1"/>
  <c r="K221" i="37" s="1"/>
  <c r="L132" i="19"/>
  <c r="S30" i="19"/>
  <c r="S132" i="19" s="1"/>
  <c r="R37" i="19"/>
  <c r="R52" i="19" s="1"/>
  <c r="B43" i="19"/>
  <c r="K52" i="19"/>
  <c r="G31" i="21"/>
  <c r="G26" i="22" s="1"/>
  <c r="G27" i="22" s="1"/>
  <c r="G17" i="21"/>
  <c r="G38" i="21" s="1"/>
  <c r="K31" i="21"/>
  <c r="O26" i="22" s="1"/>
  <c r="O27" i="22" s="1"/>
  <c r="K38" i="21"/>
  <c r="N75" i="30"/>
  <c r="X39" i="30"/>
  <c r="B13" i="30"/>
  <c r="B10" i="75" s="1"/>
  <c r="B12" i="30"/>
  <c r="B14" i="30"/>
  <c r="B12" i="75" s="1"/>
  <c r="B15" i="75" s="1"/>
  <c r="B21" i="30"/>
  <c r="I17" i="21"/>
  <c r="I38" i="21" s="1"/>
  <c r="N38" i="21"/>
  <c r="J44" i="21"/>
  <c r="G45" i="21"/>
  <c r="K45" i="21"/>
  <c r="G9" i="22"/>
  <c r="O9" i="22"/>
  <c r="K13" i="22"/>
  <c r="G20" i="22"/>
  <c r="O20" i="22"/>
  <c r="K21" i="22"/>
  <c r="P17" i="23"/>
  <c r="X27" i="30"/>
  <c r="G28" i="30"/>
  <c r="K28" i="30"/>
  <c r="O28" i="30"/>
  <c r="S28" i="30"/>
  <c r="AC28" i="30"/>
  <c r="AG28" i="30"/>
  <c r="AK28" i="30"/>
  <c r="X37" i="30"/>
  <c r="H67" i="30"/>
  <c r="P67" i="30"/>
  <c r="Q247" i="36"/>
  <c r="Q246" i="36" s="1"/>
  <c r="P246" i="36"/>
  <c r="J17" i="21"/>
  <c r="J38" i="21" s="1"/>
  <c r="G44" i="21"/>
  <c r="K44" i="21"/>
  <c r="H45" i="21"/>
  <c r="M45" i="21"/>
  <c r="I9" i="22"/>
  <c r="Q9" i="22"/>
  <c r="M13" i="22"/>
  <c r="I20" i="22"/>
  <c r="Q20" i="22"/>
  <c r="P11" i="23"/>
  <c r="T39" i="30" s="1"/>
  <c r="J67" i="30"/>
  <c r="R67" i="30"/>
  <c r="H44" i="21"/>
  <c r="M44" i="21"/>
  <c r="I45" i="21"/>
  <c r="N45" i="21"/>
  <c r="Q45" i="21" s="1"/>
  <c r="O15" i="18" s="1"/>
  <c r="Z27" i="30"/>
  <c r="B28" i="30"/>
  <c r="X38" i="30"/>
  <c r="L67" i="30"/>
  <c r="P253" i="36"/>
  <c r="M14" i="22"/>
  <c r="X11" i="30"/>
  <c r="N28" i="30"/>
  <c r="X28" i="30" s="1"/>
  <c r="F67" i="30"/>
  <c r="N67" i="30"/>
  <c r="M7" i="36"/>
  <c r="F9" i="46"/>
  <c r="L261" i="39"/>
  <c r="L50" i="39"/>
  <c r="M237" i="39"/>
  <c r="M266" i="39" s="1"/>
  <c r="M300" i="36"/>
  <c r="L19" i="36"/>
  <c r="L37" i="36"/>
  <c r="L49" i="36"/>
  <c r="L156" i="64" s="1"/>
  <c r="J62" i="36"/>
  <c r="J67" i="36" s="1"/>
  <c r="J83" i="36"/>
  <c r="J84" i="36" s="1"/>
  <c r="K133" i="36"/>
  <c r="N440" i="39"/>
  <c r="N285" i="64"/>
  <c r="M253" i="36"/>
  <c r="Q253" i="36"/>
  <c r="M260" i="36"/>
  <c r="M11" i="36" s="1"/>
  <c r="J134" i="39"/>
  <c r="H111" i="38"/>
  <c r="P111" i="38" s="1"/>
  <c r="L181" i="38" s="1"/>
  <c r="M75" i="37"/>
  <c r="L94" i="37"/>
  <c r="J138" i="39"/>
  <c r="H115" i="38"/>
  <c r="P115" i="38" s="1"/>
  <c r="L185" i="38" s="1"/>
  <c r="L250" i="38" s="1"/>
  <c r="L134" i="37"/>
  <c r="M77" i="37"/>
  <c r="P131" i="37"/>
  <c r="P149" i="37" s="1"/>
  <c r="F9" i="45"/>
  <c r="I261" i="39"/>
  <c r="M8" i="36"/>
  <c r="N12" i="36"/>
  <c r="K62" i="36"/>
  <c r="K67" i="36" s="1"/>
  <c r="K83" i="36"/>
  <c r="M396" i="39"/>
  <c r="M430" i="39" s="1"/>
  <c r="L149" i="36"/>
  <c r="O440" i="39"/>
  <c r="O285" i="64"/>
  <c r="L167" i="36"/>
  <c r="L147" i="36" s="1"/>
  <c r="J174" i="36"/>
  <c r="N253" i="36"/>
  <c r="N260" i="36"/>
  <c r="J122" i="39"/>
  <c r="H99" i="38"/>
  <c r="M64" i="37"/>
  <c r="N64" i="37" s="1"/>
  <c r="O64" i="37" s="1"/>
  <c r="P64" i="37" s="1"/>
  <c r="Q64" i="37" s="1"/>
  <c r="J126" i="39"/>
  <c r="P103" i="38"/>
  <c r="L173" i="38" s="1"/>
  <c r="L93" i="37"/>
  <c r="M66" i="37"/>
  <c r="M93" i="37" s="1"/>
  <c r="J236" i="37"/>
  <c r="O149" i="37"/>
  <c r="I9" i="45"/>
  <c r="J261" i="39"/>
  <c r="J49" i="36"/>
  <c r="J317" i="39"/>
  <c r="J323" i="39" s="1"/>
  <c r="L64" i="36"/>
  <c r="L65" i="36"/>
  <c r="L66" i="36"/>
  <c r="J341" i="39"/>
  <c r="J342" i="39"/>
  <c r="J336" i="39"/>
  <c r="J73" i="36"/>
  <c r="J79" i="36" s="1"/>
  <c r="L75" i="36"/>
  <c r="L76" i="36"/>
  <c r="L77" i="36"/>
  <c r="M129" i="36"/>
  <c r="N129" i="36" s="1"/>
  <c r="O129" i="36" s="1"/>
  <c r="P129" i="36" s="1"/>
  <c r="Q129" i="36" s="1"/>
  <c r="M131" i="36"/>
  <c r="K135" i="36"/>
  <c r="K136" i="36" s="1"/>
  <c r="M149" i="36"/>
  <c r="P440" i="39"/>
  <c r="P285" i="64"/>
  <c r="K174" i="36"/>
  <c r="E186" i="39"/>
  <c r="B67" i="39" s="1"/>
  <c r="E128" i="64"/>
  <c r="B53" i="64" s="1"/>
  <c r="J224" i="36"/>
  <c r="J225" i="36" s="1"/>
  <c r="J226" i="36" s="1"/>
  <c r="J228" i="36"/>
  <c r="J232" i="36"/>
  <c r="J233" i="36" s="1"/>
  <c r="J235" i="36"/>
  <c r="J239" i="36"/>
  <c r="J240" i="36" s="1"/>
  <c r="S2" i="41"/>
  <c r="O2" i="46"/>
  <c r="O2" i="45"/>
  <c r="AA2" i="71"/>
  <c r="Q2" i="42"/>
  <c r="AC2" i="40"/>
  <c r="R2" i="69"/>
  <c r="Q3" i="39"/>
  <c r="Q3" i="64"/>
  <c r="R3" i="72" s="1"/>
  <c r="O253" i="36"/>
  <c r="O260" i="36"/>
  <c r="K236" i="37"/>
  <c r="L9" i="45"/>
  <c r="K261" i="39"/>
  <c r="K49" i="36"/>
  <c r="K317" i="39"/>
  <c r="K323" i="39" s="1"/>
  <c r="K73" i="36"/>
  <c r="K79" i="36" s="1"/>
  <c r="L111" i="36"/>
  <c r="L121" i="36" s="1"/>
  <c r="P429" i="39"/>
  <c r="P395" i="39"/>
  <c r="Q395" i="39" s="1"/>
  <c r="K134" i="36"/>
  <c r="M148" i="36"/>
  <c r="M440" i="39"/>
  <c r="M285" i="64"/>
  <c r="Q440" i="39"/>
  <c r="Q285" i="64"/>
  <c r="J175" i="36"/>
  <c r="K224" i="36"/>
  <c r="K225" i="36" s="1"/>
  <c r="K226" i="36" s="1"/>
  <c r="L226" i="36" s="1"/>
  <c r="K228" i="36"/>
  <c r="K232" i="36"/>
  <c r="K233" i="36" s="1"/>
  <c r="L233" i="36" s="1"/>
  <c r="K235" i="36"/>
  <c r="K239" i="36"/>
  <c r="K240" i="36" s="1"/>
  <c r="L240" i="36" s="1"/>
  <c r="M240" i="36" s="1"/>
  <c r="N240" i="36" s="1"/>
  <c r="O240" i="36" s="1"/>
  <c r="P240" i="36" s="1"/>
  <c r="Q240" i="36" s="1"/>
  <c r="L253" i="36"/>
  <c r="L9" i="36" s="1"/>
  <c r="L10" i="36" s="1"/>
  <c r="L260" i="36"/>
  <c r="Q260" i="36"/>
  <c r="K270" i="36"/>
  <c r="J123" i="39"/>
  <c r="H100" i="38"/>
  <c r="M65" i="37"/>
  <c r="N65" i="37" s="1"/>
  <c r="O65" i="37" s="1"/>
  <c r="P65" i="37" s="1"/>
  <c r="Q65" i="37" s="1"/>
  <c r="K49" i="37"/>
  <c r="N70" i="37"/>
  <c r="J73" i="37"/>
  <c r="J79" i="37" s="1"/>
  <c r="L76" i="37"/>
  <c r="K173" i="37"/>
  <c r="K175" i="37"/>
  <c r="Q246" i="37"/>
  <c r="N253" i="37"/>
  <c r="N260" i="37"/>
  <c r="L271" i="37"/>
  <c r="M275" i="36"/>
  <c r="M7" i="37"/>
  <c r="F10" i="46"/>
  <c r="E35" i="38"/>
  <c r="K73" i="37"/>
  <c r="K79" i="37" s="1"/>
  <c r="L111" i="37"/>
  <c r="L121" i="37" s="1"/>
  <c r="L167" i="37"/>
  <c r="L147" i="37" s="1"/>
  <c r="J174" i="37"/>
  <c r="J224" i="37"/>
  <c r="J225" i="37" s="1"/>
  <c r="J226" i="37" s="1"/>
  <c r="O3" i="46"/>
  <c r="O3" i="45"/>
  <c r="AA3" i="71"/>
  <c r="S3" i="41"/>
  <c r="AC3" i="40"/>
  <c r="Q3" i="42"/>
  <c r="R3" i="69"/>
  <c r="Q3" i="38"/>
  <c r="R3" i="73" s="1"/>
  <c r="N246" i="37"/>
  <c r="O253" i="37"/>
  <c r="O260" i="37"/>
  <c r="K270" i="37"/>
  <c r="N278" i="37"/>
  <c r="O278" i="37" s="1"/>
  <c r="P278" i="37" s="1"/>
  <c r="Q278" i="37" s="1"/>
  <c r="M277" i="37"/>
  <c r="N239" i="64"/>
  <c r="M267" i="64"/>
  <c r="N239" i="38"/>
  <c r="M267" i="38"/>
  <c r="N235" i="39"/>
  <c r="N300" i="37"/>
  <c r="J62" i="37"/>
  <c r="J67" i="37" s="1"/>
  <c r="L148" i="37"/>
  <c r="K174" i="37"/>
  <c r="K224" i="37"/>
  <c r="K225" i="37" s="1"/>
  <c r="K226" i="37" s="1"/>
  <c r="L226" i="37" s="1"/>
  <c r="O246" i="37"/>
  <c r="L253" i="37"/>
  <c r="P253" i="37"/>
  <c r="L260" i="37"/>
  <c r="P260" i="37"/>
  <c r="M300" i="37"/>
  <c r="J7" i="37"/>
  <c r="O12" i="37"/>
  <c r="J49" i="37"/>
  <c r="K56" i="37"/>
  <c r="K118" i="37"/>
  <c r="M130" i="37"/>
  <c r="N130" i="37" s="1"/>
  <c r="J175" i="37"/>
  <c r="L212" i="37"/>
  <c r="M209" i="37" s="1"/>
  <c r="M212" i="37" s="1"/>
  <c r="N209" i="37" s="1"/>
  <c r="K216" i="37"/>
  <c r="M253" i="37"/>
  <c r="M260" i="37"/>
  <c r="M272" i="37"/>
  <c r="M271" i="37" s="1"/>
  <c r="N270" i="37"/>
  <c r="O270" i="37" s="1"/>
  <c r="P270" i="37" s="1"/>
  <c r="Q270" i="37" s="1"/>
  <c r="N218" i="37"/>
  <c r="G13" i="64"/>
  <c r="O293" i="64"/>
  <c r="N295" i="64"/>
  <c r="O296" i="64"/>
  <c r="L297" i="64"/>
  <c r="P297" i="64"/>
  <c r="C314" i="64"/>
  <c r="C328" i="64"/>
  <c r="C15" i="73"/>
  <c r="B8" i="39"/>
  <c r="G13" i="38"/>
  <c r="G14" i="38"/>
  <c r="B255" i="38"/>
  <c r="B259" i="38"/>
  <c r="B264" i="38" s="1"/>
  <c r="B268" i="38" s="1"/>
  <c r="L293" i="38"/>
  <c r="P293" i="38"/>
  <c r="O297" i="38"/>
  <c r="Q297" i="38"/>
  <c r="M297" i="38"/>
  <c r="L297" i="38"/>
  <c r="D77" i="64"/>
  <c r="D79" i="64"/>
  <c r="L293" i="64"/>
  <c r="P293" i="64"/>
  <c r="L296" i="64"/>
  <c r="P296" i="64"/>
  <c r="M297" i="64"/>
  <c r="Q297" i="64"/>
  <c r="D80" i="38"/>
  <c r="B260" i="38"/>
  <c r="B273" i="38"/>
  <c r="B294" i="38" s="1"/>
  <c r="M293" i="38"/>
  <c r="Q293" i="38"/>
  <c r="Q295" i="38"/>
  <c r="M295" i="38"/>
  <c r="O295" i="38"/>
  <c r="L295" i="38"/>
  <c r="N297" i="38"/>
  <c r="D81" i="64"/>
  <c r="B244" i="64"/>
  <c r="B271" i="64" s="1"/>
  <c r="B292" i="64" s="1"/>
  <c r="B256" i="64"/>
  <c r="B261" i="64"/>
  <c r="M293" i="64"/>
  <c r="Q293" i="64"/>
  <c r="L295" i="64"/>
  <c r="P295" i="64"/>
  <c r="M296" i="64"/>
  <c r="Q296" i="64"/>
  <c r="D78" i="38"/>
  <c r="D79" i="38"/>
  <c r="B244" i="38"/>
  <c r="B271" i="38" s="1"/>
  <c r="B292" i="38" s="1"/>
  <c r="B256" i="38"/>
  <c r="B261" i="38"/>
  <c r="N295" i="38"/>
  <c r="P297" i="38"/>
  <c r="G42" i="64"/>
  <c r="D78" i="64"/>
  <c r="D80" i="64"/>
  <c r="D82" i="64"/>
  <c r="M295" i="64"/>
  <c r="D81" i="38"/>
  <c r="P295" i="38"/>
  <c r="L296" i="38"/>
  <c r="P296" i="38"/>
  <c r="C323" i="38"/>
  <c r="C3" i="69"/>
  <c r="B3" i="71"/>
  <c r="B3" i="40"/>
  <c r="B187" i="39"/>
  <c r="B207" i="39"/>
  <c r="B222" i="39"/>
  <c r="B228" i="39"/>
  <c r="B234" i="39"/>
  <c r="B254" i="39"/>
  <c r="H15" i="39"/>
  <c r="D20" i="69" s="1"/>
  <c r="H17" i="39"/>
  <c r="D94" i="39"/>
  <c r="D97" i="39"/>
  <c r="B195" i="39"/>
  <c r="B240" i="39"/>
  <c r="AA4" i="71"/>
  <c r="S4" i="41"/>
  <c r="AC4" i="40"/>
  <c r="R4" i="69"/>
  <c r="Q4" i="42"/>
  <c r="M419" i="39"/>
  <c r="N385" i="39"/>
  <c r="M97" i="39"/>
  <c r="O97" i="39" s="1"/>
  <c r="Q97" i="39" s="1"/>
  <c r="D98" i="39"/>
  <c r="D99" i="39"/>
  <c r="B106" i="39"/>
  <c r="C106" i="39" s="1"/>
  <c r="B179" i="39"/>
  <c r="B199" i="39"/>
  <c r="B221" i="39"/>
  <c r="M229" i="39"/>
  <c r="B235" i="39"/>
  <c r="B241" i="39"/>
  <c r="F9" i="40"/>
  <c r="B21" i="69"/>
  <c r="H16" i="39"/>
  <c r="M51" i="71"/>
  <c r="R51" i="71" s="1"/>
  <c r="W51" i="71" s="1"/>
  <c r="I54" i="69"/>
  <c r="N54" i="69" s="1"/>
  <c r="H38" i="39"/>
  <c r="D96" i="39"/>
  <c r="B203" i="39"/>
  <c r="B411" i="39"/>
  <c r="B413" i="39"/>
  <c r="B426" i="39"/>
  <c r="B450" i="39" s="1"/>
  <c r="M448" i="39"/>
  <c r="Q448" i="39"/>
  <c r="B404" i="39"/>
  <c r="B408" i="39"/>
  <c r="B416" i="39" s="1"/>
  <c r="B427" i="39"/>
  <c r="B451" i="39" s="1"/>
  <c r="B429" i="39"/>
  <c r="B453" i="39" s="1"/>
  <c r="O448" i="39"/>
  <c r="Q453" i="39"/>
  <c r="Q429" i="39" s="1"/>
  <c r="M453" i="39"/>
  <c r="M429" i="39" s="1"/>
  <c r="O453" i="39"/>
  <c r="O429" i="39" s="1"/>
  <c r="N453" i="39"/>
  <c r="N429" i="39" s="1"/>
  <c r="L453" i="39"/>
  <c r="L429" i="39" s="1"/>
  <c r="B403" i="39"/>
  <c r="B405" i="39"/>
  <c r="L448" i="39"/>
  <c r="Q476" i="39"/>
  <c r="O450" i="39"/>
  <c r="L451" i="39"/>
  <c r="P451" i="39"/>
  <c r="O454" i="39"/>
  <c r="L455" i="39"/>
  <c r="P455" i="39"/>
  <c r="M475" i="39"/>
  <c r="M476" i="39" s="1"/>
  <c r="Q475" i="39"/>
  <c r="P476" i="39"/>
  <c r="A24" i="69"/>
  <c r="O17" i="71"/>
  <c r="H17" i="71"/>
  <c r="N17" i="71"/>
  <c r="F17" i="71"/>
  <c r="K41" i="71"/>
  <c r="W41" i="71" s="1"/>
  <c r="S17" i="71"/>
  <c r="J17" i="71"/>
  <c r="X40" i="71"/>
  <c r="L450" i="39"/>
  <c r="P450" i="39"/>
  <c r="M451" i="39"/>
  <c r="Q451" i="39"/>
  <c r="L454" i="39"/>
  <c r="L430" i="39" s="1"/>
  <c r="P454" i="39"/>
  <c r="M455" i="39"/>
  <c r="Q455" i="39"/>
  <c r="S43" i="71"/>
  <c r="X43" i="71"/>
  <c r="O43" i="71"/>
  <c r="W43" i="71"/>
  <c r="N43" i="71"/>
  <c r="U43" i="71"/>
  <c r="M43" i="71"/>
  <c r="W47" i="71"/>
  <c r="F16" i="71"/>
  <c r="O18" i="71"/>
  <c r="H18" i="71"/>
  <c r="N18" i="71"/>
  <c r="F18" i="71"/>
  <c r="K42" i="71"/>
  <c r="S18" i="71"/>
  <c r="J18" i="71"/>
  <c r="T48" i="71"/>
  <c r="W38" i="71"/>
  <c r="T38" i="71"/>
  <c r="Y38" i="71"/>
  <c r="S38" i="71"/>
  <c r="X38" i="71"/>
  <c r="M38" i="71"/>
  <c r="K18" i="71"/>
  <c r="U44" i="71"/>
  <c r="S44" i="71"/>
  <c r="Y44" i="71"/>
  <c r="R44" i="71"/>
  <c r="W44" i="71"/>
  <c r="M44" i="71"/>
  <c r="F14" i="71"/>
  <c r="N14" i="71"/>
  <c r="K15" i="71"/>
  <c r="K16" i="71"/>
  <c r="U16" i="71"/>
  <c r="H19" i="71"/>
  <c r="J20" i="71"/>
  <c r="P20" i="71"/>
  <c r="F21" i="71"/>
  <c r="M21" i="71"/>
  <c r="U21" i="71"/>
  <c r="J22" i="71"/>
  <c r="S22" i="71"/>
  <c r="H23" i="71"/>
  <c r="S23" i="71"/>
  <c r="H24" i="71"/>
  <c r="O24" i="71"/>
  <c r="H25" i="71"/>
  <c r="O25" i="71"/>
  <c r="N38" i="71"/>
  <c r="S47" i="71"/>
  <c r="X47" i="71"/>
  <c r="S40" i="71"/>
  <c r="K46" i="71"/>
  <c r="P46" i="71" s="1"/>
  <c r="Y47" i="71"/>
  <c r="K49" i="71"/>
  <c r="T49" i="71" s="1"/>
  <c r="K22" i="71"/>
  <c r="U22" i="71"/>
  <c r="U40" i="71"/>
  <c r="J14" i="71"/>
  <c r="S14" i="71"/>
  <c r="H15" i="71"/>
  <c r="S15" i="71"/>
  <c r="H16" i="71"/>
  <c r="O16" i="71"/>
  <c r="K19" i="71"/>
  <c r="F20" i="71"/>
  <c r="N20" i="71"/>
  <c r="U20" i="71"/>
  <c r="J21" i="71"/>
  <c r="O21" i="71"/>
  <c r="F22" i="71"/>
  <c r="N22" i="71"/>
  <c r="K23" i="71"/>
  <c r="K24" i="71"/>
  <c r="K25" i="71"/>
  <c r="U25" i="71"/>
  <c r="K39" i="71"/>
  <c r="P39" i="71" s="1"/>
  <c r="M40" i="71"/>
  <c r="W40" i="71"/>
  <c r="K45" i="71"/>
  <c r="Z45" i="71" s="1"/>
  <c r="M47" i="71"/>
  <c r="S48" i="71"/>
  <c r="T22" i="71"/>
  <c r="K14" i="71"/>
  <c r="U14" i="71"/>
  <c r="J15" i="71"/>
  <c r="J16" i="71"/>
  <c r="F19" i="71"/>
  <c r="N19" i="71"/>
  <c r="H20" i="71"/>
  <c r="O20" i="71"/>
  <c r="K21" i="71"/>
  <c r="H22" i="71"/>
  <c r="F23" i="71"/>
  <c r="F24" i="71"/>
  <c r="F25" i="71"/>
  <c r="M48" i="71"/>
  <c r="W48" i="71"/>
  <c r="R40" i="71"/>
  <c r="G35" i="18"/>
  <c r="G31" i="18"/>
  <c r="B7" i="37"/>
  <c r="J6" i="75" s="1"/>
  <c r="F9" i="30"/>
  <c r="G5" i="21"/>
  <c r="G6" i="22" s="1"/>
  <c r="H71" i="19"/>
  <c r="G5" i="23"/>
  <c r="N293" i="37"/>
  <c r="P41" i="1"/>
  <c r="P40" i="1" s="1"/>
  <c r="H110" i="19"/>
  <c r="N6" i="23"/>
  <c r="N6" i="21"/>
  <c r="Q7" i="22" s="1"/>
  <c r="O6" i="19"/>
  <c r="R10" i="30"/>
  <c r="P111" i="19"/>
  <c r="P72" i="19"/>
  <c r="S6" i="19"/>
  <c r="I16" i="24"/>
  <c r="Q34" i="21"/>
  <c r="Q33" i="21"/>
  <c r="E28" i="18" s="1"/>
  <c r="Q31" i="21"/>
  <c r="Q27" i="21"/>
  <c r="E30" i="18" s="1"/>
  <c r="S23" i="19"/>
  <c r="Q24" i="21"/>
  <c r="Q20" i="21"/>
  <c r="B65" i="19"/>
  <c r="R26" i="19"/>
  <c r="O5" i="19"/>
  <c r="I7" i="9"/>
  <c r="Q28" i="21"/>
  <c r="Q26" i="21"/>
  <c r="E29" i="18" s="1"/>
  <c r="S26" i="19"/>
  <c r="R23" i="19"/>
  <c r="B39" i="18"/>
  <c r="I7" i="24"/>
  <c r="E20" i="18"/>
  <c r="J30" i="3"/>
  <c r="Q8" i="21"/>
  <c r="E31" i="18" s="1"/>
  <c r="G30" i="38" s="1"/>
  <c r="G39" i="1"/>
  <c r="F40" i="1"/>
  <c r="O40" i="1"/>
  <c r="P42" i="71"/>
  <c r="P43" i="71"/>
  <c r="P48" i="71"/>
  <c r="P38" i="71"/>
  <c r="P45" i="71"/>
  <c r="P40" i="71"/>
  <c r="P47" i="71"/>
  <c r="P44" i="71"/>
  <c r="Z46" i="71"/>
  <c r="Z42" i="71"/>
  <c r="Z43" i="71"/>
  <c r="Z39" i="71"/>
  <c r="Z38" i="71"/>
  <c r="Z40" i="71"/>
  <c r="Z47" i="71"/>
  <c r="Z48" i="71"/>
  <c r="Z44" i="71"/>
  <c r="M273" i="37"/>
  <c r="M282" i="37"/>
  <c r="M283" i="37" s="1"/>
  <c r="M221" i="37" s="1"/>
  <c r="M275" i="37"/>
  <c r="J197" i="36"/>
  <c r="J470" i="39" s="1"/>
  <c r="J35" i="3"/>
  <c r="J6" i="8"/>
  <c r="J6" i="6"/>
  <c r="M7" i="7" s="1"/>
  <c r="J6" i="4"/>
  <c r="K72" i="4"/>
  <c r="L279" i="37"/>
  <c r="L277" i="37"/>
  <c r="Q39" i="1"/>
  <c r="O51" i="1"/>
  <c r="M6" i="8"/>
  <c r="M6" i="6"/>
  <c r="P10" i="11"/>
  <c r="O111" i="4"/>
  <c r="N278" i="36"/>
  <c r="M279" i="36"/>
  <c r="M277" i="36"/>
  <c r="G41" i="1"/>
  <c r="N293" i="36"/>
  <c r="G5" i="6"/>
  <c r="G6" i="7" s="1"/>
  <c r="B7" i="36"/>
  <c r="J6" i="76" s="1"/>
  <c r="F9" i="11"/>
  <c r="G5" i="8"/>
  <c r="H110" i="4"/>
  <c r="H71" i="4"/>
  <c r="O72" i="4"/>
  <c r="L111" i="19"/>
  <c r="K6" i="21"/>
  <c r="O7" i="22" s="1"/>
  <c r="M7" i="42"/>
  <c r="H14" i="40"/>
  <c r="M12" i="39"/>
  <c r="M290" i="36"/>
  <c r="M195" i="36"/>
  <c r="M156" i="36"/>
  <c r="M56" i="36"/>
  <c r="M87" i="36"/>
  <c r="D31" i="1"/>
  <c r="L72" i="19"/>
  <c r="K6" i="19"/>
  <c r="K6" i="23"/>
  <c r="B25" i="45"/>
  <c r="F6" i="45"/>
  <c r="B25" i="46"/>
  <c r="F6" i="46"/>
  <c r="G30" i="3"/>
  <c r="G34" i="3"/>
  <c r="R23" i="4"/>
  <c r="S26" i="4"/>
  <c r="Q27" i="6"/>
  <c r="E30" i="3" s="1"/>
  <c r="Q31" i="6"/>
  <c r="Q33" i="6"/>
  <c r="E28" i="3" s="1"/>
  <c r="Q34" i="6"/>
  <c r="M28" i="38"/>
  <c r="M279" i="37"/>
  <c r="N280" i="37"/>
  <c r="J216" i="36"/>
  <c r="J56" i="36"/>
  <c r="I7" i="36"/>
  <c r="I216" i="36" s="1"/>
  <c r="N272" i="37"/>
  <c r="G30" i="18"/>
  <c r="K290" i="36"/>
  <c r="K173" i="36"/>
  <c r="K269" i="36"/>
  <c r="K216" i="36"/>
  <c r="K118" i="36"/>
  <c r="L7" i="36"/>
  <c r="V7" i="76" s="1"/>
  <c r="K56" i="36"/>
  <c r="B86" i="38"/>
  <c r="C86" i="38" s="1"/>
  <c r="D77" i="38"/>
  <c r="B39" i="3"/>
  <c r="L213" i="36"/>
  <c r="L103" i="36" s="1"/>
  <c r="L277" i="36"/>
  <c r="K290" i="37"/>
  <c r="K269" i="37"/>
  <c r="L7" i="37"/>
  <c r="V7" i="75" s="1"/>
  <c r="L142" i="38"/>
  <c r="M31" i="37"/>
  <c r="M272" i="36"/>
  <c r="N270" i="36"/>
  <c r="N276" i="36" s="1"/>
  <c r="B2" i="71"/>
  <c r="B2" i="40"/>
  <c r="M22" i="71"/>
  <c r="M18" i="71"/>
  <c r="M14" i="71"/>
  <c r="M17" i="71"/>
  <c r="M25" i="71"/>
  <c r="M20" i="71"/>
  <c r="M23" i="71"/>
  <c r="M15" i="71"/>
  <c r="M24" i="71"/>
  <c r="M16" i="71"/>
  <c r="M19" i="71"/>
  <c r="M31" i="36"/>
  <c r="L282" i="36"/>
  <c r="L283" i="36" s="1"/>
  <c r="L221" i="36" s="1"/>
  <c r="L273" i="36"/>
  <c r="M218" i="36"/>
  <c r="B86" i="64"/>
  <c r="C86" i="64" s="1"/>
  <c r="J115" i="39"/>
  <c r="H115" i="39"/>
  <c r="D18" i="71"/>
  <c r="D21" i="71"/>
  <c r="D24" i="71"/>
  <c r="D16" i="71"/>
  <c r="D17" i="71"/>
  <c r="D19" i="71"/>
  <c r="D14" i="71"/>
  <c r="D22" i="71"/>
  <c r="D15" i="71"/>
  <c r="D23" i="71"/>
  <c r="P23" i="71"/>
  <c r="P15" i="71"/>
  <c r="P21" i="71"/>
  <c r="P18" i="71"/>
  <c r="P24" i="71"/>
  <c r="P16" i="71"/>
  <c r="P22" i="71"/>
  <c r="P17" i="71"/>
  <c r="P14" i="71"/>
  <c r="P19" i="71"/>
  <c r="P25" i="71"/>
  <c r="D82" i="38"/>
  <c r="R24" i="71"/>
  <c r="R20" i="71"/>
  <c r="R16" i="71"/>
  <c r="R21" i="71"/>
  <c r="R18" i="71"/>
  <c r="R25" i="71"/>
  <c r="R23" i="71"/>
  <c r="R19" i="71"/>
  <c r="R14" i="71"/>
  <c r="R22" i="71"/>
  <c r="R17" i="71"/>
  <c r="D25" i="71"/>
  <c r="F42" i="64"/>
  <c r="G42" i="38"/>
  <c r="T47" i="71"/>
  <c r="T43" i="71"/>
  <c r="T44" i="71"/>
  <c r="T45" i="71"/>
  <c r="T40" i="71"/>
  <c r="T46" i="71"/>
  <c r="T42" i="71"/>
  <c r="B183" i="39"/>
  <c r="B227" i="39"/>
  <c r="B246" i="39"/>
  <c r="B3" i="42"/>
  <c r="O39" i="71"/>
  <c r="O40" i="71"/>
  <c r="O47" i="71"/>
  <c r="O46" i="71"/>
  <c r="O42" i="71"/>
  <c r="O48" i="71"/>
  <c r="O38" i="71"/>
  <c r="O44" i="71"/>
  <c r="Y39" i="71"/>
  <c r="Y40" i="71"/>
  <c r="Y43" i="71"/>
  <c r="Y42" i="71"/>
  <c r="Y48" i="71"/>
  <c r="Y46" i="71"/>
  <c r="O23" i="71"/>
  <c r="O19" i="71"/>
  <c r="O15" i="71"/>
  <c r="T15" i="71"/>
  <c r="U18" i="71"/>
  <c r="S20" i="71"/>
  <c r="T23" i="71"/>
  <c r="R49" i="71"/>
  <c r="R47" i="71"/>
  <c r="R48" i="71"/>
  <c r="R45" i="71"/>
  <c r="R46" i="71"/>
  <c r="R38" i="71"/>
  <c r="R39" i="71"/>
  <c r="N40" i="71"/>
  <c r="R43" i="71"/>
  <c r="T14" i="71"/>
  <c r="U17" i="71"/>
  <c r="U48" i="71"/>
  <c r="U47" i="71"/>
  <c r="U46" i="71"/>
  <c r="U38" i="71"/>
  <c r="U39" i="71"/>
  <c r="T25" i="71"/>
  <c r="T21" i="71"/>
  <c r="T17" i="71"/>
  <c r="T19" i="71"/>
  <c r="T16" i="71"/>
  <c r="U19" i="71"/>
  <c r="T24" i="71"/>
  <c r="N48" i="71"/>
  <c r="N44" i="71"/>
  <c r="N47" i="71"/>
  <c r="N45" i="71"/>
  <c r="X48" i="71"/>
  <c r="X46" i="71"/>
  <c r="X44" i="71"/>
  <c r="M42" i="71"/>
  <c r="W42" i="71"/>
  <c r="N50" i="39" l="1"/>
  <c r="V8" i="75"/>
  <c r="V9" i="75" s="1"/>
  <c r="L232" i="37"/>
  <c r="L61" i="37" s="1"/>
  <c r="L11" i="37"/>
  <c r="K81" i="37"/>
  <c r="L447" i="39"/>
  <c r="L127" i="38"/>
  <c r="M220" i="36"/>
  <c r="M89" i="36" s="1"/>
  <c r="M126" i="64"/>
  <c r="J7" i="76"/>
  <c r="B48" i="40"/>
  <c r="B186" i="36"/>
  <c r="N111" i="4"/>
  <c r="I34" i="64"/>
  <c r="AD10" i="30"/>
  <c r="J7" i="75"/>
  <c r="B187" i="36"/>
  <c r="I37" i="64"/>
  <c r="B188" i="36"/>
  <c r="B189" i="36" s="1"/>
  <c r="M161" i="37"/>
  <c r="M159" i="36"/>
  <c r="M286" i="38"/>
  <c r="M288" i="38" s="1"/>
  <c r="L294" i="38"/>
  <c r="O159" i="36"/>
  <c r="O286" i="38"/>
  <c r="O288" i="38" s="1"/>
  <c r="P159" i="36"/>
  <c r="P286" i="38"/>
  <c r="P288" i="38" s="1"/>
  <c r="Q161" i="37"/>
  <c r="Q165" i="37" s="1"/>
  <c r="Q159" i="36"/>
  <c r="Q286" i="38"/>
  <c r="Q288" i="38" s="1"/>
  <c r="N159" i="36"/>
  <c r="N286" i="38"/>
  <c r="N288" i="38" s="1"/>
  <c r="N292" i="38" s="1"/>
  <c r="M41" i="71"/>
  <c r="Y45" i="71"/>
  <c r="X45" i="71"/>
  <c r="P41" i="71"/>
  <c r="T41" i="71"/>
  <c r="S41" i="71"/>
  <c r="Y49" i="71"/>
  <c r="Z49" i="71"/>
  <c r="O41" i="71"/>
  <c r="O49" i="71"/>
  <c r="X41" i="71"/>
  <c r="Z41" i="71"/>
  <c r="S49" i="71"/>
  <c r="P49" i="71"/>
  <c r="U49" i="71"/>
  <c r="N286" i="37"/>
  <c r="O286" i="37" s="1"/>
  <c r="P286" i="37" s="1"/>
  <c r="Q286" i="37" s="1"/>
  <c r="N274" i="37"/>
  <c r="C322" i="38"/>
  <c r="C342" i="38"/>
  <c r="C327" i="38"/>
  <c r="C317" i="38"/>
  <c r="C336" i="64"/>
  <c r="C342" i="64"/>
  <c r="C317" i="64"/>
  <c r="C322" i="64"/>
  <c r="L303" i="37"/>
  <c r="L217" i="37"/>
  <c r="AB38" i="30" s="1"/>
  <c r="AB76" i="30" s="1"/>
  <c r="M118" i="36"/>
  <c r="M173" i="36"/>
  <c r="L294" i="64"/>
  <c r="AB28" i="11"/>
  <c r="F32" i="40" s="1"/>
  <c r="M216" i="36"/>
  <c r="M28" i="64"/>
  <c r="L28" i="64" s="1"/>
  <c r="L303" i="36"/>
  <c r="M244" i="36"/>
  <c r="M269" i="36"/>
  <c r="L217" i="36"/>
  <c r="L98" i="36" s="1"/>
  <c r="L127" i="64"/>
  <c r="B390" i="39"/>
  <c r="B423" i="39" s="1"/>
  <c r="B447" i="39" s="1"/>
  <c r="S25" i="39"/>
  <c r="O480" i="39"/>
  <c r="O486" i="39" s="1"/>
  <c r="O365" i="39"/>
  <c r="L220" i="36"/>
  <c r="N7" i="36"/>
  <c r="L452" i="39"/>
  <c r="L428" i="39" s="1"/>
  <c r="L11" i="36"/>
  <c r="L42" i="36" s="1"/>
  <c r="N130" i="36"/>
  <c r="C319" i="38"/>
  <c r="C344" i="38"/>
  <c r="C338" i="38"/>
  <c r="C329" i="38"/>
  <c r="S15" i="19"/>
  <c r="M233" i="37"/>
  <c r="N233" i="37" s="1"/>
  <c r="R15" i="19"/>
  <c r="R17" i="19" s="1"/>
  <c r="R19" i="19" s="1"/>
  <c r="R21" i="19" s="1"/>
  <c r="R122" i="19" s="1"/>
  <c r="R124" i="19" s="1"/>
  <c r="R126" i="19" s="1"/>
  <c r="R128" i="19" s="1"/>
  <c r="R131" i="19" s="1"/>
  <c r="R133" i="19" s="1"/>
  <c r="L220" i="37"/>
  <c r="L89" i="37" s="1"/>
  <c r="L131" i="38" s="1"/>
  <c r="Q21" i="22"/>
  <c r="D106" i="39"/>
  <c r="H36" i="39" s="1"/>
  <c r="H37" i="39" s="1"/>
  <c r="J34" i="18"/>
  <c r="N284" i="37"/>
  <c r="M87" i="37"/>
  <c r="N276" i="37"/>
  <c r="N275" i="37" s="1"/>
  <c r="M290" i="37"/>
  <c r="B36" i="6"/>
  <c r="B30" i="7" s="1"/>
  <c r="J197" i="37"/>
  <c r="J35" i="18"/>
  <c r="K342" i="39"/>
  <c r="Q44" i="6"/>
  <c r="O14" i="3" s="1"/>
  <c r="I262" i="39"/>
  <c r="I263" i="39" s="1"/>
  <c r="I296" i="39" s="1"/>
  <c r="I10" i="36"/>
  <c r="I41" i="36" s="1"/>
  <c r="J51" i="4"/>
  <c r="T10" i="11"/>
  <c r="Z10" i="11" s="1"/>
  <c r="J9" i="36"/>
  <c r="J262" i="39" s="1"/>
  <c r="S42" i="4"/>
  <c r="O29" i="4"/>
  <c r="O41" i="4" s="1"/>
  <c r="K338" i="39"/>
  <c r="L239" i="36"/>
  <c r="L72" i="36" s="1"/>
  <c r="H131" i="39" s="1"/>
  <c r="J10" i="36"/>
  <c r="J41" i="36" s="1"/>
  <c r="Q24" i="7"/>
  <c r="O15" i="4"/>
  <c r="O17" i="4" s="1"/>
  <c r="O19" i="4" s="1"/>
  <c r="T71" i="11"/>
  <c r="L12" i="11"/>
  <c r="L21" i="11" s="1"/>
  <c r="S15" i="4"/>
  <c r="S16" i="4"/>
  <c r="L127" i="4"/>
  <c r="H127" i="4"/>
  <c r="J15" i="4"/>
  <c r="R29" i="4"/>
  <c r="R31" i="4" s="1"/>
  <c r="R33" i="4" s="1"/>
  <c r="J29" i="4"/>
  <c r="J31" i="4" s="1"/>
  <c r="F10" i="40"/>
  <c r="P51" i="1"/>
  <c r="N31" i="1"/>
  <c r="P15" i="1" s="1"/>
  <c r="P16" i="1" s="1"/>
  <c r="P17" i="1" s="1"/>
  <c r="I33" i="64"/>
  <c r="B191" i="36"/>
  <c r="N165" i="37"/>
  <c r="N294" i="38"/>
  <c r="J10" i="37"/>
  <c r="J41" i="37" s="1"/>
  <c r="K229" i="37"/>
  <c r="K230" i="37" s="1"/>
  <c r="L230" i="37" s="1"/>
  <c r="M230" i="37" s="1"/>
  <c r="N230" i="37" s="1"/>
  <c r="O230" i="37" s="1"/>
  <c r="P230" i="37" s="1"/>
  <c r="Q230" i="37" s="1"/>
  <c r="M8" i="37"/>
  <c r="AB11" i="30"/>
  <c r="AB28" i="30" s="1"/>
  <c r="J237" i="37"/>
  <c r="L213" i="37"/>
  <c r="L103" i="37" s="1"/>
  <c r="L239" i="37"/>
  <c r="L72" i="37" s="1"/>
  <c r="J131" i="39" s="1"/>
  <c r="L9" i="37"/>
  <c r="L10" i="37" s="1"/>
  <c r="L41" i="37" s="1"/>
  <c r="L49" i="37"/>
  <c r="L156" i="38" s="1"/>
  <c r="M148" i="37"/>
  <c r="M213" i="37"/>
  <c r="M103" i="37" s="1"/>
  <c r="L37" i="37"/>
  <c r="K237" i="37"/>
  <c r="L237" i="37" s="1"/>
  <c r="M237" i="37" s="1"/>
  <c r="D86" i="38"/>
  <c r="G17" i="38" s="1"/>
  <c r="G18" i="38" s="1"/>
  <c r="G19" i="38" s="1"/>
  <c r="B49" i="40"/>
  <c r="B50" i="40"/>
  <c r="B43" i="11"/>
  <c r="B47" i="40" s="1"/>
  <c r="L9" i="3"/>
  <c r="I18" i="9"/>
  <c r="K16" i="9" s="1"/>
  <c r="M156" i="37"/>
  <c r="M173" i="37"/>
  <c r="J173" i="37"/>
  <c r="M118" i="37"/>
  <c r="M269" i="37"/>
  <c r="M244" i="37"/>
  <c r="I7" i="37"/>
  <c r="I216" i="37" s="1"/>
  <c r="M126" i="38"/>
  <c r="M333" i="38" s="1"/>
  <c r="M56" i="37"/>
  <c r="J56" i="37"/>
  <c r="M216" i="37"/>
  <c r="M195" i="37"/>
  <c r="J216" i="37"/>
  <c r="L264" i="39"/>
  <c r="L297" i="39" s="1"/>
  <c r="L302" i="36"/>
  <c r="L41" i="36"/>
  <c r="L13" i="36"/>
  <c r="AB12" i="11"/>
  <c r="M480" i="39"/>
  <c r="M486" i="39" s="1"/>
  <c r="M365" i="39"/>
  <c r="M213" i="36"/>
  <c r="M103" i="36" s="1"/>
  <c r="W45" i="71"/>
  <c r="M45" i="71"/>
  <c r="U45" i="71"/>
  <c r="S45" i="71"/>
  <c r="O45" i="71"/>
  <c r="R42" i="71"/>
  <c r="X42" i="71"/>
  <c r="N42" i="71"/>
  <c r="U42" i="71"/>
  <c r="S42" i="71"/>
  <c r="P480" i="39"/>
  <c r="P486" i="39" s="1"/>
  <c r="P365" i="39"/>
  <c r="O165" i="37"/>
  <c r="O167" i="37"/>
  <c r="O147" i="37" s="1"/>
  <c r="O239" i="64"/>
  <c r="N267" i="64"/>
  <c r="M167" i="37"/>
  <c r="M147" i="37" s="1"/>
  <c r="M165" i="37"/>
  <c r="K303" i="39"/>
  <c r="J236" i="36"/>
  <c r="H138" i="39"/>
  <c r="P138" i="39" s="1"/>
  <c r="L334" i="39" s="1"/>
  <c r="L399" i="39" s="1"/>
  <c r="H115" i="64"/>
  <c r="P115" i="64" s="1"/>
  <c r="L185" i="64" s="1"/>
  <c r="L250" i="64" s="1"/>
  <c r="M77" i="36"/>
  <c r="L134" i="36"/>
  <c r="H123" i="39"/>
  <c r="H100" i="64"/>
  <c r="M65" i="36"/>
  <c r="N65" i="36" s="1"/>
  <c r="O65" i="36" s="1"/>
  <c r="P65" i="36" s="1"/>
  <c r="Q65" i="36" s="1"/>
  <c r="J119" i="39"/>
  <c r="H96" i="38"/>
  <c r="P96" i="38" s="1"/>
  <c r="L167" i="38" s="1"/>
  <c r="K84" i="36"/>
  <c r="I9" i="46"/>
  <c r="M215" i="39"/>
  <c r="M127" i="64"/>
  <c r="M303" i="36"/>
  <c r="M9" i="36"/>
  <c r="M10" i="36" s="1"/>
  <c r="N8" i="36"/>
  <c r="N220" i="36" s="1"/>
  <c r="N89" i="36" s="1"/>
  <c r="M239" i="36"/>
  <c r="M72" i="36" s="1"/>
  <c r="M49" i="36"/>
  <c r="AD11" i="11"/>
  <c r="M185" i="38"/>
  <c r="M250" i="38" s="1"/>
  <c r="N77" i="37"/>
  <c r="M134" i="37"/>
  <c r="L273" i="39"/>
  <c r="M19" i="36"/>
  <c r="F11" i="46"/>
  <c r="G9" i="46" s="1"/>
  <c r="B29" i="30"/>
  <c r="B22" i="30"/>
  <c r="H71" i="30"/>
  <c r="I29" i="19"/>
  <c r="I15" i="19"/>
  <c r="I38" i="38"/>
  <c r="B188" i="37"/>
  <c r="B189" i="37" s="1"/>
  <c r="L11" i="18"/>
  <c r="Q27" i="22"/>
  <c r="N71" i="30"/>
  <c r="L15" i="19"/>
  <c r="L29" i="19"/>
  <c r="Y27" i="11"/>
  <c r="Y28" i="11"/>
  <c r="P12" i="30"/>
  <c r="P21" i="30" s="1"/>
  <c r="O51" i="19"/>
  <c r="G29" i="19"/>
  <c r="G15" i="19"/>
  <c r="O41" i="19"/>
  <c r="O31" i="19"/>
  <c r="Q10" i="7"/>
  <c r="N105" i="19"/>
  <c r="N103" i="19"/>
  <c r="R31" i="19"/>
  <c r="R33" i="19" s="1"/>
  <c r="S36" i="19"/>
  <c r="J72" i="11"/>
  <c r="J73" i="11" s="1"/>
  <c r="J77" i="11" s="1"/>
  <c r="P103" i="4"/>
  <c r="P105" i="4" s="1"/>
  <c r="J264" i="39"/>
  <c r="J297" i="39" s="1"/>
  <c r="J42" i="36"/>
  <c r="O110" i="4"/>
  <c r="P9" i="11"/>
  <c r="O71" i="4"/>
  <c r="R36" i="4"/>
  <c r="R51" i="4" s="1"/>
  <c r="N43" i="4"/>
  <c r="N21" i="4"/>
  <c r="N122" i="4" s="1"/>
  <c r="N124" i="4" s="1"/>
  <c r="N126" i="4" s="1"/>
  <c r="N128" i="4" s="1"/>
  <c r="N131" i="4" s="1"/>
  <c r="N133" i="4" s="1"/>
  <c r="N24" i="4"/>
  <c r="H41" i="4"/>
  <c r="H31" i="4"/>
  <c r="W49" i="71"/>
  <c r="N49" i="71"/>
  <c r="M49" i="71"/>
  <c r="X49" i="71"/>
  <c r="D86" i="64"/>
  <c r="O130" i="37"/>
  <c r="O148" i="37" s="1"/>
  <c r="O235" i="39"/>
  <c r="O300" i="37"/>
  <c r="P12" i="37"/>
  <c r="J81" i="37"/>
  <c r="P165" i="37"/>
  <c r="P167" i="37"/>
  <c r="P147" i="37" s="1"/>
  <c r="M226" i="36"/>
  <c r="L224" i="36"/>
  <c r="L11" i="45"/>
  <c r="M10" i="45" s="1"/>
  <c r="H137" i="39"/>
  <c r="H114" i="64"/>
  <c r="P114" i="64" s="1"/>
  <c r="L184" i="64" s="1"/>
  <c r="L249" i="64" s="1"/>
  <c r="M76" i="36"/>
  <c r="L133" i="36"/>
  <c r="H122" i="39"/>
  <c r="H99" i="64"/>
  <c r="M64" i="36"/>
  <c r="N64" i="36" s="1"/>
  <c r="O64" i="36" s="1"/>
  <c r="P64" i="36" s="1"/>
  <c r="Q64" i="36" s="1"/>
  <c r="J303" i="39"/>
  <c r="J263" i="39"/>
  <c r="F60" i="38"/>
  <c r="L99" i="38"/>
  <c r="P99" i="38" s="1"/>
  <c r="K81" i="36"/>
  <c r="M181" i="38"/>
  <c r="M211" i="38" s="1"/>
  <c r="N75" i="37"/>
  <c r="M94" i="37"/>
  <c r="J81" i="36"/>
  <c r="AD10" i="11"/>
  <c r="B55" i="19"/>
  <c r="B62" i="19"/>
  <c r="AA28" i="11"/>
  <c r="AA27" i="11"/>
  <c r="I36" i="38"/>
  <c r="B186" i="37"/>
  <c r="B43" i="30"/>
  <c r="L9" i="18"/>
  <c r="Q17" i="22"/>
  <c r="F71" i="30"/>
  <c r="H15" i="19"/>
  <c r="H29" i="19"/>
  <c r="Q10" i="22"/>
  <c r="M18" i="42"/>
  <c r="M298" i="37"/>
  <c r="N14" i="37"/>
  <c r="I9" i="37"/>
  <c r="J12" i="30"/>
  <c r="J21" i="30" s="1"/>
  <c r="J51" i="19"/>
  <c r="O105" i="19"/>
  <c r="O103" i="19"/>
  <c r="I271" i="39"/>
  <c r="I290" i="39"/>
  <c r="I220" i="36"/>
  <c r="I221" i="36" s="1"/>
  <c r="I105" i="19"/>
  <c r="I103" i="19"/>
  <c r="X12" i="30"/>
  <c r="X21" i="30" s="1"/>
  <c r="N21" i="30"/>
  <c r="L103" i="4"/>
  <c r="K17" i="36" s="1"/>
  <c r="K264" i="39"/>
  <c r="K297" i="39" s="1"/>
  <c r="K42" i="36"/>
  <c r="P103" i="19"/>
  <c r="P105" i="19" s="1"/>
  <c r="L105" i="19"/>
  <c r="K22" i="37" s="1"/>
  <c r="K103" i="4"/>
  <c r="J17" i="36" s="1"/>
  <c r="K9" i="36"/>
  <c r="K229" i="36" s="1"/>
  <c r="K230" i="36" s="1"/>
  <c r="L230" i="36" s="1"/>
  <c r="L51" i="4"/>
  <c r="N12" i="11"/>
  <c r="S36" i="4"/>
  <c r="R71" i="11"/>
  <c r="P15" i="4"/>
  <c r="P29" i="4"/>
  <c r="N41" i="4"/>
  <c r="N31" i="4"/>
  <c r="L41" i="4"/>
  <c r="L31" i="4"/>
  <c r="B40" i="18"/>
  <c r="U41" i="71"/>
  <c r="R41" i="71"/>
  <c r="N41" i="71"/>
  <c r="Y41" i="71"/>
  <c r="M14" i="42"/>
  <c r="M249" i="39"/>
  <c r="B4" i="45"/>
  <c r="B4" i="46" s="1"/>
  <c r="B5" i="41"/>
  <c r="B4" i="42"/>
  <c r="C4" i="69"/>
  <c r="B7" i="40"/>
  <c r="C344" i="64"/>
  <c r="C319" i="64"/>
  <c r="C324" i="64"/>
  <c r="C329" i="64"/>
  <c r="C338" i="64"/>
  <c r="O239" i="38"/>
  <c r="N267" i="38"/>
  <c r="J137" i="39"/>
  <c r="H114" i="38"/>
  <c r="P114" i="38" s="1"/>
  <c r="L184" i="38" s="1"/>
  <c r="L249" i="38" s="1"/>
  <c r="M76" i="37"/>
  <c r="L133" i="37"/>
  <c r="K237" i="36"/>
  <c r="L237" i="36" s="1"/>
  <c r="K236" i="36"/>
  <c r="AB38" i="11"/>
  <c r="N131" i="36"/>
  <c r="H134" i="39"/>
  <c r="H111" i="64"/>
  <c r="P111" i="64" s="1"/>
  <c r="L181" i="64" s="1"/>
  <c r="M75" i="36"/>
  <c r="L94" i="36"/>
  <c r="J338" i="39"/>
  <c r="I11" i="45"/>
  <c r="J10" i="45" s="1"/>
  <c r="N148" i="37"/>
  <c r="L122" i="39"/>
  <c r="F74" i="39"/>
  <c r="N396" i="39"/>
  <c r="O396" i="39" s="1"/>
  <c r="P396" i="39" s="1"/>
  <c r="N234" i="39"/>
  <c r="N237" i="39" s="1"/>
  <c r="N266" i="39" s="1"/>
  <c r="N300" i="36"/>
  <c r="O12" i="36"/>
  <c r="F11" i="45"/>
  <c r="G10" i="45" s="1"/>
  <c r="Q131" i="37"/>
  <c r="Q149" i="37" s="1"/>
  <c r="AA27" i="30"/>
  <c r="AA28" i="30"/>
  <c r="Y27" i="30"/>
  <c r="Y28" i="30"/>
  <c r="B23" i="30"/>
  <c r="B30" i="30"/>
  <c r="Z39" i="11"/>
  <c r="T75" i="11"/>
  <c r="I37" i="38"/>
  <c r="B187" i="37"/>
  <c r="L10" i="18"/>
  <c r="B24" i="30"/>
  <c r="B31" i="30"/>
  <c r="R71" i="30"/>
  <c r="P29" i="19"/>
  <c r="P15" i="19"/>
  <c r="J103" i="19"/>
  <c r="I17" i="37" s="1"/>
  <c r="J105" i="19"/>
  <c r="I22" i="37" s="1"/>
  <c r="J72" i="30"/>
  <c r="J73" i="30" s="1"/>
  <c r="J77" i="30" s="1"/>
  <c r="J17" i="19"/>
  <c r="J19" i="19" s="1"/>
  <c r="S31" i="19"/>
  <c r="S33" i="19" s="1"/>
  <c r="J105" i="4"/>
  <c r="I22" i="36" s="1"/>
  <c r="I276" i="39" s="1"/>
  <c r="I282" i="39" s="1"/>
  <c r="I264" i="39"/>
  <c r="I297" i="39" s="1"/>
  <c r="I42" i="36"/>
  <c r="L268" i="39"/>
  <c r="L135" i="64"/>
  <c r="L298" i="36"/>
  <c r="K41" i="37"/>
  <c r="K13" i="37"/>
  <c r="H103" i="4"/>
  <c r="H105" i="4" s="1"/>
  <c r="K290" i="39"/>
  <c r="K220" i="36"/>
  <c r="K221" i="36" s="1"/>
  <c r="K105" i="19"/>
  <c r="J22" i="37" s="1"/>
  <c r="K103" i="19"/>
  <c r="J17" i="37" s="1"/>
  <c r="R36" i="19"/>
  <c r="R51" i="19" s="1"/>
  <c r="G103" i="4"/>
  <c r="G105" i="4" s="1"/>
  <c r="H51" i="4"/>
  <c r="F12" i="11"/>
  <c r="F21" i="11" s="1"/>
  <c r="J290" i="39"/>
  <c r="J220" i="36"/>
  <c r="J221" i="36" s="1"/>
  <c r="B20" i="36"/>
  <c r="B15" i="11"/>
  <c r="B43" i="4"/>
  <c r="L71" i="11"/>
  <c r="K15" i="4"/>
  <c r="K29" i="4"/>
  <c r="S31" i="4"/>
  <c r="S33" i="4" s="1"/>
  <c r="H72" i="11"/>
  <c r="H73" i="11" s="1"/>
  <c r="H77" i="11" s="1"/>
  <c r="I17" i="4"/>
  <c r="I19" i="4" s="1"/>
  <c r="N72" i="11"/>
  <c r="N73" i="11" s="1"/>
  <c r="N77" i="11" s="1"/>
  <c r="L17" i="4"/>
  <c r="L19" i="4" s="1"/>
  <c r="F72" i="11"/>
  <c r="F73" i="11" s="1"/>
  <c r="F77" i="11" s="1"/>
  <c r="H17" i="4"/>
  <c r="W39" i="71"/>
  <c r="M39" i="71"/>
  <c r="T39" i="71"/>
  <c r="S39" i="71"/>
  <c r="X39" i="71"/>
  <c r="N39" i="71"/>
  <c r="S46" i="71"/>
  <c r="N46" i="71"/>
  <c r="M46" i="71"/>
  <c r="W46" i="71"/>
  <c r="A25" i="69"/>
  <c r="B24" i="69"/>
  <c r="Q480" i="39"/>
  <c r="Q486" i="39" s="1"/>
  <c r="Q365" i="39"/>
  <c r="O385" i="39"/>
  <c r="N419" i="39"/>
  <c r="L224" i="37"/>
  <c r="M226" i="37"/>
  <c r="M233" i="36"/>
  <c r="L232" i="36"/>
  <c r="L61" i="36" s="1"/>
  <c r="H126" i="39"/>
  <c r="P126" i="39" s="1"/>
  <c r="L322" i="39" s="1"/>
  <c r="H103" i="64"/>
  <c r="P103" i="64" s="1"/>
  <c r="L173" i="64" s="1"/>
  <c r="M66" i="36"/>
  <c r="M93" i="36" s="1"/>
  <c r="M173" i="38"/>
  <c r="M210" i="38" s="1"/>
  <c r="N66" i="37"/>
  <c r="N93" i="37" s="1"/>
  <c r="L262" i="39"/>
  <c r="P134" i="39"/>
  <c r="L330" i="39" s="1"/>
  <c r="H108" i="64"/>
  <c r="P108" i="64" s="1"/>
  <c r="L178" i="64" s="1"/>
  <c r="L93" i="36"/>
  <c r="L292" i="39"/>
  <c r="L129" i="64"/>
  <c r="M37" i="36"/>
  <c r="L303" i="39"/>
  <c r="L263" i="39"/>
  <c r="T75" i="30"/>
  <c r="Z39" i="30"/>
  <c r="N29" i="19"/>
  <c r="I33" i="38"/>
  <c r="B191" i="37"/>
  <c r="L12" i="18"/>
  <c r="I34" i="38"/>
  <c r="B192" i="37"/>
  <c r="L71" i="30"/>
  <c r="K29" i="19"/>
  <c r="K15" i="19"/>
  <c r="P72" i="30"/>
  <c r="P73" i="30" s="1"/>
  <c r="P77" i="30" s="1"/>
  <c r="O17" i="19"/>
  <c r="O19" i="19" s="1"/>
  <c r="J41" i="19"/>
  <c r="J31" i="19"/>
  <c r="I51" i="4"/>
  <c r="H12" i="11"/>
  <c r="H21" i="11" s="1"/>
  <c r="Q17" i="7"/>
  <c r="Q9" i="7"/>
  <c r="G103" i="19"/>
  <c r="G105" i="19" s="1"/>
  <c r="G15" i="4"/>
  <c r="G17" i="4" s="1"/>
  <c r="G19" i="4" s="1"/>
  <c r="G29" i="4"/>
  <c r="I41" i="4"/>
  <c r="I31" i="4"/>
  <c r="N221" i="37"/>
  <c r="O221" i="36"/>
  <c r="N271" i="37"/>
  <c r="O272" i="37"/>
  <c r="M162" i="64"/>
  <c r="M310" i="64"/>
  <c r="M201" i="64"/>
  <c r="M333" i="64"/>
  <c r="M234" i="64"/>
  <c r="M300" i="64"/>
  <c r="M283" i="64"/>
  <c r="N273" i="37"/>
  <c r="O274" i="37"/>
  <c r="N282" i="37"/>
  <c r="B7" i="42"/>
  <c r="B160" i="39"/>
  <c r="M11" i="39"/>
  <c r="B126" i="64"/>
  <c r="I244" i="36"/>
  <c r="B118" i="36"/>
  <c r="B87" i="36"/>
  <c r="B56" i="36"/>
  <c r="B216" i="36"/>
  <c r="B156" i="36"/>
  <c r="B195" i="36"/>
  <c r="B173" i="36"/>
  <c r="N212" i="37"/>
  <c r="O209" i="37" s="1"/>
  <c r="L24" i="41"/>
  <c r="T18" i="30"/>
  <c r="Z18" i="30" s="1"/>
  <c r="I18" i="24"/>
  <c r="N218" i="36"/>
  <c r="M217" i="36"/>
  <c r="O71" i="19"/>
  <c r="P9" i="30"/>
  <c r="M5" i="23"/>
  <c r="O110" i="19"/>
  <c r="O293" i="37"/>
  <c r="Q41" i="1"/>
  <c r="P293" i="37" s="1"/>
  <c r="L126" i="38"/>
  <c r="L156" i="37"/>
  <c r="L290" i="37"/>
  <c r="L195" i="37"/>
  <c r="L244" i="37"/>
  <c r="L173" i="37"/>
  <c r="L118" i="37"/>
  <c r="L87" i="37"/>
  <c r="L269" i="37"/>
  <c r="AB10" i="30"/>
  <c r="L56" i="37"/>
  <c r="E34" i="38" s="1"/>
  <c r="G34" i="38" s="1"/>
  <c r="N7" i="37"/>
  <c r="K7" i="75" s="1"/>
  <c r="L216" i="37"/>
  <c r="G29" i="64"/>
  <c r="E43" i="3"/>
  <c r="G27" i="76" s="1"/>
  <c r="O218" i="37"/>
  <c r="K111" i="19"/>
  <c r="L10" i="30"/>
  <c r="J6" i="23"/>
  <c r="J6" i="21"/>
  <c r="M7" i="22" s="1"/>
  <c r="K72" i="19"/>
  <c r="J6" i="19"/>
  <c r="I197" i="36"/>
  <c r="I470" i="39" s="1"/>
  <c r="J34" i="3"/>
  <c r="G14" i="1"/>
  <c r="E31" i="1"/>
  <c r="G15" i="1" s="1"/>
  <c r="R24" i="19"/>
  <c r="M142" i="38"/>
  <c r="N31" i="37"/>
  <c r="AD72" i="30"/>
  <c r="J10" i="11"/>
  <c r="J72" i="4"/>
  <c r="J111" i="4"/>
  <c r="I6" i="4"/>
  <c r="I6" i="6"/>
  <c r="K7" i="7" s="1"/>
  <c r="I6" i="8"/>
  <c r="O284" i="37"/>
  <c r="N277" i="36"/>
  <c r="N279" i="36"/>
  <c r="O278" i="36"/>
  <c r="O270" i="36"/>
  <c r="P270" i="36" s="1"/>
  <c r="Q270" i="36" s="1"/>
  <c r="N284" i="36"/>
  <c r="N286" i="36"/>
  <c r="O293" i="36"/>
  <c r="B36" i="21"/>
  <c r="B30" i="22" s="1"/>
  <c r="B22" i="24"/>
  <c r="N269" i="36"/>
  <c r="T10" i="30"/>
  <c r="Z10" i="30" s="1"/>
  <c r="P6" i="23"/>
  <c r="M142" i="64"/>
  <c r="N31" i="36"/>
  <c r="AD72" i="11"/>
  <c r="N272" i="36"/>
  <c r="M271" i="36"/>
  <c r="M273" i="36"/>
  <c r="O280" i="37"/>
  <c r="N279" i="37"/>
  <c r="L28" i="38"/>
  <c r="M62" i="38"/>
  <c r="G29" i="38"/>
  <c r="E43" i="18"/>
  <c r="G27" i="75" s="1"/>
  <c r="P10" i="30"/>
  <c r="O72" i="19"/>
  <c r="R6" i="19"/>
  <c r="O111" i="19"/>
  <c r="M6" i="21"/>
  <c r="M6" i="23"/>
  <c r="N6" i="19"/>
  <c r="F14" i="40"/>
  <c r="R46" i="40" s="1"/>
  <c r="L126" i="64"/>
  <c r="L173" i="36"/>
  <c r="L290" i="36"/>
  <c r="L269" i="36"/>
  <c r="L244" i="36"/>
  <c r="L216" i="36"/>
  <c r="L195" i="36"/>
  <c r="L118" i="36"/>
  <c r="L87" i="36"/>
  <c r="AB10" i="11"/>
  <c r="L56" i="36"/>
  <c r="E34" i="64" s="1"/>
  <c r="G34" i="64" s="1"/>
  <c r="L156" i="36"/>
  <c r="M491" i="39"/>
  <c r="N491" i="39" s="1"/>
  <c r="O491" i="39" s="1"/>
  <c r="P491" i="39" s="1"/>
  <c r="Q491" i="39" s="1"/>
  <c r="M468" i="39"/>
  <c r="N468" i="39" s="1"/>
  <c r="O468" i="39" s="1"/>
  <c r="P468" i="39" s="1"/>
  <c r="Q468" i="39" s="1"/>
  <c r="I19" i="69"/>
  <c r="M458" i="39"/>
  <c r="N458" i="39" s="1"/>
  <c r="O458" i="39" s="1"/>
  <c r="P458" i="39" s="1"/>
  <c r="Q458" i="39" s="1"/>
  <c r="M345" i="39"/>
  <c r="N345" i="39" s="1"/>
  <c r="O345" i="39" s="1"/>
  <c r="P345" i="39" s="1"/>
  <c r="Q345" i="39" s="1"/>
  <c r="M160" i="39"/>
  <c r="N160" i="39" s="1"/>
  <c r="O160" i="39" s="1"/>
  <c r="P160" i="39" s="1"/>
  <c r="Q160" i="39" s="1"/>
  <c r="M74" i="39"/>
  <c r="M28" i="39"/>
  <c r="N28" i="39" s="1"/>
  <c r="N12" i="39"/>
  <c r="M260" i="39"/>
  <c r="M213" i="39"/>
  <c r="N213" i="39" s="1"/>
  <c r="O213" i="39" s="1"/>
  <c r="P213" i="39" s="1"/>
  <c r="Q213" i="39" s="1"/>
  <c r="M380" i="39"/>
  <c r="M311" i="39"/>
  <c r="M86" i="39"/>
  <c r="N86" i="39" s="1"/>
  <c r="O86" i="39" s="1"/>
  <c r="P86" i="39" s="1"/>
  <c r="Q86" i="39" s="1"/>
  <c r="M438" i="39"/>
  <c r="G40" i="1"/>
  <c r="B126" i="38"/>
  <c r="B156" i="37"/>
  <c r="B216" i="37"/>
  <c r="B195" i="37"/>
  <c r="B173" i="37"/>
  <c r="B118" i="37"/>
  <c r="B56" i="37"/>
  <c r="B87" i="37"/>
  <c r="I244" i="37"/>
  <c r="N274" i="36"/>
  <c r="N275" i="36" s="1"/>
  <c r="G24" i="41"/>
  <c r="T18" i="11"/>
  <c r="Z18" i="11" s="1"/>
  <c r="M131" i="64"/>
  <c r="M203" i="64" s="1"/>
  <c r="M35" i="36"/>
  <c r="J16" i="76" s="1"/>
  <c r="N212" i="36"/>
  <c r="O209" i="36" s="1"/>
  <c r="L35" i="37" l="1"/>
  <c r="AB12" i="30"/>
  <c r="AB21" i="30" s="1"/>
  <c r="M217" i="37"/>
  <c r="M98" i="37" s="1"/>
  <c r="J17" i="75" s="1"/>
  <c r="J8" i="75"/>
  <c r="J9" i="75" s="1"/>
  <c r="L302" i="37"/>
  <c r="L89" i="36"/>
  <c r="L35" i="36" s="1"/>
  <c r="V16" i="76" s="1"/>
  <c r="V19" i="76" s="1"/>
  <c r="M27" i="76"/>
  <c r="R27" i="76"/>
  <c r="N27" i="76"/>
  <c r="Q27" i="76"/>
  <c r="L27" i="76"/>
  <c r="K27" i="76"/>
  <c r="G39" i="76"/>
  <c r="P27" i="76"/>
  <c r="H27" i="76"/>
  <c r="I27" i="76"/>
  <c r="J27" i="76"/>
  <c r="B27" i="76"/>
  <c r="B39" i="76" s="1"/>
  <c r="O27" i="76"/>
  <c r="J14" i="40"/>
  <c r="K7" i="76"/>
  <c r="N118" i="36"/>
  <c r="O7" i="36"/>
  <c r="L7" i="76" s="1"/>
  <c r="N87" i="36"/>
  <c r="N195" i="36"/>
  <c r="N126" i="64"/>
  <c r="N7" i="42"/>
  <c r="N156" i="36"/>
  <c r="N173" i="36"/>
  <c r="Q27" i="75"/>
  <c r="Q39" i="75" s="1"/>
  <c r="J27" i="75"/>
  <c r="J39" i="75" s="1"/>
  <c r="K27" i="75"/>
  <c r="K39" i="75" s="1"/>
  <c r="G39" i="75"/>
  <c r="O27" i="75"/>
  <c r="O39" i="75" s="1"/>
  <c r="H27" i="75"/>
  <c r="H39" i="75" s="1"/>
  <c r="R27" i="75"/>
  <c r="R39" i="75" s="1"/>
  <c r="B27" i="75"/>
  <c r="B39" i="75" s="1"/>
  <c r="L27" i="75"/>
  <c r="L39" i="75" s="1"/>
  <c r="P27" i="75"/>
  <c r="P39" i="75" s="1"/>
  <c r="M27" i="75"/>
  <c r="M39" i="75" s="1"/>
  <c r="I27" i="75"/>
  <c r="I39" i="75" s="1"/>
  <c r="N27" i="75"/>
  <c r="N39" i="75" s="1"/>
  <c r="AF10" i="11"/>
  <c r="N290" i="36"/>
  <c r="G17" i="64"/>
  <c r="G18" i="64" s="1"/>
  <c r="G19" i="64" s="1"/>
  <c r="Q294" i="38"/>
  <c r="Q292" i="38"/>
  <c r="L131" i="64"/>
  <c r="Q286" i="64"/>
  <c r="Q288" i="64" s="1"/>
  <c r="Q441" i="39"/>
  <c r="Q443" i="39" s="1"/>
  <c r="Q161" i="36"/>
  <c r="P286" i="64"/>
  <c r="P288" i="64" s="1"/>
  <c r="P441" i="39"/>
  <c r="P443" i="39" s="1"/>
  <c r="P161" i="36"/>
  <c r="M294" i="38"/>
  <c r="M292" i="38"/>
  <c r="P292" i="38"/>
  <c r="P294" i="38"/>
  <c r="Q167" i="37"/>
  <c r="Q147" i="37" s="1"/>
  <c r="O292" i="38"/>
  <c r="O294" i="38"/>
  <c r="N286" i="64"/>
  <c r="N288" i="64" s="1"/>
  <c r="N441" i="39"/>
  <c r="N443" i="39" s="1"/>
  <c r="N161" i="36"/>
  <c r="M161" i="36"/>
  <c r="M286" i="64"/>
  <c r="M288" i="64" s="1"/>
  <c r="M441" i="39"/>
  <c r="M443" i="39" s="1"/>
  <c r="O286" i="64"/>
  <c r="O288" i="64" s="1"/>
  <c r="O441" i="39"/>
  <c r="O443" i="39" s="1"/>
  <c r="O161" i="36"/>
  <c r="H39" i="39"/>
  <c r="P38" i="39" s="1"/>
  <c r="P11" i="41"/>
  <c r="P12" i="41" s="1"/>
  <c r="N283" i="37"/>
  <c r="G17" i="19"/>
  <c r="G19" i="19" s="1"/>
  <c r="G127" i="19"/>
  <c r="AB67" i="30"/>
  <c r="L13" i="37"/>
  <c r="L34" i="37" s="1"/>
  <c r="V12" i="75" s="1"/>
  <c r="L98" i="37"/>
  <c r="V17" i="75" s="1"/>
  <c r="L235" i="37"/>
  <c r="L71" i="37" s="1"/>
  <c r="O130" i="36"/>
  <c r="O148" i="36" s="1"/>
  <c r="N148" i="36"/>
  <c r="I13" i="36"/>
  <c r="I34" i="36" s="1"/>
  <c r="M62" i="64"/>
  <c r="N56" i="36"/>
  <c r="N244" i="36"/>
  <c r="N216" i="36"/>
  <c r="J13" i="36"/>
  <c r="M156" i="64"/>
  <c r="L228" i="37"/>
  <c r="L229" i="37" s="1"/>
  <c r="S17" i="19"/>
  <c r="S19" i="19" s="1"/>
  <c r="T72" i="30"/>
  <c r="T73" i="30" s="1"/>
  <c r="T77" i="30" s="1"/>
  <c r="R135" i="19"/>
  <c r="O286" i="36"/>
  <c r="P286" i="36" s="1"/>
  <c r="Q286" i="36" s="1"/>
  <c r="N277" i="37"/>
  <c r="E26" i="18"/>
  <c r="E27" i="18" s="1"/>
  <c r="E32" i="18" s="1"/>
  <c r="J25" i="18" s="1"/>
  <c r="O276" i="37"/>
  <c r="O275" i="37" s="1"/>
  <c r="G10" i="46"/>
  <c r="P137" i="39"/>
  <c r="L333" i="39" s="1"/>
  <c r="L398" i="39" s="1"/>
  <c r="J229" i="36"/>
  <c r="J230" i="36" s="1"/>
  <c r="J237" i="36"/>
  <c r="P72" i="11"/>
  <c r="P73" i="11" s="1"/>
  <c r="P77" i="11" s="1"/>
  <c r="O31" i="4"/>
  <c r="O33" i="4" s="1"/>
  <c r="P122" i="39"/>
  <c r="S127" i="4"/>
  <c r="T72" i="11"/>
  <c r="T73" i="11" s="1"/>
  <c r="T77" i="11" s="1"/>
  <c r="K11" i="9"/>
  <c r="K105" i="4"/>
  <c r="J22" i="36" s="1"/>
  <c r="J276" i="39" s="1"/>
  <c r="J282" i="39" s="1"/>
  <c r="J41" i="4"/>
  <c r="J61" i="4" s="1"/>
  <c r="I51" i="36" s="1"/>
  <c r="R16" i="4"/>
  <c r="K127" i="4"/>
  <c r="J127" i="4"/>
  <c r="S17" i="4"/>
  <c r="S19" i="4" s="1"/>
  <c r="G20" i="41" s="1"/>
  <c r="I20" i="41" s="1"/>
  <c r="K12" i="9"/>
  <c r="K10" i="9"/>
  <c r="G16" i="1"/>
  <c r="G17" i="1" s="1"/>
  <c r="M254" i="39"/>
  <c r="AD38" i="30"/>
  <c r="AD67" i="30" s="1"/>
  <c r="M11" i="37"/>
  <c r="J13" i="37"/>
  <c r="J16" i="37" s="1"/>
  <c r="J18" i="37" s="1"/>
  <c r="J20" i="37" s="1"/>
  <c r="M162" i="38"/>
  <c r="N213" i="37"/>
  <c r="N103" i="37" s="1"/>
  <c r="M239" i="37"/>
  <c r="M72" i="37" s="1"/>
  <c r="M178" i="38" s="1"/>
  <c r="AD11" i="30"/>
  <c r="AD28" i="30" s="1"/>
  <c r="M49" i="37"/>
  <c r="M216" i="39"/>
  <c r="M218" i="39" s="1"/>
  <c r="M261" i="39" s="1"/>
  <c r="M303" i="39" s="1"/>
  <c r="M127" i="38"/>
  <c r="M156" i="38" s="1"/>
  <c r="M303" i="37"/>
  <c r="I10" i="46"/>
  <c r="I11" i="46" s="1"/>
  <c r="J10" i="46" s="1"/>
  <c r="H108" i="38"/>
  <c r="P108" i="38" s="1"/>
  <c r="L178" i="38" s="1"/>
  <c r="J9" i="45"/>
  <c r="M37" i="37"/>
  <c r="M292" i="39" s="1"/>
  <c r="L129" i="38"/>
  <c r="M232" i="37"/>
  <c r="M61" i="37" s="1"/>
  <c r="M167" i="38" s="1"/>
  <c r="L42" i="37"/>
  <c r="N8" i="37"/>
  <c r="M220" i="37"/>
  <c r="M89" i="37" s="1"/>
  <c r="M347" i="39" s="1"/>
  <c r="M9" i="37"/>
  <c r="Q40" i="1"/>
  <c r="B40" i="3"/>
  <c r="Q51" i="1"/>
  <c r="K15" i="9"/>
  <c r="K17" i="9"/>
  <c r="M283" i="38"/>
  <c r="M310" i="38"/>
  <c r="M300" i="38"/>
  <c r="M201" i="38"/>
  <c r="M234" i="38"/>
  <c r="M230" i="36"/>
  <c r="N230" i="36" s="1"/>
  <c r="O230" i="36" s="1"/>
  <c r="P230" i="36" s="1"/>
  <c r="Q230" i="36" s="1"/>
  <c r="L228" i="36"/>
  <c r="I54" i="4"/>
  <c r="H14" i="11"/>
  <c r="O43" i="19"/>
  <c r="O21" i="19"/>
  <c r="O24" i="19"/>
  <c r="J34" i="36"/>
  <c r="J16" i="36"/>
  <c r="J18" i="36" s="1"/>
  <c r="J20" i="36" s="1"/>
  <c r="L296" i="39"/>
  <c r="L267" i="39"/>
  <c r="L289" i="39" s="1"/>
  <c r="O419" i="39"/>
  <c r="P385" i="39"/>
  <c r="B25" i="69"/>
  <c r="A26" i="69"/>
  <c r="K31" i="4"/>
  <c r="K41" i="4"/>
  <c r="B19" i="40"/>
  <c r="B31" i="11"/>
  <c r="B35" i="40" s="1"/>
  <c r="B24" i="11"/>
  <c r="B29" i="40" s="1"/>
  <c r="J43" i="19"/>
  <c r="J21" i="19"/>
  <c r="J24" i="19"/>
  <c r="R72" i="30"/>
  <c r="P17" i="19"/>
  <c r="P19" i="19" s="1"/>
  <c r="G9" i="45"/>
  <c r="N40" i="4"/>
  <c r="N33" i="4"/>
  <c r="P31" i="4"/>
  <c r="P41" i="4"/>
  <c r="P61" i="4" s="1"/>
  <c r="N21" i="11"/>
  <c r="X12" i="11"/>
  <c r="X21" i="11" s="1"/>
  <c r="I10" i="37"/>
  <c r="N181" i="38"/>
  <c r="N211" i="38" s="1"/>
  <c r="O75" i="37"/>
  <c r="N94" i="37"/>
  <c r="J296" i="39"/>
  <c r="J267" i="39"/>
  <c r="N226" i="36"/>
  <c r="M224" i="36"/>
  <c r="P130" i="37"/>
  <c r="P148" i="37" s="1"/>
  <c r="O33" i="19"/>
  <c r="O40" i="19"/>
  <c r="L41" i="19"/>
  <c r="L31" i="19"/>
  <c r="I31" i="19"/>
  <c r="I41" i="19"/>
  <c r="N185" i="38"/>
  <c r="N250" i="38" s="1"/>
  <c r="O77" i="37"/>
  <c r="N134" i="37"/>
  <c r="M227" i="39"/>
  <c r="M42" i="36"/>
  <c r="P430" i="39"/>
  <c r="O54" i="4"/>
  <c r="P14" i="11"/>
  <c r="P23" i="11" s="1"/>
  <c r="M322" i="39"/>
  <c r="M173" i="64"/>
  <c r="M210" i="64" s="1"/>
  <c r="N66" i="36"/>
  <c r="N93" i="36" s="1"/>
  <c r="N226" i="37"/>
  <c r="M224" i="37"/>
  <c r="H19" i="4"/>
  <c r="I43" i="4"/>
  <c r="I21" i="4"/>
  <c r="I24" i="4"/>
  <c r="L72" i="11"/>
  <c r="L73" i="11" s="1"/>
  <c r="L77" i="11" s="1"/>
  <c r="K17" i="4"/>
  <c r="K19" i="4" s="1"/>
  <c r="B274" i="39"/>
  <c r="B306" i="39" s="1"/>
  <c r="B52" i="36"/>
  <c r="K34" i="37"/>
  <c r="K16" i="37"/>
  <c r="P41" i="19"/>
  <c r="P61" i="19" s="1"/>
  <c r="P31" i="19"/>
  <c r="Q396" i="39"/>
  <c r="Q430" i="39" s="1"/>
  <c r="M237" i="36"/>
  <c r="L235" i="36"/>
  <c r="O61" i="4"/>
  <c r="P30" i="11" s="1"/>
  <c r="N54" i="4"/>
  <c r="R72" i="11"/>
  <c r="R73" i="11" s="1"/>
  <c r="R77" i="11" s="1"/>
  <c r="P17" i="4"/>
  <c r="P19" i="4" s="1"/>
  <c r="N18" i="42"/>
  <c r="N298" i="37"/>
  <c r="O14" i="37"/>
  <c r="H41" i="19"/>
  <c r="H31" i="19"/>
  <c r="P235" i="39"/>
  <c r="P300" i="37"/>
  <c r="Q12" i="37"/>
  <c r="J40" i="4"/>
  <c r="J33" i="4"/>
  <c r="P14" i="30"/>
  <c r="P23" i="30" s="1"/>
  <c r="O54" i="19"/>
  <c r="N72" i="30"/>
  <c r="N73" i="30" s="1"/>
  <c r="N77" i="30" s="1"/>
  <c r="L17" i="19"/>
  <c r="L19" i="19" s="1"/>
  <c r="M273" i="39"/>
  <c r="N19" i="36"/>
  <c r="M221" i="39"/>
  <c r="M302" i="36"/>
  <c r="M41" i="36"/>
  <c r="M13" i="36"/>
  <c r="AD12" i="11"/>
  <c r="P131" i="39"/>
  <c r="L327" i="39" s="1"/>
  <c r="G31" i="4"/>
  <c r="G41" i="4"/>
  <c r="O43" i="4"/>
  <c r="O62" i="4" s="1"/>
  <c r="P31" i="11" s="1"/>
  <c r="O21" i="4"/>
  <c r="O24" i="4"/>
  <c r="J33" i="19"/>
  <c r="J40" i="19"/>
  <c r="L72" i="30"/>
  <c r="L73" i="30" s="1"/>
  <c r="L77" i="30" s="1"/>
  <c r="K17" i="19"/>
  <c r="K19" i="19" s="1"/>
  <c r="N24" i="19"/>
  <c r="N43" i="19"/>
  <c r="N21" i="19"/>
  <c r="N122" i="19" s="1"/>
  <c r="N124" i="19" s="1"/>
  <c r="N126" i="19" s="1"/>
  <c r="N128" i="19" s="1"/>
  <c r="N131" i="19" s="1"/>
  <c r="N133" i="19" s="1"/>
  <c r="M129" i="64"/>
  <c r="N37" i="36"/>
  <c r="N173" i="38"/>
  <c r="N210" i="38" s="1"/>
  <c r="O66" i="37"/>
  <c r="O93" i="37" s="1"/>
  <c r="H119" i="39"/>
  <c r="P119" i="39" s="1"/>
  <c r="L316" i="39" s="1"/>
  <c r="H96" i="64"/>
  <c r="P96" i="64" s="1"/>
  <c r="L167" i="64" s="1"/>
  <c r="L225" i="37"/>
  <c r="L59" i="37"/>
  <c r="R73" i="30"/>
  <c r="R77" i="30" s="1"/>
  <c r="O234" i="39"/>
  <c r="O237" i="39" s="1"/>
  <c r="O266" i="39" s="1"/>
  <c r="O300" i="36"/>
  <c r="P12" i="36"/>
  <c r="N430" i="39"/>
  <c r="O131" i="36"/>
  <c r="AB76" i="11"/>
  <c r="F42" i="40"/>
  <c r="AB67" i="11"/>
  <c r="L33" i="4"/>
  <c r="L40" i="4"/>
  <c r="K262" i="39"/>
  <c r="K263" i="39" s="1"/>
  <c r="K10" i="36"/>
  <c r="K271" i="39"/>
  <c r="I267" i="39"/>
  <c r="M333" i="39"/>
  <c r="M398" i="39" s="1"/>
  <c r="M184" i="64"/>
  <c r="M249" i="64" s="1"/>
  <c r="M133" i="36"/>
  <c r="N76" i="36"/>
  <c r="M9" i="45"/>
  <c r="H33" i="4"/>
  <c r="H40" i="4"/>
  <c r="N135" i="4"/>
  <c r="J14" i="11"/>
  <c r="T12" i="30"/>
  <c r="S51" i="19"/>
  <c r="G24" i="19"/>
  <c r="G43" i="19"/>
  <c r="H62" i="19" s="1"/>
  <c r="G21" i="19"/>
  <c r="G122" i="19" s="1"/>
  <c r="G124" i="19" s="1"/>
  <c r="G126" i="19" s="1"/>
  <c r="G128" i="19" s="1"/>
  <c r="G131" i="19" s="1"/>
  <c r="G133" i="19" s="1"/>
  <c r="H15" i="40"/>
  <c r="H32" i="40" s="1"/>
  <c r="AD28" i="11"/>
  <c r="M178" i="64"/>
  <c r="M334" i="39"/>
  <c r="M399" i="39" s="1"/>
  <c r="M185" i="64"/>
  <c r="M250" i="64" s="1"/>
  <c r="M134" i="36"/>
  <c r="N77" i="36"/>
  <c r="F16" i="40"/>
  <c r="F26" i="40" s="1"/>
  <c r="AB21" i="11"/>
  <c r="O276" i="36"/>
  <c r="P276" i="36" s="1"/>
  <c r="I40" i="4"/>
  <c r="I33" i="4"/>
  <c r="G24" i="4"/>
  <c r="G43" i="4"/>
  <c r="G21" i="4"/>
  <c r="G122" i="4" s="1"/>
  <c r="G124" i="4" s="1"/>
  <c r="G126" i="4" s="1"/>
  <c r="G128" i="4" s="1"/>
  <c r="G131" i="4" s="1"/>
  <c r="G133" i="4" s="1"/>
  <c r="J14" i="30"/>
  <c r="J54" i="19"/>
  <c r="K41" i="19"/>
  <c r="K31" i="19"/>
  <c r="N31" i="19"/>
  <c r="N41" i="19"/>
  <c r="O233" i="37"/>
  <c r="N233" i="36"/>
  <c r="M232" i="36"/>
  <c r="M61" i="36" s="1"/>
  <c r="L24" i="4"/>
  <c r="L21" i="4"/>
  <c r="B55" i="4"/>
  <c r="B62" i="4"/>
  <c r="M298" i="36"/>
  <c r="M330" i="39"/>
  <c r="M355" i="39" s="1"/>
  <c r="M181" i="64"/>
  <c r="M211" i="64" s="1"/>
  <c r="M94" i="36"/>
  <c r="N75" i="36"/>
  <c r="N149" i="36"/>
  <c r="L215" i="64"/>
  <c r="L100" i="36"/>
  <c r="M184" i="38"/>
  <c r="M249" i="38" s="1"/>
  <c r="N76" i="37"/>
  <c r="M133" i="37"/>
  <c r="O267" i="38"/>
  <c r="P239" i="38"/>
  <c r="N14" i="11"/>
  <c r="L54" i="4"/>
  <c r="T12" i="11"/>
  <c r="S51" i="4"/>
  <c r="J271" i="39"/>
  <c r="L105" i="4"/>
  <c r="K22" i="36" s="1"/>
  <c r="K276" i="39" s="1"/>
  <c r="K282" i="39" s="1"/>
  <c r="F72" i="30"/>
  <c r="F73" i="30" s="1"/>
  <c r="F77" i="30" s="1"/>
  <c r="H17" i="19"/>
  <c r="F60" i="64"/>
  <c r="L99" i="64"/>
  <c r="P99" i="64" s="1"/>
  <c r="N237" i="37"/>
  <c r="L59" i="36"/>
  <c r="L225" i="36"/>
  <c r="O430" i="39"/>
  <c r="F14" i="11"/>
  <c r="F23" i="11" s="1"/>
  <c r="I61" i="4"/>
  <c r="H54" i="4"/>
  <c r="N55" i="4"/>
  <c r="N44" i="4"/>
  <c r="G41" i="19"/>
  <c r="H61" i="19" s="1"/>
  <c r="G31" i="19"/>
  <c r="H72" i="30"/>
  <c r="H73" i="30" s="1"/>
  <c r="H77" i="30" s="1"/>
  <c r="I17" i="19"/>
  <c r="I19" i="19" s="1"/>
  <c r="L9" i="46"/>
  <c r="N215" i="39"/>
  <c r="N127" i="64"/>
  <c r="N156" i="64" s="1"/>
  <c r="N9" i="36"/>
  <c r="O8" i="36"/>
  <c r="O220" i="36" s="1"/>
  <c r="O89" i="36" s="1"/>
  <c r="N239" i="36"/>
  <c r="N72" i="36" s="1"/>
  <c r="N49" i="36"/>
  <c r="N303" i="36"/>
  <c r="N11" i="36"/>
  <c r="AF11" i="11"/>
  <c r="O267" i="64"/>
  <c r="P239" i="64"/>
  <c r="L34" i="36"/>
  <c r="L36" i="36" s="1"/>
  <c r="V10" i="76" s="1"/>
  <c r="V11" i="76" s="1"/>
  <c r="AB71" i="11"/>
  <c r="AB73" i="11" s="1"/>
  <c r="N74" i="39"/>
  <c r="O12" i="39"/>
  <c r="I6" i="23"/>
  <c r="J72" i="19"/>
  <c r="J10" i="30"/>
  <c r="I6" i="21"/>
  <c r="K7" i="22" s="1"/>
  <c r="J111" i="19"/>
  <c r="I6" i="19"/>
  <c r="P280" i="37"/>
  <c r="O279" i="37"/>
  <c r="L333" i="38"/>
  <c r="L283" i="38"/>
  <c r="L234" i="38"/>
  <c r="L162" i="38"/>
  <c r="O212" i="37"/>
  <c r="P209" i="37" s="1"/>
  <c r="L311" i="39"/>
  <c r="N311" i="39"/>
  <c r="O311" i="39" s="1"/>
  <c r="P311" i="39" s="1"/>
  <c r="Q311" i="39" s="1"/>
  <c r="O284" i="36"/>
  <c r="P272" i="37"/>
  <c r="O271" i="37"/>
  <c r="N271" i="36"/>
  <c r="O272" i="36"/>
  <c r="N142" i="38"/>
  <c r="O31" i="37"/>
  <c r="AF72" i="30"/>
  <c r="B311" i="39"/>
  <c r="B458" i="39"/>
  <c r="B491" i="39"/>
  <c r="B345" i="39"/>
  <c r="B260" i="39"/>
  <c r="B438" i="39"/>
  <c r="B213" i="39"/>
  <c r="B468" i="39"/>
  <c r="B380" i="39"/>
  <c r="M240" i="39"/>
  <c r="AD37" i="11"/>
  <c r="L11" i="41"/>
  <c r="L12" i="41" s="1"/>
  <c r="L203" i="37"/>
  <c r="O38" i="39"/>
  <c r="P284" i="37"/>
  <c r="O273" i="37"/>
  <c r="P274" i="37"/>
  <c r="O282" i="37"/>
  <c r="O283" i="37" s="1"/>
  <c r="P221" i="36"/>
  <c r="L438" i="39"/>
  <c r="N438" i="39"/>
  <c r="O438" i="39" s="1"/>
  <c r="P438" i="39" s="1"/>
  <c r="Q438" i="39" s="1"/>
  <c r="N142" i="64"/>
  <c r="AF72" i="11"/>
  <c r="O31" i="36"/>
  <c r="P13" i="41"/>
  <c r="L13" i="41"/>
  <c r="P39" i="39"/>
  <c r="O39" i="39"/>
  <c r="B45" i="18"/>
  <c r="B46" i="75" s="1"/>
  <c r="P293" i="36"/>
  <c r="N126" i="38"/>
  <c r="N244" i="37"/>
  <c r="N173" i="37"/>
  <c r="N118" i="37"/>
  <c r="N269" i="37"/>
  <c r="O7" i="37"/>
  <c r="L7" i="75" s="1"/>
  <c r="N156" i="37"/>
  <c r="N87" i="37"/>
  <c r="N195" i="37"/>
  <c r="N216" i="37"/>
  <c r="AF10" i="30"/>
  <c r="N290" i="37"/>
  <c r="N56" i="37"/>
  <c r="Q293" i="37"/>
  <c r="M98" i="36"/>
  <c r="AD38" i="11"/>
  <c r="O212" i="36"/>
  <c r="P209" i="36" s="1"/>
  <c r="K12" i="24"/>
  <c r="K11" i="24"/>
  <c r="K10" i="24"/>
  <c r="N333" i="64"/>
  <c r="N300" i="64"/>
  <c r="N283" i="64"/>
  <c r="N234" i="64"/>
  <c r="N201" i="64"/>
  <c r="N162" i="64"/>
  <c r="N28" i="64"/>
  <c r="N62" i="64" s="1"/>
  <c r="N310" i="64"/>
  <c r="P278" i="36"/>
  <c r="O279" i="36"/>
  <c r="O7" i="42"/>
  <c r="L14" i="40"/>
  <c r="O195" i="36"/>
  <c r="O290" i="36"/>
  <c r="O87" i="36"/>
  <c r="P7" i="36"/>
  <c r="M7" i="76" s="1"/>
  <c r="O244" i="36"/>
  <c r="O126" i="64"/>
  <c r="O269" i="36"/>
  <c r="O156" i="36"/>
  <c r="O56" i="36"/>
  <c r="O118" i="36"/>
  <c r="AH10" i="11"/>
  <c r="F58" i="38"/>
  <c r="F68" i="38" s="1"/>
  <c r="G28" i="38"/>
  <c r="G31" i="38" s="1"/>
  <c r="B300" i="38"/>
  <c r="B201" i="38"/>
  <c r="B234" i="38"/>
  <c r="B310" i="38"/>
  <c r="I28" i="38"/>
  <c r="B333" i="38"/>
  <c r="B283" i="38"/>
  <c r="B162" i="38"/>
  <c r="L380" i="39"/>
  <c r="N380" i="39"/>
  <c r="O380" i="39" s="1"/>
  <c r="P380" i="39" s="1"/>
  <c r="Q380" i="39" s="1"/>
  <c r="D39" i="69"/>
  <c r="J19" i="69"/>
  <c r="M13" i="71"/>
  <c r="N19" i="69"/>
  <c r="R13" i="71" s="1"/>
  <c r="N111" i="19"/>
  <c r="N72" i="19"/>
  <c r="H6" i="4"/>
  <c r="U30" i="4" s="1"/>
  <c r="I111" i="4"/>
  <c r="H6" i="8"/>
  <c r="H6" i="6"/>
  <c r="I7" i="7" s="1"/>
  <c r="H10" i="11"/>
  <c r="I72" i="4"/>
  <c r="N217" i="36"/>
  <c r="O218" i="36"/>
  <c r="I28" i="64"/>
  <c r="B162" i="64"/>
  <c r="B333" i="64"/>
  <c r="B283" i="64"/>
  <c r="B234" i="64"/>
  <c r="B201" i="64"/>
  <c r="B300" i="64"/>
  <c r="B310" i="64"/>
  <c r="G13" i="41"/>
  <c r="M39" i="39"/>
  <c r="B45" i="3"/>
  <c r="B46" i="76" s="1"/>
  <c r="N131" i="64"/>
  <c r="N203" i="64" s="1"/>
  <c r="N35" i="36"/>
  <c r="K16" i="76" s="1"/>
  <c r="K17" i="24"/>
  <c r="K16" i="24"/>
  <c r="N213" i="36"/>
  <c r="N103" i="36" s="1"/>
  <c r="N282" i="36"/>
  <c r="N283" i="36" s="1"/>
  <c r="O274" i="36"/>
  <c r="N273" i="36"/>
  <c r="T14" i="40"/>
  <c r="K260" i="39"/>
  <c r="J260" i="39" s="1"/>
  <c r="I260" i="39" s="1"/>
  <c r="N260" i="39"/>
  <c r="L260" i="39"/>
  <c r="L162" i="64"/>
  <c r="L283" i="64"/>
  <c r="L333" i="64"/>
  <c r="L234" i="64"/>
  <c r="P218" i="37"/>
  <c r="K15" i="24"/>
  <c r="O221" i="37"/>
  <c r="L290" i="39"/>
  <c r="AB37" i="11"/>
  <c r="V14" i="75" l="1"/>
  <c r="V15" i="75" s="1"/>
  <c r="V13" i="75"/>
  <c r="AD76" i="30"/>
  <c r="N232" i="37"/>
  <c r="N61" i="37" s="1"/>
  <c r="N167" i="38" s="1"/>
  <c r="K8" i="75"/>
  <c r="K9" i="75" s="1"/>
  <c r="P276" i="37"/>
  <c r="AB37" i="30"/>
  <c r="AB74" i="30" s="1"/>
  <c r="V16" i="75"/>
  <c r="L63" i="36"/>
  <c r="H121" i="39" s="1"/>
  <c r="P39" i="76"/>
  <c r="K39" i="76"/>
  <c r="O173" i="36"/>
  <c r="O216" i="36"/>
  <c r="O39" i="76"/>
  <c r="L39" i="76"/>
  <c r="J39" i="76"/>
  <c r="N39" i="76"/>
  <c r="I39" i="76"/>
  <c r="R39" i="76"/>
  <c r="Q39" i="76"/>
  <c r="H39" i="76"/>
  <c r="M39" i="76"/>
  <c r="V29" i="39"/>
  <c r="W29" i="39" s="1"/>
  <c r="H29" i="39" s="1"/>
  <c r="F49" i="39" s="1"/>
  <c r="G28" i="64"/>
  <c r="G31" i="64" s="1"/>
  <c r="G35" i="64" s="1"/>
  <c r="F58" i="64"/>
  <c r="F68" i="64" s="1"/>
  <c r="Q292" i="64"/>
  <c r="Q294" i="64"/>
  <c r="O452" i="39"/>
  <c r="O428" i="39" s="1"/>
  <c r="O449" i="39"/>
  <c r="O447" i="39"/>
  <c r="P449" i="39"/>
  <c r="P447" i="39"/>
  <c r="P452" i="39"/>
  <c r="P428" i="39" s="1"/>
  <c r="O292" i="64"/>
  <c r="O294" i="64"/>
  <c r="P292" i="64"/>
  <c r="P294" i="64"/>
  <c r="M449" i="39"/>
  <c r="M447" i="39"/>
  <c r="M452" i="39"/>
  <c r="M428" i="39" s="1"/>
  <c r="Q167" i="36"/>
  <c r="Q147" i="36" s="1"/>
  <c r="Q165" i="36"/>
  <c r="Q447" i="39"/>
  <c r="Q452" i="39"/>
  <c r="Q428" i="39" s="1"/>
  <c r="Q449" i="39"/>
  <c r="N167" i="36"/>
  <c r="N147" i="36" s="1"/>
  <c r="N165" i="36"/>
  <c r="N449" i="39"/>
  <c r="N452" i="39"/>
  <c r="N428" i="39" s="1"/>
  <c r="N447" i="39"/>
  <c r="M292" i="64"/>
  <c r="M294" i="64"/>
  <c r="M167" i="36"/>
  <c r="M147" i="36" s="1"/>
  <c r="M165" i="36"/>
  <c r="O165" i="36"/>
  <c r="O167" i="36"/>
  <c r="O147" i="36" s="1"/>
  <c r="N292" i="64"/>
  <c r="N294" i="64"/>
  <c r="P165" i="36"/>
  <c r="P167" i="36"/>
  <c r="P147" i="36" s="1"/>
  <c r="F72" i="39"/>
  <c r="F82" i="39" s="1"/>
  <c r="P14" i="41"/>
  <c r="P27" i="41" s="1"/>
  <c r="AB71" i="30"/>
  <c r="AB73" i="30" s="1"/>
  <c r="L60" i="37"/>
  <c r="H95" i="38" s="1"/>
  <c r="P95" i="38" s="1"/>
  <c r="L166" i="38" s="1"/>
  <c r="L215" i="38"/>
  <c r="L100" i="37"/>
  <c r="L63" i="37" s="1"/>
  <c r="H98" i="64"/>
  <c r="P98" i="64" s="1"/>
  <c r="L169" i="64" s="1"/>
  <c r="I16" i="36"/>
  <c r="I18" i="36" s="1"/>
  <c r="I20" i="36" s="1"/>
  <c r="J52" i="36" s="1"/>
  <c r="P130" i="36"/>
  <c r="Q130" i="36" s="1"/>
  <c r="Q148" i="36" s="1"/>
  <c r="K13" i="24"/>
  <c r="K18" i="24" s="1"/>
  <c r="S21" i="19"/>
  <c r="S122" i="19" s="1"/>
  <c r="S124" i="19" s="1"/>
  <c r="S126" i="19" s="1"/>
  <c r="S128" i="19" s="1"/>
  <c r="S131" i="19" s="1"/>
  <c r="S133" i="19" s="1"/>
  <c r="S135" i="19" s="1"/>
  <c r="S24" i="19"/>
  <c r="L20" i="41"/>
  <c r="N20" i="41" s="1"/>
  <c r="O277" i="37"/>
  <c r="M215" i="38"/>
  <c r="M217" i="38" s="1"/>
  <c r="U41" i="4"/>
  <c r="U14" i="4"/>
  <c r="M100" i="37"/>
  <c r="E26" i="3"/>
  <c r="E27" i="3" s="1"/>
  <c r="E32" i="3" s="1"/>
  <c r="J25" i="3" s="1"/>
  <c r="S41" i="4"/>
  <c r="S54" i="4" s="1"/>
  <c r="O40" i="4"/>
  <c r="O53" i="4" s="1"/>
  <c r="U10" i="4"/>
  <c r="U32" i="4"/>
  <c r="U23" i="4"/>
  <c r="U13" i="4"/>
  <c r="U8" i="4"/>
  <c r="U11" i="4"/>
  <c r="U7" i="4"/>
  <c r="U42" i="4"/>
  <c r="U9" i="4"/>
  <c r="U12" i="4"/>
  <c r="U38" i="4"/>
  <c r="U37" i="4"/>
  <c r="U16" i="4"/>
  <c r="U36" i="4"/>
  <c r="U15" i="4"/>
  <c r="U29" i="4"/>
  <c r="N228" i="36"/>
  <c r="U17" i="4"/>
  <c r="N10" i="36"/>
  <c r="N13" i="36" s="1"/>
  <c r="J31" i="36"/>
  <c r="K13" i="9"/>
  <c r="K18" i="9" s="1"/>
  <c r="M228" i="36"/>
  <c r="M229" i="36" s="1"/>
  <c r="L291" i="39"/>
  <c r="L298" i="39" s="1"/>
  <c r="U31" i="4"/>
  <c r="G135" i="4"/>
  <c r="J54" i="4"/>
  <c r="K61" i="4"/>
  <c r="S24" i="4"/>
  <c r="S21" i="4"/>
  <c r="S122" i="4" s="1"/>
  <c r="S124" i="4" s="1"/>
  <c r="S126" i="4" s="1"/>
  <c r="S128" i="4" s="1"/>
  <c r="S131" i="4" s="1"/>
  <c r="S133" i="4" s="1"/>
  <c r="S135" i="4" s="1"/>
  <c r="J17" i="4"/>
  <c r="J19" i="4" s="1"/>
  <c r="R127" i="4"/>
  <c r="R17" i="4"/>
  <c r="R19" i="4" s="1"/>
  <c r="O275" i="36"/>
  <c r="O277" i="36"/>
  <c r="O213" i="36"/>
  <c r="O103" i="36" s="1"/>
  <c r="M35" i="37"/>
  <c r="N49" i="37"/>
  <c r="N127" i="38"/>
  <c r="N156" i="38" s="1"/>
  <c r="N9" i="37"/>
  <c r="L10" i="46"/>
  <c r="L11" i="46" s="1"/>
  <c r="N216" i="39"/>
  <c r="N218" i="39" s="1"/>
  <c r="N261" i="39" s="1"/>
  <c r="O8" i="37"/>
  <c r="AF11" i="30"/>
  <c r="AF28" i="30" s="1"/>
  <c r="N11" i="37"/>
  <c r="J34" i="37"/>
  <c r="K51" i="37" s="1"/>
  <c r="T15" i="40"/>
  <c r="N303" i="37"/>
  <c r="M129" i="38"/>
  <c r="N37" i="37"/>
  <c r="N292" i="39" s="1"/>
  <c r="M228" i="37"/>
  <c r="M10" i="37"/>
  <c r="M507" i="39"/>
  <c r="M327" i="39" s="1"/>
  <c r="N239" i="37"/>
  <c r="N72" i="37" s="1"/>
  <c r="N178" i="38" s="1"/>
  <c r="J9" i="46"/>
  <c r="M131" i="38"/>
  <c r="M203" i="38" s="1"/>
  <c r="M235" i="37"/>
  <c r="M71" i="37" s="1"/>
  <c r="M42" i="37"/>
  <c r="M228" i="39"/>
  <c r="M231" i="39" s="1"/>
  <c r="M297" i="39" s="1"/>
  <c r="N220" i="37"/>
  <c r="N89" i="37" s="1"/>
  <c r="N35" i="37" s="1"/>
  <c r="K16" i="75" s="1"/>
  <c r="N217" i="37"/>
  <c r="O213" i="37"/>
  <c r="O103" i="37" s="1"/>
  <c r="P40" i="39"/>
  <c r="H44" i="39" s="1"/>
  <c r="P267" i="64"/>
  <c r="Q239" i="64"/>
  <c r="Q267" i="64" s="1"/>
  <c r="N227" i="39"/>
  <c r="N42" i="36"/>
  <c r="O215" i="39"/>
  <c r="O127" i="64"/>
  <c r="O156" i="64" s="1"/>
  <c r="O303" i="36"/>
  <c r="O239" i="36"/>
  <c r="O72" i="36" s="1"/>
  <c r="O49" i="36"/>
  <c r="O11" i="36"/>
  <c r="O9" i="36"/>
  <c r="O228" i="36" s="1"/>
  <c r="P8" i="36"/>
  <c r="P220" i="36" s="1"/>
  <c r="P89" i="36" s="1"/>
  <c r="AH11" i="11"/>
  <c r="G54" i="19"/>
  <c r="F30" i="30"/>
  <c r="O237" i="37"/>
  <c r="T14" i="11"/>
  <c r="N298" i="36"/>
  <c r="M500" i="39"/>
  <c r="M167" i="64"/>
  <c r="P233" i="37"/>
  <c r="L14" i="30"/>
  <c r="K54" i="19"/>
  <c r="R41" i="19"/>
  <c r="L61" i="19"/>
  <c r="J60" i="4"/>
  <c r="I50" i="36" s="1"/>
  <c r="I53" i="4"/>
  <c r="H13" i="11"/>
  <c r="I47" i="4"/>
  <c r="H47" i="6" s="1"/>
  <c r="J23" i="11"/>
  <c r="J30" i="11"/>
  <c r="P234" i="39"/>
  <c r="P237" i="39" s="1"/>
  <c r="P266" i="39" s="1"/>
  <c r="P300" i="36"/>
  <c r="Q12" i="36"/>
  <c r="N135" i="19"/>
  <c r="M8" i="8"/>
  <c r="M12" i="8" s="1"/>
  <c r="O122" i="4"/>
  <c r="O124" i="4" s="1"/>
  <c r="O126" i="4" s="1"/>
  <c r="O128" i="4" s="1"/>
  <c r="O131" i="4" s="1"/>
  <c r="O133" i="4" s="1"/>
  <c r="O135" i="4" s="1"/>
  <c r="H16" i="40"/>
  <c r="H26" i="40" s="1"/>
  <c r="AD21" i="11"/>
  <c r="L24" i="19"/>
  <c r="M51" i="1" s="1"/>
  <c r="N51" i="1" s="1"/>
  <c r="L43" i="19"/>
  <c r="L21" i="19"/>
  <c r="M49" i="1"/>
  <c r="H40" i="19"/>
  <c r="H33" i="19"/>
  <c r="U31" i="19"/>
  <c r="P43" i="4"/>
  <c r="P62" i="4" s="1"/>
  <c r="P24" i="4"/>
  <c r="P21" i="4"/>
  <c r="L71" i="36"/>
  <c r="P40" i="19"/>
  <c r="P60" i="19" s="1"/>
  <c r="P33" i="19"/>
  <c r="H24" i="4"/>
  <c r="U24" i="4" s="1"/>
  <c r="H43" i="4"/>
  <c r="H62" i="4" s="1"/>
  <c r="F31" i="11" s="1"/>
  <c r="H21" i="4"/>
  <c r="U19" i="4"/>
  <c r="O185" i="38"/>
  <c r="O250" i="38" s="1"/>
  <c r="O134" i="37"/>
  <c r="P77" i="37"/>
  <c r="L40" i="19"/>
  <c r="L33" i="19"/>
  <c r="O226" i="36"/>
  <c r="N224" i="36"/>
  <c r="N53" i="4"/>
  <c r="N47" i="4"/>
  <c r="A27" i="69"/>
  <c r="B26" i="69"/>
  <c r="I31" i="36"/>
  <c r="L299" i="39"/>
  <c r="O48" i="4"/>
  <c r="O39" i="4"/>
  <c r="N229" i="36"/>
  <c r="N60" i="36"/>
  <c r="I24" i="19"/>
  <c r="I43" i="19"/>
  <c r="I21" i="19"/>
  <c r="H19" i="19"/>
  <c r="U17" i="19"/>
  <c r="K8" i="8"/>
  <c r="L122" i="4"/>
  <c r="L124" i="4" s="1"/>
  <c r="L126" i="4" s="1"/>
  <c r="L128" i="4" s="1"/>
  <c r="L131" i="4" s="1"/>
  <c r="L133" i="4" s="1"/>
  <c r="L135" i="4" s="1"/>
  <c r="O233" i="36"/>
  <c r="N232" i="36"/>
  <c r="N61" i="36" s="1"/>
  <c r="O61" i="19"/>
  <c r="P30" i="30" s="1"/>
  <c r="N54" i="19"/>
  <c r="K61" i="19"/>
  <c r="G55" i="4"/>
  <c r="G44" i="4"/>
  <c r="N334" i="39"/>
  <c r="N399" i="39" s="1"/>
  <c r="N185" i="64"/>
  <c r="N250" i="64" s="1"/>
  <c r="N134" i="36"/>
  <c r="O77" i="36"/>
  <c r="H48" i="4"/>
  <c r="H39" i="4"/>
  <c r="U33" i="4"/>
  <c r="P131" i="36"/>
  <c r="J117" i="39"/>
  <c r="H94" i="38"/>
  <c r="P94" i="38" s="1"/>
  <c r="L165" i="38" s="1"/>
  <c r="L83" i="37"/>
  <c r="N129" i="64"/>
  <c r="O37" i="36"/>
  <c r="O62" i="19"/>
  <c r="P31" i="30" s="1"/>
  <c r="N44" i="19"/>
  <c r="N55" i="19"/>
  <c r="J13" i="30"/>
  <c r="J53" i="19"/>
  <c r="J47" i="19"/>
  <c r="I47" i="21" s="1"/>
  <c r="O55" i="4"/>
  <c r="O44" i="4"/>
  <c r="P15" i="11"/>
  <c r="P24" i="11" s="1"/>
  <c r="M34" i="36"/>
  <c r="J12" i="76" s="1"/>
  <c r="AD71" i="11"/>
  <c r="AD73" i="11" s="1"/>
  <c r="N273" i="39"/>
  <c r="O19" i="36"/>
  <c r="J39" i="4"/>
  <c r="J48" i="4"/>
  <c r="I53" i="6" s="1"/>
  <c r="I54" i="6" s="1"/>
  <c r="J43" i="11" s="1"/>
  <c r="Q235" i="39"/>
  <c r="Q300" i="37"/>
  <c r="F14" i="30"/>
  <c r="F23" i="30" s="1"/>
  <c r="I61" i="19"/>
  <c r="H54" i="19"/>
  <c r="O18" i="42"/>
  <c r="P14" i="37"/>
  <c r="O298" i="37"/>
  <c r="F18" i="46"/>
  <c r="E37" i="38"/>
  <c r="G37" i="38" s="1"/>
  <c r="L44" i="37"/>
  <c r="L51" i="37"/>
  <c r="L158" i="38" s="1"/>
  <c r="AB14" i="30"/>
  <c r="L36" i="37"/>
  <c r="V10" i="75" s="1"/>
  <c r="V11" i="75" s="1"/>
  <c r="N237" i="36"/>
  <c r="M235" i="36"/>
  <c r="R14" i="30"/>
  <c r="P54" i="19"/>
  <c r="H8" i="8"/>
  <c r="H12" i="8" s="1"/>
  <c r="I122" i="4"/>
  <c r="I124" i="4" s="1"/>
  <c r="I126" i="4" s="1"/>
  <c r="I128" i="4" s="1"/>
  <c r="I131" i="4" s="1"/>
  <c r="I133" i="4" s="1"/>
  <c r="I135" i="4" s="1"/>
  <c r="M59" i="37"/>
  <c r="M225" i="37"/>
  <c r="N14" i="30"/>
  <c r="L54" i="19"/>
  <c r="S41" i="19"/>
  <c r="J118" i="39"/>
  <c r="J130" i="39"/>
  <c r="H107" i="38"/>
  <c r="L73" i="37"/>
  <c r="R14" i="11"/>
  <c r="P54" i="4"/>
  <c r="I8" i="23"/>
  <c r="I12" i="23" s="1"/>
  <c r="J122" i="19"/>
  <c r="J124" i="19" s="1"/>
  <c r="J126" i="19" s="1"/>
  <c r="J128" i="19" s="1"/>
  <c r="J131" i="19" s="1"/>
  <c r="J133" i="19" s="1"/>
  <c r="J135" i="19" s="1"/>
  <c r="F17" i="45"/>
  <c r="I44" i="36"/>
  <c r="I36" i="36"/>
  <c r="P13" i="11"/>
  <c r="P22" i="11" s="1"/>
  <c r="O47" i="4"/>
  <c r="J15" i="40"/>
  <c r="J32" i="40" s="1"/>
  <c r="AF28" i="11"/>
  <c r="H117" i="39"/>
  <c r="H94" i="64"/>
  <c r="P94" i="64" s="1"/>
  <c r="L165" i="64" s="1"/>
  <c r="X14" i="11"/>
  <c r="X23" i="11" s="1"/>
  <c r="N23" i="11"/>
  <c r="N184" i="38"/>
  <c r="N249" i="38" s="1"/>
  <c r="O76" i="37"/>
  <c r="N133" i="37"/>
  <c r="J31" i="37"/>
  <c r="L43" i="4"/>
  <c r="N40" i="19"/>
  <c r="N33" i="19"/>
  <c r="G135" i="19"/>
  <c r="T21" i="30"/>
  <c r="Z12" i="30"/>
  <c r="Z21" i="30" s="1"/>
  <c r="K41" i="36"/>
  <c r="K13" i="36"/>
  <c r="L53" i="4"/>
  <c r="L47" i="4"/>
  <c r="N13" i="11"/>
  <c r="O149" i="36"/>
  <c r="J39" i="19"/>
  <c r="J48" i="19"/>
  <c r="I53" i="21" s="1"/>
  <c r="I54" i="21" s="1"/>
  <c r="J43" i="30" s="1"/>
  <c r="H61" i="4"/>
  <c r="F30" i="11" s="1"/>
  <c r="G54" i="4"/>
  <c r="J53" i="4"/>
  <c r="J13" i="11"/>
  <c r="J47" i="4"/>
  <c r="I47" i="6" s="1"/>
  <c r="K18" i="37"/>
  <c r="K20" i="37" s="1"/>
  <c r="K31" i="37"/>
  <c r="K24" i="4"/>
  <c r="K43" i="4"/>
  <c r="K21" i="4"/>
  <c r="I55" i="4"/>
  <c r="H15" i="11"/>
  <c r="I44" i="4"/>
  <c r="O226" i="37"/>
  <c r="N224" i="37"/>
  <c r="H14" i="30"/>
  <c r="J61" i="19"/>
  <c r="I51" i="37" s="1"/>
  <c r="I54" i="19"/>
  <c r="P13" i="30"/>
  <c r="P22" i="30" s="1"/>
  <c r="O53" i="19"/>
  <c r="O47" i="19"/>
  <c r="L236" i="37"/>
  <c r="O181" i="38"/>
  <c r="O211" i="38" s="1"/>
  <c r="O94" i="37"/>
  <c r="P75" i="37"/>
  <c r="I41" i="37"/>
  <c r="I13" i="37"/>
  <c r="P40" i="4"/>
  <c r="P33" i="4"/>
  <c r="P24" i="19"/>
  <c r="P43" i="19"/>
  <c r="P62" i="19" s="1"/>
  <c r="P21" i="19"/>
  <c r="J15" i="30"/>
  <c r="J55" i="19"/>
  <c r="J44" i="19"/>
  <c r="L14" i="11"/>
  <c r="L61" i="4"/>
  <c r="K54" i="4"/>
  <c r="R41" i="4"/>
  <c r="P419" i="39"/>
  <c r="Q385" i="39"/>
  <c r="Q419" i="39" s="1"/>
  <c r="M354" i="39"/>
  <c r="I21" i="45"/>
  <c r="J23" i="36"/>
  <c r="J26" i="36"/>
  <c r="J45" i="36"/>
  <c r="M8" i="23"/>
  <c r="M12" i="23" s="1"/>
  <c r="O122" i="19"/>
  <c r="O124" i="19" s="1"/>
  <c r="O126" i="19" s="1"/>
  <c r="O128" i="19" s="1"/>
  <c r="O131" i="19" s="1"/>
  <c r="O133" i="19" s="1"/>
  <c r="O135" i="19" s="1"/>
  <c r="L60" i="36"/>
  <c r="L236" i="36" s="1"/>
  <c r="L229" i="36"/>
  <c r="F17" i="46"/>
  <c r="E37" i="64"/>
  <c r="L44" i="36"/>
  <c r="AB14" i="11"/>
  <c r="N221" i="39"/>
  <c r="N178" i="64"/>
  <c r="G40" i="19"/>
  <c r="H60" i="19" s="1"/>
  <c r="G33" i="19"/>
  <c r="T21" i="11"/>
  <c r="Z12" i="11"/>
  <c r="Z21" i="11" s="1"/>
  <c r="P267" i="38"/>
  <c r="Q239" i="38"/>
  <c r="Q267" i="38" s="1"/>
  <c r="N330" i="39"/>
  <c r="N355" i="39" s="1"/>
  <c r="N181" i="64"/>
  <c r="N211" i="64" s="1"/>
  <c r="O75" i="36"/>
  <c r="N94" i="36"/>
  <c r="K40" i="19"/>
  <c r="K33" i="19"/>
  <c r="J30" i="30"/>
  <c r="J23" i="30"/>
  <c r="I48" i="4"/>
  <c r="H53" i="6" s="1"/>
  <c r="H54" i="6" s="1"/>
  <c r="H43" i="11" s="1"/>
  <c r="I39" i="4"/>
  <c r="J26" i="37"/>
  <c r="J45" i="37"/>
  <c r="J23" i="37"/>
  <c r="I22" i="45" s="1"/>
  <c r="G55" i="19"/>
  <c r="G44" i="19"/>
  <c r="I60" i="4"/>
  <c r="H53" i="4"/>
  <c r="H47" i="4"/>
  <c r="F13" i="11"/>
  <c r="F22" i="11" s="1"/>
  <c r="U40" i="4"/>
  <c r="N333" i="39"/>
  <c r="N398" i="39" s="1"/>
  <c r="N184" i="64"/>
  <c r="N249" i="64" s="1"/>
  <c r="N133" i="36"/>
  <c r="O76" i="36"/>
  <c r="I289" i="39"/>
  <c r="I270" i="39"/>
  <c r="I272" i="39" s="1"/>
  <c r="I274" i="39" s="1"/>
  <c r="K296" i="39"/>
  <c r="K267" i="39"/>
  <c r="L48" i="4"/>
  <c r="L39" i="4"/>
  <c r="O173" i="38"/>
  <c r="P66" i="37"/>
  <c r="K24" i="19"/>
  <c r="K43" i="19"/>
  <c r="K62" i="19" s="1"/>
  <c r="K21" i="19"/>
  <c r="G40" i="4"/>
  <c r="G33" i="4"/>
  <c r="L18" i="45"/>
  <c r="K44" i="37"/>
  <c r="K36" i="37"/>
  <c r="N322" i="39"/>
  <c r="N173" i="64"/>
  <c r="O66" i="36"/>
  <c r="I40" i="19"/>
  <c r="I33" i="19"/>
  <c r="O39" i="19"/>
  <c r="O48" i="19"/>
  <c r="Q130" i="37"/>
  <c r="Q148" i="37" s="1"/>
  <c r="M59" i="36"/>
  <c r="M225" i="36"/>
  <c r="J289" i="39"/>
  <c r="J270" i="39"/>
  <c r="J272" i="39" s="1"/>
  <c r="J274" i="39" s="1"/>
  <c r="N48" i="4"/>
  <c r="N39" i="4"/>
  <c r="K40" i="4"/>
  <c r="K33" i="4"/>
  <c r="I17" i="45"/>
  <c r="J44" i="36"/>
  <c r="J36" i="36"/>
  <c r="J51" i="36"/>
  <c r="P15" i="30"/>
  <c r="P24" i="30" s="1"/>
  <c r="O55" i="19"/>
  <c r="O44" i="19"/>
  <c r="H30" i="11"/>
  <c r="H23" i="11"/>
  <c r="P284" i="36"/>
  <c r="Q276" i="36"/>
  <c r="F10" i="11"/>
  <c r="H72" i="4"/>
  <c r="U6" i="4"/>
  <c r="G6" i="8"/>
  <c r="G6" i="6"/>
  <c r="G7" i="7" s="1"/>
  <c r="G6" i="4"/>
  <c r="H111" i="4"/>
  <c r="O333" i="64"/>
  <c r="O300" i="64"/>
  <c r="O283" i="64"/>
  <c r="O234" i="64"/>
  <c r="O28" i="64"/>
  <c r="O62" i="64" s="1"/>
  <c r="O310" i="64"/>
  <c r="O201" i="64"/>
  <c r="O162" i="64"/>
  <c r="H42" i="40"/>
  <c r="AD67" i="11"/>
  <c r="AD76" i="11"/>
  <c r="Q293" i="36"/>
  <c r="O142" i="64"/>
  <c r="P31" i="36"/>
  <c r="AH72" i="11"/>
  <c r="Q274" i="37"/>
  <c r="P273" i="37"/>
  <c r="P282" i="37"/>
  <c r="P283" i="37" s="1"/>
  <c r="O40" i="39"/>
  <c r="O271" i="36"/>
  <c r="P272" i="36"/>
  <c r="F41" i="40"/>
  <c r="AB74" i="11"/>
  <c r="P218" i="36"/>
  <c r="O217" i="36"/>
  <c r="M253" i="39"/>
  <c r="M255" i="39" s="1"/>
  <c r="M359" i="39" s="1"/>
  <c r="M215" i="64"/>
  <c r="M217" i="64" s="1"/>
  <c r="M100" i="36"/>
  <c r="M63" i="36" s="1"/>
  <c r="N310" i="38"/>
  <c r="N162" i="38"/>
  <c r="N283" i="38"/>
  <c r="N300" i="38"/>
  <c r="N234" i="38"/>
  <c r="N28" i="38"/>
  <c r="N62" i="38" s="1"/>
  <c r="N333" i="38"/>
  <c r="N201" i="38"/>
  <c r="L206" i="37"/>
  <c r="M203" i="37" s="1"/>
  <c r="P212" i="37"/>
  <c r="Q209" i="37" s="1"/>
  <c r="P221" i="37"/>
  <c r="O142" i="38"/>
  <c r="P31" i="37"/>
  <c r="AH72" i="30"/>
  <c r="O131" i="64"/>
  <c r="O203" i="64" s="1"/>
  <c r="O35" i="36"/>
  <c r="L16" i="76" s="1"/>
  <c r="P212" i="36"/>
  <c r="Q209" i="36" s="1"/>
  <c r="H41" i="40"/>
  <c r="AD74" i="11"/>
  <c r="Q218" i="37"/>
  <c r="N240" i="39"/>
  <c r="AF37" i="11"/>
  <c r="AF38" i="11"/>
  <c r="N98" i="36"/>
  <c r="N14" i="40"/>
  <c r="P30" i="40" s="1"/>
  <c r="P126" i="64"/>
  <c r="P7" i="42"/>
  <c r="P269" i="36"/>
  <c r="P290" i="36"/>
  <c r="P87" i="36"/>
  <c r="Q7" i="36"/>
  <c r="N7" i="76" s="1"/>
  <c r="P244" i="36"/>
  <c r="P156" i="36"/>
  <c r="P56" i="36"/>
  <c r="P118" i="36"/>
  <c r="P195" i="36"/>
  <c r="P216" i="36"/>
  <c r="AJ10" i="11"/>
  <c r="P173" i="36"/>
  <c r="Q278" i="36"/>
  <c r="P279" i="36"/>
  <c r="P277" i="36"/>
  <c r="G11" i="41"/>
  <c r="G12" i="41" s="1"/>
  <c r="G14" i="41" s="1"/>
  <c r="M38" i="39"/>
  <c r="M40" i="39" s="1"/>
  <c r="L203" i="36"/>
  <c r="Q280" i="37"/>
  <c r="Q279" i="37" s="1"/>
  <c r="P279" i="37"/>
  <c r="F35" i="38"/>
  <c r="G35" i="38"/>
  <c r="G23" i="38"/>
  <c r="L53" i="39"/>
  <c r="L130" i="64"/>
  <c r="F13" i="46"/>
  <c r="E36" i="64"/>
  <c r="L43" i="36"/>
  <c r="L178" i="36"/>
  <c r="L180" i="36" s="1"/>
  <c r="L246" i="39"/>
  <c r="L38" i="36"/>
  <c r="AB13" i="11"/>
  <c r="V14" i="40"/>
  <c r="O260" i="39"/>
  <c r="O282" i="36"/>
  <c r="O283" i="36" s="1"/>
  <c r="O273" i="36"/>
  <c r="P274" i="36"/>
  <c r="O19" i="69"/>
  <c r="S13" i="71" s="1"/>
  <c r="K19" i="69"/>
  <c r="N13" i="71"/>
  <c r="E39" i="69"/>
  <c r="O87" i="37"/>
  <c r="O126" i="38"/>
  <c r="O269" i="37"/>
  <c r="O156" i="37"/>
  <c r="O195" i="37"/>
  <c r="P7" i="37"/>
  <c r="M7" i="75" s="1"/>
  <c r="O290" i="37"/>
  <c r="O56" i="37"/>
  <c r="O118" i="37"/>
  <c r="O244" i="37"/>
  <c r="O216" i="37"/>
  <c r="AH10" i="30"/>
  <c r="O173" i="37"/>
  <c r="Q284" i="37"/>
  <c r="L14" i="41"/>
  <c r="P271" i="37"/>
  <c r="Q272" i="37"/>
  <c r="Q271" i="37" s="1"/>
  <c r="H6" i="19"/>
  <c r="U41" i="19" s="1"/>
  <c r="I111" i="19"/>
  <c r="I72" i="19"/>
  <c r="H6" i="23"/>
  <c r="H10" i="30"/>
  <c r="H6" i="21"/>
  <c r="I7" i="22" s="1"/>
  <c r="O74" i="39"/>
  <c r="P74" i="39" s="1"/>
  <c r="Q74" i="39" s="1"/>
  <c r="O28" i="39"/>
  <c r="P12" i="39"/>
  <c r="P28" i="39" s="1"/>
  <c r="Q221" i="36"/>
  <c r="Q276" i="37"/>
  <c r="P275" i="37"/>
  <c r="P277" i="37"/>
  <c r="B35" i="41"/>
  <c r="B68" i="39"/>
  <c r="AD37" i="30"/>
  <c r="AD74" i="30" s="1"/>
  <c r="M37" i="71"/>
  <c r="I39" i="69"/>
  <c r="K311" i="39"/>
  <c r="J311" i="39" s="1"/>
  <c r="L160" i="39"/>
  <c r="O232" i="37" l="1"/>
  <c r="O61" i="37" s="1"/>
  <c r="O167" i="38" s="1"/>
  <c r="L8" i="75"/>
  <c r="L9" i="75" s="1"/>
  <c r="O220" i="37"/>
  <c r="O89" i="37" s="1"/>
  <c r="O347" i="39" s="1"/>
  <c r="M241" i="39"/>
  <c r="J16" i="75"/>
  <c r="M30" i="39"/>
  <c r="J14" i="76"/>
  <c r="J15" i="76" s="1"/>
  <c r="J19" i="76" s="1"/>
  <c r="J13" i="76"/>
  <c r="U10" i="19"/>
  <c r="U16" i="19"/>
  <c r="U8" i="19"/>
  <c r="U23" i="19"/>
  <c r="U14" i="19"/>
  <c r="U7" i="19"/>
  <c r="U36" i="19"/>
  <c r="U9" i="19"/>
  <c r="U37" i="19"/>
  <c r="U32" i="19"/>
  <c r="U30" i="19"/>
  <c r="U12" i="19"/>
  <c r="U15" i="19"/>
  <c r="U29" i="19"/>
  <c r="G36" i="64"/>
  <c r="G37" i="64"/>
  <c r="G23" i="64"/>
  <c r="F35" i="64"/>
  <c r="M169" i="64"/>
  <c r="M63" i="37"/>
  <c r="J121" i="39"/>
  <c r="P121" i="39" s="1"/>
  <c r="L318" i="39" s="1"/>
  <c r="H98" i="38"/>
  <c r="P98" i="38" s="1"/>
  <c r="L169" i="38" s="1"/>
  <c r="M169" i="38" s="1"/>
  <c r="P148" i="36"/>
  <c r="J44" i="37"/>
  <c r="I18" i="45"/>
  <c r="J36" i="37"/>
  <c r="I14" i="45" s="1"/>
  <c r="P49" i="39"/>
  <c r="P50" i="39"/>
  <c r="AF12" i="11"/>
  <c r="J16" i="40" s="1"/>
  <c r="J26" i="40" s="1"/>
  <c r="N41" i="36"/>
  <c r="N302" i="36"/>
  <c r="M60" i="36"/>
  <c r="M166" i="64" s="1"/>
  <c r="M508" i="39"/>
  <c r="J12" i="3"/>
  <c r="O60" i="4"/>
  <c r="P29" i="11" s="1"/>
  <c r="L83" i="36"/>
  <c r="L84" i="36" s="1"/>
  <c r="L293" i="39"/>
  <c r="R21" i="4"/>
  <c r="R122" i="4" s="1"/>
  <c r="R124" i="4" s="1"/>
  <c r="R126" i="4" s="1"/>
  <c r="R128" i="4" s="1"/>
  <c r="R131" i="4" s="1"/>
  <c r="R133" i="4" s="1"/>
  <c r="R135" i="4" s="1"/>
  <c r="R24" i="4"/>
  <c r="J43" i="4"/>
  <c r="J15" i="11" s="1"/>
  <c r="J24" i="11" s="1"/>
  <c r="J21" i="4"/>
  <c r="J24" i="4"/>
  <c r="N303" i="39"/>
  <c r="N75" i="39" s="1"/>
  <c r="V15" i="40"/>
  <c r="V32" i="40" s="1"/>
  <c r="M10" i="46"/>
  <c r="M9" i="46"/>
  <c r="N347" i="39"/>
  <c r="N131" i="38"/>
  <c r="N203" i="38" s="1"/>
  <c r="O49" i="37"/>
  <c r="O127" i="38"/>
  <c r="O156" i="38" s="1"/>
  <c r="O9" i="37"/>
  <c r="O235" i="37" s="1"/>
  <c r="O217" i="37"/>
  <c r="O216" i="39"/>
  <c r="O218" i="39" s="1"/>
  <c r="O261" i="39" s="1"/>
  <c r="AH11" i="30"/>
  <c r="AH28" i="30" s="1"/>
  <c r="O303" i="37"/>
  <c r="O11" i="37"/>
  <c r="P8" i="37"/>
  <c r="O239" i="37"/>
  <c r="O72" i="37" s="1"/>
  <c r="O178" i="38" s="1"/>
  <c r="N507" i="39"/>
  <c r="N508" i="39" s="1"/>
  <c r="M222" i="39"/>
  <c r="M224" i="39" s="1"/>
  <c r="M263" i="39" s="1"/>
  <c r="T16" i="40" s="1"/>
  <c r="T26" i="40" s="1"/>
  <c r="M41" i="37"/>
  <c r="M302" i="37"/>
  <c r="M13" i="37"/>
  <c r="AD12" i="30"/>
  <c r="AD21" i="30" s="1"/>
  <c r="N228" i="39"/>
  <c r="N42" i="37"/>
  <c r="N10" i="37"/>
  <c r="N228" i="37"/>
  <c r="N235" i="37"/>
  <c r="N71" i="37" s="1"/>
  <c r="M60" i="37"/>
  <c r="M83" i="37" s="1"/>
  <c r="M229" i="37"/>
  <c r="AF38" i="30"/>
  <c r="N98" i="37"/>
  <c r="K17" i="75" s="1"/>
  <c r="N129" i="38"/>
  <c r="O37" i="37"/>
  <c r="O292" i="39" s="1"/>
  <c r="L207" i="37"/>
  <c r="L25" i="37" s="1"/>
  <c r="L294" i="37" s="1"/>
  <c r="L295" i="37" s="1"/>
  <c r="L296" i="37" s="1"/>
  <c r="L13" i="11"/>
  <c r="L60" i="4"/>
  <c r="K53" i="4"/>
  <c r="K47" i="4"/>
  <c r="R40" i="4"/>
  <c r="J305" i="39"/>
  <c r="J299" i="39"/>
  <c r="J291" i="39"/>
  <c r="H13" i="30"/>
  <c r="J29" i="30" s="1"/>
  <c r="J60" i="19"/>
  <c r="I50" i="37" s="1"/>
  <c r="I53" i="19"/>
  <c r="I47" i="19"/>
  <c r="H47" i="21" s="1"/>
  <c r="G48" i="4"/>
  <c r="G39" i="4"/>
  <c r="I300" i="39"/>
  <c r="I280" i="39"/>
  <c r="I283" i="39" s="1"/>
  <c r="I277" i="39"/>
  <c r="G47" i="6"/>
  <c r="U47" i="4"/>
  <c r="K48" i="19"/>
  <c r="K39" i="19"/>
  <c r="G48" i="19"/>
  <c r="G39" i="19"/>
  <c r="N34" i="36"/>
  <c r="K12" i="76" s="1"/>
  <c r="AF71" i="11"/>
  <c r="AF73" i="11" s="1"/>
  <c r="F18" i="40"/>
  <c r="F28" i="40" s="1"/>
  <c r="AB23" i="11"/>
  <c r="AB30" i="11"/>
  <c r="F34" i="40" s="1"/>
  <c r="L30" i="11"/>
  <c r="L23" i="11"/>
  <c r="J24" i="30"/>
  <c r="P48" i="4"/>
  <c r="S48" i="4" s="1"/>
  <c r="N53" i="6" s="1"/>
  <c r="N54" i="6" s="1"/>
  <c r="R43" i="11" s="1"/>
  <c r="T43" i="11" s="1"/>
  <c r="Z43" i="11" s="1"/>
  <c r="P39" i="4"/>
  <c r="S39" i="4" s="1"/>
  <c r="P181" i="38"/>
  <c r="P211" i="38" s="1"/>
  <c r="Q75" i="37"/>
  <c r="P94" i="37"/>
  <c r="N59" i="37"/>
  <c r="N225" i="37"/>
  <c r="J29" i="11"/>
  <c r="J22" i="11"/>
  <c r="N29" i="11"/>
  <c r="X29" i="11" s="1"/>
  <c r="N22" i="11"/>
  <c r="X13" i="11"/>
  <c r="X22" i="11" s="1"/>
  <c r="N39" i="19"/>
  <c r="N48" i="19"/>
  <c r="N30" i="11"/>
  <c r="X30" i="11" s="1"/>
  <c r="J132" i="39"/>
  <c r="N53" i="39"/>
  <c r="P53" i="39" s="1"/>
  <c r="E36" i="38"/>
  <c r="G36" i="38" s="1"/>
  <c r="F14" i="46"/>
  <c r="F15" i="46" s="1"/>
  <c r="G13" i="46" s="1"/>
  <c r="L50" i="37"/>
  <c r="L157" i="38" s="1"/>
  <c r="L38" i="37"/>
  <c r="L247" i="39"/>
  <c r="L250" i="39" s="1"/>
  <c r="L178" i="37"/>
  <c r="L180" i="37" s="1"/>
  <c r="AB13" i="30"/>
  <c r="L130" i="38"/>
  <c r="L43" i="37"/>
  <c r="P16" i="11"/>
  <c r="O63" i="19"/>
  <c r="P32" i="30" s="1"/>
  <c r="Q131" i="36"/>
  <c r="Q149" i="36" s="1"/>
  <c r="G53" i="6"/>
  <c r="G54" i="6" s="1"/>
  <c r="F43" i="11" s="1"/>
  <c r="U48" i="4"/>
  <c r="N500" i="39"/>
  <c r="N167" i="64"/>
  <c r="H15" i="30"/>
  <c r="I44" i="19"/>
  <c r="I55" i="19"/>
  <c r="J62" i="19"/>
  <c r="I52" i="37" s="1"/>
  <c r="F21" i="45"/>
  <c r="I45" i="36"/>
  <c r="I23" i="36"/>
  <c r="I26" i="36"/>
  <c r="J53" i="36" s="1"/>
  <c r="L39" i="19"/>
  <c r="L48" i="19"/>
  <c r="G8" i="8"/>
  <c r="G12" i="8" s="1"/>
  <c r="H122" i="4"/>
  <c r="H124" i="4" s="1"/>
  <c r="H126" i="4" s="1"/>
  <c r="H128" i="4" s="1"/>
  <c r="H131" i="4" s="1"/>
  <c r="H133" i="4" s="1"/>
  <c r="H135" i="4" s="1"/>
  <c r="U21" i="4"/>
  <c r="R13" i="30"/>
  <c r="P53" i="19"/>
  <c r="P47" i="19"/>
  <c r="F13" i="30"/>
  <c r="F22" i="30" s="1"/>
  <c r="I60" i="19"/>
  <c r="H53" i="19"/>
  <c r="H47" i="19"/>
  <c r="U40" i="19"/>
  <c r="Q234" i="39"/>
  <c r="Q237" i="39" s="1"/>
  <c r="Q266" i="39" s="1"/>
  <c r="Q300" i="36"/>
  <c r="H60" i="6"/>
  <c r="H47" i="11" s="1"/>
  <c r="H59" i="6"/>
  <c r="H46" i="11" s="1"/>
  <c r="H49" i="6"/>
  <c r="H45" i="11" s="1"/>
  <c r="H48" i="6"/>
  <c r="H44" i="11" s="1"/>
  <c r="O298" i="36"/>
  <c r="T23" i="11"/>
  <c r="Z14" i="11"/>
  <c r="Z23" i="11" s="1"/>
  <c r="P215" i="39"/>
  <c r="P127" i="64"/>
  <c r="P156" i="64" s="1"/>
  <c r="P303" i="36"/>
  <c r="P11" i="36"/>
  <c r="P9" i="36"/>
  <c r="P228" i="36" s="1"/>
  <c r="Q8" i="36"/>
  <c r="Q220" i="36" s="1"/>
  <c r="Q89" i="36" s="1"/>
  <c r="P239" i="36"/>
  <c r="P72" i="36" s="1"/>
  <c r="P49" i="36"/>
  <c r="AJ11" i="11"/>
  <c r="AL11" i="11" s="1"/>
  <c r="I19" i="45"/>
  <c r="J18" i="45" s="1"/>
  <c r="O322" i="39"/>
  <c r="O173" i="64"/>
  <c r="O210" i="64" s="1"/>
  <c r="P66" i="36"/>
  <c r="P93" i="36" s="1"/>
  <c r="H60" i="4"/>
  <c r="F29" i="11" s="1"/>
  <c r="G53" i="4"/>
  <c r="G47" i="4"/>
  <c r="P173" i="38"/>
  <c r="P210" i="38" s="1"/>
  <c r="Q66" i="37"/>
  <c r="Q173" i="38" s="1"/>
  <c r="K53" i="6"/>
  <c r="K54" i="6" s="1"/>
  <c r="I299" i="39"/>
  <c r="I291" i="39"/>
  <c r="L13" i="30"/>
  <c r="K53" i="19"/>
  <c r="K47" i="19"/>
  <c r="R40" i="19"/>
  <c r="L60" i="19"/>
  <c r="G53" i="19"/>
  <c r="G47" i="19"/>
  <c r="F29" i="30"/>
  <c r="F19" i="46"/>
  <c r="G17" i="46" s="1"/>
  <c r="P66" i="30"/>
  <c r="P68" i="30" s="1"/>
  <c r="P63" i="30" s="1"/>
  <c r="P40" i="30" s="1"/>
  <c r="M27" i="23"/>
  <c r="S61" i="4"/>
  <c r="T30" i="11" s="1"/>
  <c r="Z30" i="11" s="1"/>
  <c r="R54" i="4"/>
  <c r="J16" i="30"/>
  <c r="N8" i="23"/>
  <c r="N12" i="23" s="1"/>
  <c r="P122" i="19"/>
  <c r="P124" i="19" s="1"/>
  <c r="P126" i="19" s="1"/>
  <c r="P128" i="19" s="1"/>
  <c r="P131" i="19" s="1"/>
  <c r="P133" i="19" s="1"/>
  <c r="P135" i="19" s="1"/>
  <c r="R13" i="11"/>
  <c r="P53" i="4"/>
  <c r="P47" i="4"/>
  <c r="S47" i="4" s="1"/>
  <c r="N47" i="6" s="1"/>
  <c r="P226" i="37"/>
  <c r="O224" i="37"/>
  <c r="K47" i="6"/>
  <c r="O60" i="19"/>
  <c r="P29" i="30" s="1"/>
  <c r="N53" i="19"/>
  <c r="N47" i="19"/>
  <c r="O184" i="38"/>
  <c r="O249" i="38" s="1"/>
  <c r="O133" i="37"/>
  <c r="P76" i="37"/>
  <c r="R23" i="11"/>
  <c r="R30" i="11"/>
  <c r="T14" i="30"/>
  <c r="J12" i="18"/>
  <c r="S54" i="19"/>
  <c r="M165" i="38"/>
  <c r="R30" i="30"/>
  <c r="R23" i="30"/>
  <c r="AB30" i="30"/>
  <c r="AB23" i="30"/>
  <c r="P18" i="42"/>
  <c r="P298" i="37"/>
  <c r="Q14" i="37"/>
  <c r="K60" i="19"/>
  <c r="L84" i="37"/>
  <c r="L95" i="37"/>
  <c r="P149" i="36"/>
  <c r="O334" i="39"/>
  <c r="O399" i="39" s="1"/>
  <c r="O185" i="64"/>
  <c r="O250" i="64" s="1"/>
  <c r="O134" i="36"/>
  <c r="P77" i="36"/>
  <c r="O232" i="36"/>
  <c r="O61" i="36" s="1"/>
  <c r="P233" i="36"/>
  <c r="H24" i="19"/>
  <c r="U24" i="19" s="1"/>
  <c r="H43" i="19"/>
  <c r="H21" i="19"/>
  <c r="U19" i="19"/>
  <c r="N13" i="30"/>
  <c r="S40" i="19"/>
  <c r="L53" i="19"/>
  <c r="L47" i="19"/>
  <c r="F15" i="11"/>
  <c r="F24" i="11" s="1"/>
  <c r="H55" i="4"/>
  <c r="I62" i="4"/>
  <c r="U43" i="4"/>
  <c r="H44" i="4"/>
  <c r="H63" i="4" s="1"/>
  <c r="F32" i="11" s="1"/>
  <c r="H130" i="39"/>
  <c r="H132" i="39" s="1"/>
  <c r="H107" i="64"/>
  <c r="L73" i="36"/>
  <c r="R15" i="11"/>
  <c r="P55" i="4"/>
  <c r="P44" i="4"/>
  <c r="R16" i="11" s="1"/>
  <c r="R32" i="11" s="1"/>
  <c r="M50" i="1"/>
  <c r="N49" i="1"/>
  <c r="P66" i="11"/>
  <c r="P68" i="11" s="1"/>
  <c r="P63" i="11" s="1"/>
  <c r="P40" i="11" s="1"/>
  <c r="M27" i="8"/>
  <c r="J38" i="37"/>
  <c r="J182" i="37" s="1"/>
  <c r="J184" i="37" s="1"/>
  <c r="J186" i="37" s="1"/>
  <c r="H22" i="11"/>
  <c r="H29" i="11"/>
  <c r="S61" i="19"/>
  <c r="T30" i="30" s="1"/>
  <c r="Z30" i="30" s="1"/>
  <c r="R54" i="19"/>
  <c r="Q233" i="37"/>
  <c r="O229" i="36"/>
  <c r="O60" i="36"/>
  <c r="O178" i="64"/>
  <c r="P16" i="30"/>
  <c r="M492" i="39"/>
  <c r="M165" i="64"/>
  <c r="O93" i="36"/>
  <c r="L14" i="45"/>
  <c r="K191" i="37"/>
  <c r="K178" i="37"/>
  <c r="K180" i="37" s="1"/>
  <c r="K192" i="37"/>
  <c r="K43" i="37"/>
  <c r="K38" i="37"/>
  <c r="K182" i="37" s="1"/>
  <c r="K184" i="37" s="1"/>
  <c r="K186" i="37" s="1"/>
  <c r="J8" i="23"/>
  <c r="J12" i="23" s="1"/>
  <c r="K122" i="19"/>
  <c r="K124" i="19" s="1"/>
  <c r="K126" i="19" s="1"/>
  <c r="K128" i="19" s="1"/>
  <c r="K131" i="19" s="1"/>
  <c r="K133" i="19" s="1"/>
  <c r="K135" i="19" s="1"/>
  <c r="P93" i="37"/>
  <c r="K289" i="39"/>
  <c r="K270" i="39"/>
  <c r="K272" i="39" s="1"/>
  <c r="K274" i="39" s="1"/>
  <c r="O333" i="39"/>
  <c r="O398" i="39" s="1"/>
  <c r="O184" i="64"/>
  <c r="O249" i="64" s="1"/>
  <c r="P76" i="36"/>
  <c r="O133" i="36"/>
  <c r="I23" i="45"/>
  <c r="J22" i="45" s="1"/>
  <c r="R15" i="30"/>
  <c r="P55" i="19"/>
  <c r="P44" i="19"/>
  <c r="R16" i="30" s="1"/>
  <c r="I34" i="37"/>
  <c r="I16" i="37"/>
  <c r="H30" i="30"/>
  <c r="H23" i="30"/>
  <c r="H16" i="11"/>
  <c r="K122" i="4"/>
  <c r="K124" i="4" s="1"/>
  <c r="K126" i="4" s="1"/>
  <c r="K128" i="4" s="1"/>
  <c r="K131" i="4" s="1"/>
  <c r="K133" i="4" s="1"/>
  <c r="K135" i="4" s="1"/>
  <c r="J8" i="8"/>
  <c r="J12" i="8" s="1"/>
  <c r="K26" i="37"/>
  <c r="K53" i="37" s="1"/>
  <c r="K52" i="37"/>
  <c r="K45" i="37"/>
  <c r="K23" i="37"/>
  <c r="L22" i="45" s="1"/>
  <c r="I60" i="6"/>
  <c r="J47" i="11" s="1"/>
  <c r="I59" i="6"/>
  <c r="J46" i="11" s="1"/>
  <c r="I49" i="6"/>
  <c r="J45" i="11" s="1"/>
  <c r="I48" i="6"/>
  <c r="J44" i="11" s="1"/>
  <c r="N15" i="11"/>
  <c r="V15" i="11" s="1"/>
  <c r="L55" i="4"/>
  <c r="L44" i="4"/>
  <c r="N16" i="11" s="1"/>
  <c r="S43" i="4"/>
  <c r="P60" i="4"/>
  <c r="M236" i="36"/>
  <c r="M71" i="36"/>
  <c r="I17" i="46"/>
  <c r="M44" i="36"/>
  <c r="M51" i="36"/>
  <c r="AD14" i="11"/>
  <c r="M36" i="36"/>
  <c r="J10" i="76" s="1"/>
  <c r="J11" i="76" s="1"/>
  <c r="J22" i="30"/>
  <c r="O129" i="64"/>
  <c r="P37" i="36"/>
  <c r="O63" i="4"/>
  <c r="P32" i="11" s="1"/>
  <c r="N166" i="64"/>
  <c r="B27" i="69"/>
  <c r="A28" i="69"/>
  <c r="N225" i="36"/>
  <c r="N59" i="36"/>
  <c r="P185" i="38"/>
  <c r="P250" i="38" s="1"/>
  <c r="P134" i="37"/>
  <c r="Q77" i="37"/>
  <c r="K8" i="23"/>
  <c r="L122" i="19"/>
  <c r="L124" i="19" s="1"/>
  <c r="L126" i="19" s="1"/>
  <c r="L128" i="19" s="1"/>
  <c r="L131" i="19" s="1"/>
  <c r="L133" i="19" s="1"/>
  <c r="L135" i="19" s="1"/>
  <c r="G19" i="41"/>
  <c r="I19" i="41" s="1"/>
  <c r="D37" i="64"/>
  <c r="F37" i="64" s="1"/>
  <c r="J27" i="3"/>
  <c r="P237" i="37"/>
  <c r="O10" i="36"/>
  <c r="I13" i="45"/>
  <c r="J50" i="36"/>
  <c r="J38" i="36"/>
  <c r="J182" i="36" s="1"/>
  <c r="J184" i="36" s="1"/>
  <c r="J186" i="36" s="1"/>
  <c r="J191" i="36"/>
  <c r="J178" i="36"/>
  <c r="J180" i="36" s="1"/>
  <c r="J192" i="36"/>
  <c r="J43" i="36"/>
  <c r="K48" i="4"/>
  <c r="K39" i="4"/>
  <c r="R39" i="4" s="1"/>
  <c r="J300" i="39"/>
  <c r="J306" i="39"/>
  <c r="J280" i="39"/>
  <c r="J277" i="39"/>
  <c r="I39" i="19"/>
  <c r="I48" i="19"/>
  <c r="H53" i="21" s="1"/>
  <c r="H54" i="21" s="1"/>
  <c r="H43" i="30" s="1"/>
  <c r="L15" i="30"/>
  <c r="K55" i="19"/>
  <c r="L62" i="19"/>
  <c r="K44" i="19"/>
  <c r="K63" i="19" s="1"/>
  <c r="R43" i="19"/>
  <c r="O330" i="39"/>
  <c r="O355" i="39" s="1"/>
  <c r="O181" i="64"/>
  <c r="O211" i="64" s="1"/>
  <c r="P75" i="36"/>
  <c r="O94" i="36"/>
  <c r="M177" i="38"/>
  <c r="M179" i="38" s="1"/>
  <c r="M73" i="37"/>
  <c r="H118" i="39"/>
  <c r="P118" i="39" s="1"/>
  <c r="L315" i="39" s="1"/>
  <c r="H95" i="64"/>
  <c r="P95" i="64" s="1"/>
  <c r="L166" i="64" s="1"/>
  <c r="N354" i="39"/>
  <c r="H24" i="11"/>
  <c r="L62" i="4"/>
  <c r="L15" i="11"/>
  <c r="K55" i="4"/>
  <c r="K44" i="4"/>
  <c r="R43" i="4"/>
  <c r="K60" i="4"/>
  <c r="S40" i="4"/>
  <c r="K34" i="36"/>
  <c r="K16" i="36"/>
  <c r="F13" i="45"/>
  <c r="I43" i="36"/>
  <c r="I38" i="36"/>
  <c r="J66" i="30"/>
  <c r="J68" i="30" s="1"/>
  <c r="J63" i="30" s="1"/>
  <c r="J40" i="30" s="1"/>
  <c r="I27" i="23"/>
  <c r="H109" i="38"/>
  <c r="P107" i="38"/>
  <c r="X14" i="30"/>
  <c r="X23" i="30" s="1"/>
  <c r="N30" i="30"/>
  <c r="X30" i="30" s="1"/>
  <c r="N23" i="30"/>
  <c r="N210" i="64"/>
  <c r="H66" i="11"/>
  <c r="H68" i="11" s="1"/>
  <c r="H63" i="11" s="1"/>
  <c r="H40" i="11" s="1"/>
  <c r="H27" i="8"/>
  <c r="O237" i="36"/>
  <c r="N235" i="36"/>
  <c r="O273" i="39"/>
  <c r="P19" i="36"/>
  <c r="I60" i="21"/>
  <c r="J47" i="30" s="1"/>
  <c r="I59" i="21"/>
  <c r="J46" i="30" s="1"/>
  <c r="I49" i="21"/>
  <c r="J45" i="30" s="1"/>
  <c r="I48" i="21"/>
  <c r="J44" i="30" s="1"/>
  <c r="P117" i="39"/>
  <c r="L314" i="39" s="1"/>
  <c r="U39" i="4"/>
  <c r="K12" i="8"/>
  <c r="H8" i="23"/>
  <c r="H12" i="23" s="1"/>
  <c r="I122" i="19"/>
  <c r="I124" i="19" s="1"/>
  <c r="I126" i="19" s="1"/>
  <c r="I128" i="19" s="1"/>
  <c r="I131" i="19" s="1"/>
  <c r="I133" i="19" s="1"/>
  <c r="I135" i="19" s="1"/>
  <c r="O224" i="36"/>
  <c r="P226" i="36"/>
  <c r="P48" i="19"/>
  <c r="P39" i="19"/>
  <c r="N8" i="8"/>
  <c r="N12" i="8" s="1"/>
  <c r="P122" i="4"/>
  <c r="P124" i="4" s="1"/>
  <c r="P126" i="4" s="1"/>
  <c r="P128" i="4" s="1"/>
  <c r="P131" i="4" s="1"/>
  <c r="P133" i="4" s="1"/>
  <c r="P135" i="4" s="1"/>
  <c r="U33" i="19"/>
  <c r="H39" i="19"/>
  <c r="H48" i="19"/>
  <c r="N15" i="30"/>
  <c r="L44" i="19"/>
  <c r="N16" i="30" s="1"/>
  <c r="S43" i="19"/>
  <c r="L55" i="19"/>
  <c r="O210" i="38"/>
  <c r="L23" i="30"/>
  <c r="L30" i="30"/>
  <c r="M501" i="39"/>
  <c r="M316" i="39"/>
  <c r="L15" i="40"/>
  <c r="L32" i="40" s="1"/>
  <c r="AH28" i="11"/>
  <c r="O227" i="39"/>
  <c r="O42" i="36"/>
  <c r="N37" i="71"/>
  <c r="J39" i="69"/>
  <c r="AL10" i="11"/>
  <c r="R37" i="71"/>
  <c r="N39" i="69"/>
  <c r="W37" i="71" s="1"/>
  <c r="V10" i="11"/>
  <c r="V14" i="11"/>
  <c r="V12" i="11"/>
  <c r="V11" i="11"/>
  <c r="V13" i="11"/>
  <c r="G27" i="41"/>
  <c r="J42" i="40"/>
  <c r="AF76" i="11"/>
  <c r="AF67" i="11"/>
  <c r="Q221" i="37"/>
  <c r="O49" i="39"/>
  <c r="O50" i="39"/>
  <c r="G6" i="23"/>
  <c r="G6" i="21"/>
  <c r="G7" i="22" s="1"/>
  <c r="F10" i="30"/>
  <c r="G6" i="19"/>
  <c r="H72" i="19"/>
  <c r="H111" i="19"/>
  <c r="U6" i="19"/>
  <c r="Q274" i="36"/>
  <c r="P273" i="36"/>
  <c r="P282" i="36"/>
  <c r="P283" i="36" s="1"/>
  <c r="F17" i="40"/>
  <c r="F27" i="40" s="1"/>
  <c r="AB29" i="11"/>
  <c r="F33" i="40" s="1"/>
  <c r="AB22" i="11"/>
  <c r="J41" i="40"/>
  <c r="AF74" i="11"/>
  <c r="P213" i="36"/>
  <c r="P103" i="36" s="1"/>
  <c r="Q31" i="37"/>
  <c r="Q142" i="38" s="1"/>
  <c r="AJ72" i="30"/>
  <c r="P142" i="38"/>
  <c r="O131" i="38"/>
  <c r="O203" i="38" s="1"/>
  <c r="P275" i="36"/>
  <c r="Q284" i="36"/>
  <c r="Q31" i="36"/>
  <c r="Q142" i="64" s="1"/>
  <c r="P142" i="64"/>
  <c r="AJ72" i="11"/>
  <c r="Q7" i="42"/>
  <c r="Q126" i="64"/>
  <c r="Q156" i="36"/>
  <c r="Q244" i="36"/>
  <c r="Q56" i="36"/>
  <c r="Q118" i="36"/>
  <c r="Q173" i="36"/>
  <c r="Q290" i="36"/>
  <c r="Q269" i="36"/>
  <c r="Q216" i="36"/>
  <c r="Q87" i="36"/>
  <c r="Q195" i="36"/>
  <c r="M361" i="39"/>
  <c r="T42" i="40"/>
  <c r="Q275" i="37"/>
  <c r="Q277" i="37"/>
  <c r="L128" i="64"/>
  <c r="L148" i="64" s="1"/>
  <c r="L182" i="36"/>
  <c r="L184" i="36" s="1"/>
  <c r="L147" i="64"/>
  <c r="L29" i="64" s="1"/>
  <c r="L151" i="64"/>
  <c r="Q212" i="36"/>
  <c r="Q213" i="36" s="1"/>
  <c r="Q103" i="36" s="1"/>
  <c r="G111" i="4"/>
  <c r="G72" i="4"/>
  <c r="P131" i="64"/>
  <c r="P203" i="64" s="1"/>
  <c r="P35" i="36"/>
  <c r="M16" i="76" s="1"/>
  <c r="M50" i="39"/>
  <c r="M49" i="39"/>
  <c r="M53" i="39"/>
  <c r="O13" i="71"/>
  <c r="P19" i="69"/>
  <c r="T13" i="71" s="1"/>
  <c r="L19" i="69"/>
  <c r="F39" i="69"/>
  <c r="N253" i="39"/>
  <c r="N215" i="64"/>
  <c r="N217" i="64" s="1"/>
  <c r="N100" i="36"/>
  <c r="N63" i="36" s="1"/>
  <c r="L27" i="41"/>
  <c r="O201" i="38"/>
  <c r="O310" i="38"/>
  <c r="O283" i="38"/>
  <c r="O162" i="38"/>
  <c r="O234" i="38"/>
  <c r="O28" i="38"/>
  <c r="O62" i="38" s="1"/>
  <c r="O333" i="38"/>
  <c r="O300" i="38"/>
  <c r="N139" i="39"/>
  <c r="Q279" i="36"/>
  <c r="Q277" i="36"/>
  <c r="P333" i="64"/>
  <c r="P300" i="64"/>
  <c r="P283" i="64"/>
  <c r="P234" i="64"/>
  <c r="P310" i="64"/>
  <c r="P162" i="64"/>
  <c r="P201" i="64"/>
  <c r="P28" i="64"/>
  <c r="P62" i="64" s="1"/>
  <c r="Q212" i="37"/>
  <c r="Q213" i="37" s="1"/>
  <c r="Q103" i="37" s="1"/>
  <c r="O98" i="36"/>
  <c r="AH38" i="11"/>
  <c r="Q282" i="37"/>
  <c r="Q283" i="37" s="1"/>
  <c r="Q273" i="37"/>
  <c r="N241" i="39"/>
  <c r="AF37" i="30"/>
  <c r="AF74" i="30" s="1"/>
  <c r="L206" i="36"/>
  <c r="L207" i="36" s="1"/>
  <c r="L25" i="36" s="1"/>
  <c r="P126" i="38"/>
  <c r="P269" i="37"/>
  <c r="Q7" i="37"/>
  <c r="N7" i="75" s="1"/>
  <c r="P216" i="37"/>
  <c r="P56" i="37"/>
  <c r="P290" i="37"/>
  <c r="P195" i="37"/>
  <c r="P244" i="37"/>
  <c r="P173" i="37"/>
  <c r="P118" i="37"/>
  <c r="P87" i="37"/>
  <c r="AJ10" i="30"/>
  <c r="P156" i="37"/>
  <c r="X14" i="40"/>
  <c r="P260" i="39"/>
  <c r="O240" i="39"/>
  <c r="AH37" i="11"/>
  <c r="P213" i="37"/>
  <c r="P103" i="37" s="1"/>
  <c r="M206" i="37"/>
  <c r="N203" i="37" s="1"/>
  <c r="Q218" i="36"/>
  <c r="P217" i="36"/>
  <c r="P271" i="36"/>
  <c r="Q272" i="36"/>
  <c r="Q271" i="36" s="1"/>
  <c r="AB39" i="30" l="1"/>
  <c r="AB75" i="30" s="1"/>
  <c r="AB77" i="30" s="1"/>
  <c r="V18" i="75"/>
  <c r="V19" i="75" s="1"/>
  <c r="O35" i="37"/>
  <c r="L16" i="75" s="1"/>
  <c r="P232" i="37"/>
  <c r="P61" i="37" s="1"/>
  <c r="P167" i="38" s="1"/>
  <c r="M8" i="75"/>
  <c r="M9" i="75" s="1"/>
  <c r="M31" i="39"/>
  <c r="K13" i="76"/>
  <c r="K14" i="76"/>
  <c r="K15" i="76" s="1"/>
  <c r="K19" i="76" s="1"/>
  <c r="K20" i="76"/>
  <c r="J20" i="76"/>
  <c r="N169" i="64"/>
  <c r="N77" i="39"/>
  <c r="N29" i="39" s="1"/>
  <c r="N31" i="39" s="1"/>
  <c r="M318" i="39"/>
  <c r="P220" i="37"/>
  <c r="P89" i="37" s="1"/>
  <c r="P347" i="39" s="1"/>
  <c r="O507" i="39"/>
  <c r="O327" i="39" s="1"/>
  <c r="AF21" i="11"/>
  <c r="J43" i="37"/>
  <c r="J192" i="37"/>
  <c r="K50" i="37"/>
  <c r="J178" i="37"/>
  <c r="J180" i="37" s="1"/>
  <c r="J188" i="37" s="1"/>
  <c r="J191" i="37"/>
  <c r="R32" i="30"/>
  <c r="U39" i="19"/>
  <c r="V28" i="39"/>
  <c r="W28" i="39" s="1"/>
  <c r="H28" i="39" s="1"/>
  <c r="V26" i="39"/>
  <c r="W26" i="39" s="1"/>
  <c r="X26" i="39" s="1"/>
  <c r="V25" i="39"/>
  <c r="W25" i="39" s="1"/>
  <c r="X25" i="39" s="1"/>
  <c r="M83" i="36"/>
  <c r="N327" i="39"/>
  <c r="Q217" i="36"/>
  <c r="Q98" i="36" s="1"/>
  <c r="Q100" i="36" s="1"/>
  <c r="M95" i="36"/>
  <c r="AD39" i="11" s="1"/>
  <c r="AD75" i="11" s="1"/>
  <c r="AD77" i="11" s="1"/>
  <c r="H74" i="40" s="1"/>
  <c r="L95" i="36"/>
  <c r="AB39" i="11" s="1"/>
  <c r="F43" i="40" s="1"/>
  <c r="H31" i="11"/>
  <c r="P8" i="8"/>
  <c r="P12" i="8" s="1"/>
  <c r="P27" i="8" s="1"/>
  <c r="P10" i="36"/>
  <c r="AJ12" i="11" s="1"/>
  <c r="M262" i="39"/>
  <c r="J31" i="11"/>
  <c r="J122" i="4"/>
  <c r="J124" i="4" s="1"/>
  <c r="J126" i="4" s="1"/>
  <c r="J128" i="4" s="1"/>
  <c r="J131" i="4" s="1"/>
  <c r="J133" i="4" s="1"/>
  <c r="J135" i="4" s="1"/>
  <c r="I8" i="8"/>
  <c r="I12" i="8" s="1"/>
  <c r="G29" i="41"/>
  <c r="M296" i="39"/>
  <c r="J55" i="4"/>
  <c r="K62" i="4"/>
  <c r="J44" i="4"/>
  <c r="J62" i="4"/>
  <c r="I52" i="36" s="1"/>
  <c r="X15" i="40"/>
  <c r="X32" i="40" s="1"/>
  <c r="O303" i="39"/>
  <c r="O75" i="39" s="1"/>
  <c r="O129" i="38"/>
  <c r="P37" i="37"/>
  <c r="P292" i="39" s="1"/>
  <c r="Q210" i="38"/>
  <c r="O42" i="37"/>
  <c r="O228" i="39"/>
  <c r="M166" i="38"/>
  <c r="M191" i="38" s="1"/>
  <c r="M236" i="37"/>
  <c r="N60" i="37"/>
  <c r="N236" i="37" s="1"/>
  <c r="N229" i="37"/>
  <c r="N302" i="37"/>
  <c r="AF12" i="30"/>
  <c r="AF21" i="30" s="1"/>
  <c r="N222" i="39"/>
  <c r="N224" i="39" s="1"/>
  <c r="N263" i="39" s="1"/>
  <c r="N13" i="37"/>
  <c r="N41" i="37"/>
  <c r="O228" i="37"/>
  <c r="O10" i="37"/>
  <c r="G14" i="46"/>
  <c r="N215" i="38"/>
  <c r="N217" i="38" s="1"/>
  <c r="N169" i="38" s="1"/>
  <c r="N254" i="39"/>
  <c r="N255" i="39" s="1"/>
  <c r="N359" i="39" s="1"/>
  <c r="V42" i="40" s="1"/>
  <c r="N100" i="37"/>
  <c r="N63" i="37" s="1"/>
  <c r="M34" i="37"/>
  <c r="J12" i="75" s="1"/>
  <c r="AD71" i="30"/>
  <c r="AD73" i="30" s="1"/>
  <c r="G18" i="46"/>
  <c r="M496" i="39"/>
  <c r="M315" i="39" s="1"/>
  <c r="O98" i="37"/>
  <c r="L17" i="75" s="1"/>
  <c r="AH38" i="30"/>
  <c r="O53" i="39"/>
  <c r="AF67" i="30"/>
  <c r="AF76" i="30"/>
  <c r="P49" i="37"/>
  <c r="P239" i="37"/>
  <c r="P72" i="37" s="1"/>
  <c r="P178" i="38" s="1"/>
  <c r="P216" i="39"/>
  <c r="P218" i="39" s="1"/>
  <c r="P261" i="39" s="1"/>
  <c r="P11" i="37"/>
  <c r="P217" i="37"/>
  <c r="P9" i="37"/>
  <c r="P228" i="37" s="1"/>
  <c r="P60" i="37" s="1"/>
  <c r="P166" i="38" s="1"/>
  <c r="P127" i="38"/>
  <c r="P156" i="38" s="1"/>
  <c r="AJ11" i="30"/>
  <c r="AJ28" i="30" s="1"/>
  <c r="Q8" i="37"/>
  <c r="P303" i="37"/>
  <c r="Q93" i="37"/>
  <c r="N60" i="6"/>
  <c r="R47" i="11" s="1"/>
  <c r="T47" i="11" s="1"/>
  <c r="Z47" i="11" s="1"/>
  <c r="N59" i="6"/>
  <c r="R46" i="11" s="1"/>
  <c r="T46" i="11" s="1"/>
  <c r="Z46" i="11" s="1"/>
  <c r="N49" i="6"/>
  <c r="R45" i="11" s="1"/>
  <c r="T45" i="11" s="1"/>
  <c r="Z45" i="11" s="1"/>
  <c r="N48" i="6"/>
  <c r="R44" i="11" s="1"/>
  <c r="T44" i="11" s="1"/>
  <c r="Z44" i="11" s="1"/>
  <c r="Q131" i="64"/>
  <c r="Q203" i="64" s="1"/>
  <c r="Q35" i="36"/>
  <c r="T15" i="30"/>
  <c r="S55" i="19"/>
  <c r="S44" i="19"/>
  <c r="L17" i="45"/>
  <c r="K51" i="36"/>
  <c r="K44" i="36"/>
  <c r="K36" i="36"/>
  <c r="L51" i="36"/>
  <c r="L158" i="64" s="1"/>
  <c r="L16" i="11"/>
  <c r="N32" i="11" s="1"/>
  <c r="X32" i="11" s="1"/>
  <c r="L63" i="4"/>
  <c r="O221" i="39"/>
  <c r="O302" i="36"/>
  <c r="O41" i="36"/>
  <c r="O13" i="36"/>
  <c r="AH12" i="11"/>
  <c r="P8" i="23"/>
  <c r="P12" i="23" s="1"/>
  <c r="K12" i="23"/>
  <c r="A29" i="69"/>
  <c r="B28" i="69"/>
  <c r="M130" i="64"/>
  <c r="M43" i="36"/>
  <c r="M38" i="36"/>
  <c r="M246" i="39"/>
  <c r="M178" i="36"/>
  <c r="M180" i="36" s="1"/>
  <c r="I13" i="46"/>
  <c r="AD13" i="11"/>
  <c r="M50" i="36"/>
  <c r="X16" i="11"/>
  <c r="F18" i="45"/>
  <c r="I44" i="37"/>
  <c r="I36" i="37"/>
  <c r="J51" i="37"/>
  <c r="J21" i="45"/>
  <c r="M493" i="39"/>
  <c r="M494" i="39" s="1"/>
  <c r="M314" i="39"/>
  <c r="N177" i="38"/>
  <c r="N179" i="38" s="1"/>
  <c r="N73" i="37"/>
  <c r="H109" i="64"/>
  <c r="P107" i="64"/>
  <c r="P334" i="39"/>
  <c r="P399" i="39" s="1"/>
  <c r="P185" i="64"/>
  <c r="P250" i="64" s="1"/>
  <c r="Q77" i="36"/>
  <c r="P134" i="36"/>
  <c r="M84" i="37"/>
  <c r="T23" i="30"/>
  <c r="Z14" i="30"/>
  <c r="Z23" i="30" s="1"/>
  <c r="K60" i="6"/>
  <c r="K59" i="6"/>
  <c r="K48" i="6"/>
  <c r="K49" i="6"/>
  <c r="N15" i="40"/>
  <c r="AJ28" i="11"/>
  <c r="P60" i="36"/>
  <c r="P229" i="36"/>
  <c r="Q298" i="36"/>
  <c r="P298" i="36"/>
  <c r="R22" i="30"/>
  <c r="R29" i="30"/>
  <c r="K53" i="21"/>
  <c r="K54" i="21" s="1"/>
  <c r="S48" i="19"/>
  <c r="N53" i="21" s="1"/>
  <c r="N54" i="21" s="1"/>
  <c r="R43" i="30" s="1"/>
  <c r="T43" i="30" s="1"/>
  <c r="Z43" i="30" s="1"/>
  <c r="H16" i="30"/>
  <c r="J32" i="30" s="1"/>
  <c r="J63" i="19"/>
  <c r="I53" i="37" s="1"/>
  <c r="P130" i="39"/>
  <c r="L17" i="46"/>
  <c r="N44" i="36"/>
  <c r="N51" i="36"/>
  <c r="AF14" i="11"/>
  <c r="N36" i="36"/>
  <c r="K10" i="76" s="1"/>
  <c r="K11" i="76" s="1"/>
  <c r="J53" i="21"/>
  <c r="J54" i="21" s="1"/>
  <c r="L43" i="30" s="1"/>
  <c r="R48" i="19"/>
  <c r="M53" i="21" s="1"/>
  <c r="M54" i="21" s="1"/>
  <c r="P43" i="30" s="1"/>
  <c r="H60" i="21"/>
  <c r="H47" i="30" s="1"/>
  <c r="H59" i="21"/>
  <c r="H46" i="30" s="1"/>
  <c r="H48" i="21"/>
  <c r="H44" i="30" s="1"/>
  <c r="H49" i="21"/>
  <c r="H45" i="30" s="1"/>
  <c r="J293" i="39"/>
  <c r="J298" i="39"/>
  <c r="J304" i="39"/>
  <c r="R47" i="4"/>
  <c r="M47" i="6" s="1"/>
  <c r="J47" i="6"/>
  <c r="X16" i="30"/>
  <c r="H66" i="30"/>
  <c r="H68" i="30" s="1"/>
  <c r="H63" i="30" s="1"/>
  <c r="H40" i="30" s="1"/>
  <c r="H27" i="23"/>
  <c r="N236" i="36"/>
  <c r="N71" i="36"/>
  <c r="N83" i="36" s="1"/>
  <c r="N95" i="36" s="1"/>
  <c r="AF39" i="11" s="1"/>
  <c r="L177" i="38"/>
  <c r="P109" i="38"/>
  <c r="T13" i="11"/>
  <c r="S53" i="4"/>
  <c r="J11" i="3"/>
  <c r="P330" i="39"/>
  <c r="P355" i="39" s="1"/>
  <c r="P181" i="64"/>
  <c r="P211" i="64" s="1"/>
  <c r="Q75" i="36"/>
  <c r="P94" i="36"/>
  <c r="O71" i="37"/>
  <c r="H18" i="40"/>
  <c r="AD30" i="11"/>
  <c r="AD23" i="11"/>
  <c r="L66" i="11"/>
  <c r="L68" i="11" s="1"/>
  <c r="L63" i="11" s="1"/>
  <c r="L40" i="11" s="1"/>
  <c r="J27" i="8"/>
  <c r="K300" i="39"/>
  <c r="K306" i="39"/>
  <c r="K280" i="39"/>
  <c r="K277" i="39"/>
  <c r="L66" i="30"/>
  <c r="L68" i="30" s="1"/>
  <c r="L63" i="30" s="1"/>
  <c r="L40" i="30" s="1"/>
  <c r="J27" i="23"/>
  <c r="P63" i="19"/>
  <c r="T13" i="30"/>
  <c r="S53" i="19"/>
  <c r="J11" i="18"/>
  <c r="Q233" i="36"/>
  <c r="Q232" i="36" s="1"/>
  <c r="Q61" i="36" s="1"/>
  <c r="P232" i="36"/>
  <c r="P61" i="36" s="1"/>
  <c r="Q18" i="42"/>
  <c r="Q298" i="37"/>
  <c r="P184" i="38"/>
  <c r="P249" i="38" s="1"/>
  <c r="Q76" i="37"/>
  <c r="P133" i="37"/>
  <c r="O59" i="37"/>
  <c r="O225" i="37"/>
  <c r="R66" i="30"/>
  <c r="R68" i="30" s="1"/>
  <c r="R63" i="30" s="1"/>
  <c r="R40" i="30" s="1"/>
  <c r="N27" i="23"/>
  <c r="L29" i="30"/>
  <c r="L22" i="30"/>
  <c r="J17" i="45"/>
  <c r="S39" i="19"/>
  <c r="H24" i="30"/>
  <c r="P63" i="4"/>
  <c r="L151" i="38"/>
  <c r="L147" i="38"/>
  <c r="L29" i="38" s="1"/>
  <c r="L128" i="38"/>
  <c r="L148" i="38" s="1"/>
  <c r="L182" i="37"/>
  <c r="L184" i="37" s="1"/>
  <c r="N165" i="38"/>
  <c r="Q181" i="38"/>
  <c r="Q211" i="38" s="1"/>
  <c r="Q94" i="37"/>
  <c r="X15" i="30"/>
  <c r="X24" i="30" s="1"/>
  <c r="N31" i="30"/>
  <c r="X31" i="30" s="1"/>
  <c r="N24" i="30"/>
  <c r="Q226" i="36"/>
  <c r="Q224" i="36" s="1"/>
  <c r="P224" i="36"/>
  <c r="P273" i="39"/>
  <c r="Q19" i="36"/>
  <c r="Q273" i="39" s="1"/>
  <c r="O235" i="36"/>
  <c r="P237" i="36"/>
  <c r="L31" i="11"/>
  <c r="L24" i="11"/>
  <c r="S62" i="19"/>
  <c r="T31" i="30" s="1"/>
  <c r="Z31" i="30" s="1"/>
  <c r="R55" i="19"/>
  <c r="R44" i="19"/>
  <c r="L24" i="30"/>
  <c r="L31" i="30"/>
  <c r="J188" i="36"/>
  <c r="J187" i="36"/>
  <c r="I15" i="45"/>
  <c r="J14" i="45" s="1"/>
  <c r="Q237" i="37"/>
  <c r="N492" i="39"/>
  <c r="N165" i="64"/>
  <c r="X15" i="11"/>
  <c r="X24" i="11" s="1"/>
  <c r="N31" i="11"/>
  <c r="X31" i="11" s="1"/>
  <c r="N24" i="11"/>
  <c r="P333" i="39"/>
  <c r="P398" i="39" s="1"/>
  <c r="P184" i="64"/>
  <c r="P249" i="64" s="1"/>
  <c r="Q76" i="36"/>
  <c r="P133" i="36"/>
  <c r="K291" i="39"/>
  <c r="K305" i="39"/>
  <c r="K299" i="39"/>
  <c r="L305" i="39"/>
  <c r="K189" i="37"/>
  <c r="K187" i="37"/>
  <c r="K188" i="37"/>
  <c r="M84" i="36"/>
  <c r="O166" i="64"/>
  <c r="O49" i="1"/>
  <c r="N50" i="1"/>
  <c r="R24" i="11"/>
  <c r="R31" i="11"/>
  <c r="F16" i="11"/>
  <c r="V16" i="11" s="1"/>
  <c r="I63" i="4"/>
  <c r="U44" i="4"/>
  <c r="X13" i="30"/>
  <c r="X22" i="30" s="1"/>
  <c r="N29" i="30"/>
  <c r="X29" i="30" s="1"/>
  <c r="N22" i="30"/>
  <c r="G8" i="23"/>
  <c r="G12" i="23" s="1"/>
  <c r="U21" i="19"/>
  <c r="H122" i="19"/>
  <c r="H124" i="19" s="1"/>
  <c r="H126" i="19" s="1"/>
  <c r="H128" i="19" s="1"/>
  <c r="H131" i="19" s="1"/>
  <c r="H133" i="19" s="1"/>
  <c r="H135" i="19" s="1"/>
  <c r="O500" i="39"/>
  <c r="O167" i="64"/>
  <c r="P224" i="37"/>
  <c r="Q226" i="37"/>
  <c r="S60" i="19"/>
  <c r="T29" i="30" s="1"/>
  <c r="Z29" i="30" s="1"/>
  <c r="R53" i="19"/>
  <c r="N43" i="11"/>
  <c r="X43" i="11" s="1"/>
  <c r="Q54" i="6"/>
  <c r="O9" i="3" s="1"/>
  <c r="P322" i="39"/>
  <c r="P354" i="39" s="1"/>
  <c r="P173" i="64"/>
  <c r="P210" i="64" s="1"/>
  <c r="Q66" i="36"/>
  <c r="Q93" i="36" s="1"/>
  <c r="P178" i="64"/>
  <c r="P227" i="39"/>
  <c r="P42" i="36"/>
  <c r="G47" i="21"/>
  <c r="U47" i="19"/>
  <c r="AB22" i="30"/>
  <c r="AB29" i="30"/>
  <c r="J31" i="30"/>
  <c r="M207" i="37"/>
  <c r="M25" i="37" s="1"/>
  <c r="M294" i="37" s="1"/>
  <c r="M295" i="37" s="1"/>
  <c r="M296" i="37" s="1"/>
  <c r="G53" i="21"/>
  <c r="G54" i="21" s="1"/>
  <c r="F43" i="30" s="1"/>
  <c r="U48" i="19"/>
  <c r="R66" i="11"/>
  <c r="R68" i="11" s="1"/>
  <c r="R63" i="11" s="1"/>
  <c r="R40" i="11" s="1"/>
  <c r="N27" i="8"/>
  <c r="O225" i="36"/>
  <c r="O59" i="36"/>
  <c r="N66" i="11"/>
  <c r="N68" i="11" s="1"/>
  <c r="N63" i="11" s="1"/>
  <c r="N40" i="11" s="1"/>
  <c r="X40" i="11" s="1"/>
  <c r="K27" i="8"/>
  <c r="K18" i="36"/>
  <c r="K20" i="36" s="1"/>
  <c r="K31" i="36"/>
  <c r="S62" i="4"/>
  <c r="T31" i="11" s="1"/>
  <c r="Z31" i="11" s="1"/>
  <c r="R55" i="4"/>
  <c r="R44" i="4"/>
  <c r="L16" i="30"/>
  <c r="L32" i="30" s="1"/>
  <c r="L63" i="19"/>
  <c r="J307" i="39"/>
  <c r="J283" i="39"/>
  <c r="J53" i="6"/>
  <c r="J54" i="6" s="1"/>
  <c r="L43" i="11" s="1"/>
  <c r="R48" i="4"/>
  <c r="M53" i="6" s="1"/>
  <c r="M54" i="6" s="1"/>
  <c r="P43" i="11" s="1"/>
  <c r="Q185" i="38"/>
  <c r="Q250" i="38" s="1"/>
  <c r="Q134" i="37"/>
  <c r="P129" i="64"/>
  <c r="Q37" i="36"/>
  <c r="M503" i="39"/>
  <c r="M177" i="64"/>
  <c r="M179" i="64" s="1"/>
  <c r="M73" i="36"/>
  <c r="T15" i="11"/>
  <c r="S55" i="4"/>
  <c r="S44" i="4"/>
  <c r="I18" i="37"/>
  <c r="I20" i="37" s="1"/>
  <c r="I31" i="37"/>
  <c r="R31" i="30"/>
  <c r="R24" i="30"/>
  <c r="K47" i="21"/>
  <c r="S47" i="19"/>
  <c r="N47" i="21" s="1"/>
  <c r="F15" i="30"/>
  <c r="F24" i="30" s="1"/>
  <c r="I62" i="19"/>
  <c r="U43" i="19"/>
  <c r="H44" i="19"/>
  <c r="H63" i="19" s="1"/>
  <c r="H55" i="19"/>
  <c r="F31" i="30"/>
  <c r="M95" i="37"/>
  <c r="L19" i="41"/>
  <c r="D37" i="38"/>
  <c r="F37" i="38" s="1"/>
  <c r="J27" i="18"/>
  <c r="R29" i="11"/>
  <c r="R22" i="11"/>
  <c r="J47" i="21"/>
  <c r="R47" i="19"/>
  <c r="M47" i="21" s="1"/>
  <c r="I293" i="39"/>
  <c r="I298" i="39"/>
  <c r="Q215" i="39"/>
  <c r="Q127" i="64"/>
  <c r="Q156" i="64" s="1"/>
  <c r="Q303" i="36"/>
  <c r="Q9" i="36"/>
  <c r="Q228" i="36" s="1"/>
  <c r="Q239" i="36"/>
  <c r="Q72" i="36" s="1"/>
  <c r="Q49" i="36"/>
  <c r="Q11" i="36"/>
  <c r="F66" i="11"/>
  <c r="F68" i="11" s="1"/>
  <c r="F63" i="11" s="1"/>
  <c r="F40" i="11" s="1"/>
  <c r="G27" i="8"/>
  <c r="G30" i="8" s="1"/>
  <c r="N501" i="39"/>
  <c r="N316" i="39"/>
  <c r="R39" i="19"/>
  <c r="G60" i="6"/>
  <c r="F47" i="11" s="1"/>
  <c r="G59" i="6"/>
  <c r="F46" i="11" s="1"/>
  <c r="G48" i="6"/>
  <c r="F44" i="11" s="1"/>
  <c r="G49" i="6"/>
  <c r="F45" i="11" s="1"/>
  <c r="O354" i="39"/>
  <c r="H29" i="30"/>
  <c r="H22" i="30"/>
  <c r="R53" i="4"/>
  <c r="S60" i="4"/>
  <c r="T29" i="11" s="1"/>
  <c r="Z29" i="11" s="1"/>
  <c r="L29" i="11"/>
  <c r="L22" i="11"/>
  <c r="P240" i="39"/>
  <c r="AJ37" i="11"/>
  <c r="T73" i="40"/>
  <c r="T64" i="40"/>
  <c r="P162" i="38"/>
  <c r="P333" i="38"/>
  <c r="P234" i="38"/>
  <c r="P28" i="38"/>
  <c r="P62" i="38" s="1"/>
  <c r="P310" i="38"/>
  <c r="P300" i="38"/>
  <c r="P201" i="38"/>
  <c r="P283" i="38"/>
  <c r="O253" i="39"/>
  <c r="O215" i="64"/>
  <c r="O217" i="64" s="1"/>
  <c r="O100" i="36"/>
  <c r="O63" i="36" s="1"/>
  <c r="Q310" i="64"/>
  <c r="Q201" i="64"/>
  <c r="Q28" i="64"/>
  <c r="Q62" i="64" s="1"/>
  <c r="Q234" i="64"/>
  <c r="Q300" i="64"/>
  <c r="Q333" i="64"/>
  <c r="Q162" i="64"/>
  <c r="Q283" i="64"/>
  <c r="O241" i="39"/>
  <c r="AH37" i="30"/>
  <c r="AH74" i="30" s="1"/>
  <c r="Q273" i="36"/>
  <c r="Q282" i="36"/>
  <c r="Q283" i="36" s="1"/>
  <c r="K39" i="69"/>
  <c r="O37" i="71"/>
  <c r="Q253" i="39"/>
  <c r="Z14" i="40"/>
  <c r="AB30" i="40" s="1"/>
  <c r="Q260" i="39"/>
  <c r="S37" i="71"/>
  <c r="O39" i="69"/>
  <c r="X37" i="71" s="1"/>
  <c r="AL10" i="30"/>
  <c r="AJ38" i="11"/>
  <c r="P98" i="36"/>
  <c r="P13" i="71"/>
  <c r="M19" i="69"/>
  <c r="G39" i="69"/>
  <c r="Q19" i="69"/>
  <c r="U13" i="71" s="1"/>
  <c r="N206" i="37"/>
  <c r="O203" i="37" s="1"/>
  <c r="F48" i="39"/>
  <c r="M203" i="36"/>
  <c r="G72" i="19"/>
  <c r="G111" i="19"/>
  <c r="Q275" i="36"/>
  <c r="L42" i="40"/>
  <c r="AH67" i="11"/>
  <c r="AH76" i="11"/>
  <c r="L41" i="40"/>
  <c r="AH74" i="11"/>
  <c r="Q126" i="38"/>
  <c r="Q216" i="37"/>
  <c r="Q244" i="37"/>
  <c r="Q173" i="37"/>
  <c r="Q118" i="37"/>
  <c r="Q269" i="37"/>
  <c r="Q87" i="37"/>
  <c r="Q290" i="37"/>
  <c r="Q156" i="37"/>
  <c r="Q56" i="37"/>
  <c r="Q195" i="37"/>
  <c r="L279" i="39"/>
  <c r="L294" i="36"/>
  <c r="L295" i="36" s="1"/>
  <c r="L296" i="36" s="1"/>
  <c r="W15" i="64"/>
  <c r="W13" i="64"/>
  <c r="W14" i="64"/>
  <c r="W16" i="64"/>
  <c r="V10" i="30"/>
  <c r="V11" i="30"/>
  <c r="V14" i="30"/>
  <c r="V13" i="30"/>
  <c r="V12" i="30"/>
  <c r="E54" i="69" l="1"/>
  <c r="J187" i="37"/>
  <c r="AD39" i="30"/>
  <c r="AD75" i="30" s="1"/>
  <c r="AD77" i="30" s="1"/>
  <c r="J18" i="75"/>
  <c r="Q232" i="37"/>
  <c r="Q61" i="37" s="1"/>
  <c r="Q167" i="38" s="1"/>
  <c r="N8" i="75"/>
  <c r="N9" i="75" s="1"/>
  <c r="P131" i="38"/>
  <c r="P203" i="38" s="1"/>
  <c r="J14" i="75"/>
  <c r="J15" i="75" s="1"/>
  <c r="J13" i="75"/>
  <c r="N229" i="39"/>
  <c r="N249" i="39" s="1"/>
  <c r="O77" i="39"/>
  <c r="O29" i="39" s="1"/>
  <c r="F54" i="69" s="1"/>
  <c r="O169" i="64"/>
  <c r="Q240" i="39"/>
  <c r="N16" i="76"/>
  <c r="H26" i="39"/>
  <c r="M98" i="39" s="1"/>
  <c r="P35" i="37"/>
  <c r="M16" i="75" s="1"/>
  <c r="O508" i="39"/>
  <c r="H25" i="39"/>
  <c r="N83" i="37"/>
  <c r="P229" i="37"/>
  <c r="Q220" i="37"/>
  <c r="Q89" i="37" s="1"/>
  <c r="Q347" i="39" s="1"/>
  <c r="T66" i="11"/>
  <c r="T68" i="11" s="1"/>
  <c r="T63" i="11" s="1"/>
  <c r="T40" i="11" s="1"/>
  <c r="Z40" i="11" s="1"/>
  <c r="V15" i="30"/>
  <c r="X28" i="39"/>
  <c r="P507" i="39"/>
  <c r="P327" i="39" s="1"/>
  <c r="Q224" i="37"/>
  <c r="Q59" i="37" s="1"/>
  <c r="S63" i="19"/>
  <c r="T32" i="30" s="1"/>
  <c r="Z32" i="30" s="1"/>
  <c r="H43" i="40"/>
  <c r="M497" i="39"/>
  <c r="M498" i="39" s="1"/>
  <c r="N361" i="39"/>
  <c r="N318" i="39" s="1"/>
  <c r="Q215" i="64"/>
  <c r="Q217" i="64" s="1"/>
  <c r="AB75" i="11"/>
  <c r="AB77" i="11" s="1"/>
  <c r="F74" i="40" s="1"/>
  <c r="P221" i="39"/>
  <c r="P302" i="36"/>
  <c r="P13" i="36"/>
  <c r="AJ71" i="11" s="1"/>
  <c r="AJ73" i="11" s="1"/>
  <c r="P41" i="36"/>
  <c r="J13" i="45"/>
  <c r="J66" i="11"/>
  <c r="J68" i="11" s="1"/>
  <c r="J63" i="11" s="1"/>
  <c r="J40" i="11" s="1"/>
  <c r="I27" i="8"/>
  <c r="J63" i="4"/>
  <c r="I53" i="36" s="1"/>
  <c r="J16" i="11"/>
  <c r="J32" i="11" s="1"/>
  <c r="W17" i="64"/>
  <c r="K63" i="4"/>
  <c r="Z15" i="40"/>
  <c r="Z32" i="40" s="1"/>
  <c r="P303" i="39"/>
  <c r="O60" i="37"/>
  <c r="O83" i="37" s="1"/>
  <c r="O229" i="37"/>
  <c r="AL11" i="30"/>
  <c r="Q9" i="37"/>
  <c r="Q235" i="37" s="1"/>
  <c r="Q71" i="37" s="1"/>
  <c r="Q217" i="37"/>
  <c r="Q98" i="37" s="1"/>
  <c r="N17" i="75" s="1"/>
  <c r="Q303" i="37"/>
  <c r="Q216" i="39"/>
  <c r="Q218" i="39" s="1"/>
  <c r="Q261" i="39" s="1"/>
  <c r="Q303" i="39" s="1"/>
  <c r="Q49" i="37"/>
  <c r="Q239" i="37"/>
  <c r="Q72" i="37" s="1"/>
  <c r="Q178" i="38" s="1"/>
  <c r="Q127" i="38"/>
  <c r="Q156" i="38" s="1"/>
  <c r="Q11" i="37"/>
  <c r="M36" i="37"/>
  <c r="J10" i="75" s="1"/>
  <c r="J11" i="75" s="1"/>
  <c r="M44" i="37"/>
  <c r="M51" i="37"/>
  <c r="AD14" i="30"/>
  <c r="I18" i="46"/>
  <c r="P228" i="39"/>
  <c r="P42" i="37"/>
  <c r="AH67" i="30"/>
  <c r="AH76" i="30"/>
  <c r="N11" i="42"/>
  <c r="N34" i="37"/>
  <c r="K12" i="75" s="1"/>
  <c r="AF71" i="30"/>
  <c r="AF73" i="30" s="1"/>
  <c r="P129" i="38"/>
  <c r="Q37" i="37"/>
  <c r="Q129" i="38" s="1"/>
  <c r="O215" i="38"/>
  <c r="O217" i="38" s="1"/>
  <c r="O169" i="38" s="1"/>
  <c r="O254" i="39"/>
  <c r="O255" i="39" s="1"/>
  <c r="O359" i="39" s="1"/>
  <c r="X42" i="40" s="1"/>
  <c r="O100" i="37"/>
  <c r="O63" i="37" s="1"/>
  <c r="V16" i="40"/>
  <c r="V26" i="40" s="1"/>
  <c r="N262" i="39"/>
  <c r="N296" i="39"/>
  <c r="O41" i="37"/>
  <c r="O13" i="37"/>
  <c r="AH12" i="30"/>
  <c r="AH21" i="30" s="1"/>
  <c r="O222" i="39"/>
  <c r="O224" i="39" s="1"/>
  <c r="O263" i="39" s="1"/>
  <c r="O302" i="37"/>
  <c r="N166" i="38"/>
  <c r="N191" i="38" s="1"/>
  <c r="N496" i="39"/>
  <c r="P235" i="37"/>
  <c r="P236" i="37" s="1"/>
  <c r="P98" i="37"/>
  <c r="M17" i="75" s="1"/>
  <c r="AJ38" i="30"/>
  <c r="P10" i="37"/>
  <c r="N207" i="37"/>
  <c r="N25" i="37" s="1"/>
  <c r="N294" i="37" s="1"/>
  <c r="N295" i="37" s="1"/>
  <c r="N296" i="37" s="1"/>
  <c r="Q227" i="39"/>
  <c r="Q42" i="36"/>
  <c r="Q10" i="36"/>
  <c r="J60" i="21"/>
  <c r="L47" i="30" s="1"/>
  <c r="J59" i="21"/>
  <c r="L46" i="30" s="1"/>
  <c r="J49" i="21"/>
  <c r="L45" i="30" s="1"/>
  <c r="J48" i="21"/>
  <c r="L44" i="30" s="1"/>
  <c r="K60" i="21"/>
  <c r="K59" i="21"/>
  <c r="K48" i="21"/>
  <c r="K49" i="21"/>
  <c r="M505" i="39"/>
  <c r="M504" i="39"/>
  <c r="M326" i="39"/>
  <c r="M328" i="39" s="1"/>
  <c r="N51" i="71"/>
  <c r="S51" i="71" s="1"/>
  <c r="X51" i="71" s="1"/>
  <c r="J54" i="69"/>
  <c r="O54" i="69" s="1"/>
  <c r="J43" i="40"/>
  <c r="AF75" i="11"/>
  <c r="AF77" i="11" s="1"/>
  <c r="J74" i="40" s="1"/>
  <c r="K298" i="39"/>
  <c r="K304" i="39"/>
  <c r="K293" i="39"/>
  <c r="L304" i="39"/>
  <c r="Q59" i="36"/>
  <c r="Q225" i="36"/>
  <c r="N84" i="37"/>
  <c r="T22" i="11"/>
  <c r="Z13" i="11"/>
  <c r="Z22" i="11" s="1"/>
  <c r="N32" i="30"/>
  <c r="X32" i="30" s="1"/>
  <c r="M60" i="6"/>
  <c r="P47" i="11" s="1"/>
  <c r="M59" i="6"/>
  <c r="P46" i="11" s="1"/>
  <c r="M49" i="6"/>
  <c r="P45" i="11" s="1"/>
  <c r="M48" i="6"/>
  <c r="P44" i="11" s="1"/>
  <c r="N47" i="11"/>
  <c r="X47" i="11" s="1"/>
  <c r="Q60" i="6"/>
  <c r="F19" i="45"/>
  <c r="G17" i="45" s="1"/>
  <c r="AD29" i="11"/>
  <c r="H17" i="40"/>
  <c r="AD22" i="11"/>
  <c r="M128" i="64"/>
  <c r="M148" i="64" s="1"/>
  <c r="M182" i="36"/>
  <c r="M184" i="36" s="1"/>
  <c r="L16" i="40"/>
  <c r="L26" i="40" s="1"/>
  <c r="AH21" i="11"/>
  <c r="L13" i="45"/>
  <c r="K191" i="36"/>
  <c r="K178" i="36"/>
  <c r="K180" i="36" s="1"/>
  <c r="K192" i="36"/>
  <c r="K43" i="36"/>
  <c r="K50" i="36"/>
  <c r="K38" i="36"/>
  <c r="K182" i="36" s="1"/>
  <c r="K184" i="36" s="1"/>
  <c r="K186" i="36" s="1"/>
  <c r="L50" i="36"/>
  <c r="L157" i="64" s="1"/>
  <c r="T16" i="30"/>
  <c r="Z16" i="30" s="1"/>
  <c r="J14" i="18"/>
  <c r="J21" i="18" s="1"/>
  <c r="M191" i="64"/>
  <c r="I23" i="37"/>
  <c r="F22" i="45" s="1"/>
  <c r="I26" i="37"/>
  <c r="J53" i="37" s="1"/>
  <c r="I45" i="37"/>
  <c r="J52" i="37"/>
  <c r="T24" i="11"/>
  <c r="Z15" i="11"/>
  <c r="Z24" i="11" s="1"/>
  <c r="Q129" i="64"/>
  <c r="S63" i="4"/>
  <c r="T32" i="11" s="1"/>
  <c r="Z32" i="11" s="1"/>
  <c r="L21" i="45"/>
  <c r="K26" i="36"/>
  <c r="K53" i="36" s="1"/>
  <c r="K52" i="36"/>
  <c r="K45" i="36"/>
  <c r="K23" i="36"/>
  <c r="Q322" i="39"/>
  <c r="Q354" i="39" s="1"/>
  <c r="Q173" i="64"/>
  <c r="Q210" i="64" s="1"/>
  <c r="F66" i="30"/>
  <c r="F68" i="30" s="1"/>
  <c r="F63" i="30" s="1"/>
  <c r="F40" i="30" s="1"/>
  <c r="G27" i="23"/>
  <c r="G30" i="23" s="1"/>
  <c r="N493" i="39"/>
  <c r="N494" i="39" s="1"/>
  <c r="N314" i="39"/>
  <c r="Q237" i="36"/>
  <c r="Q235" i="36" s="1"/>
  <c r="P235" i="36"/>
  <c r="O165" i="38"/>
  <c r="P500" i="39"/>
  <c r="P167" i="64"/>
  <c r="T22" i="30"/>
  <c r="Z13" i="30"/>
  <c r="Z22" i="30" s="1"/>
  <c r="H28" i="40"/>
  <c r="H34" i="40"/>
  <c r="L179" i="38"/>
  <c r="L191" i="38"/>
  <c r="P496" i="39"/>
  <c r="P166" i="64"/>
  <c r="N45" i="11"/>
  <c r="X45" i="11" s="1"/>
  <c r="Q49" i="6"/>
  <c r="O11" i="3" s="1"/>
  <c r="H32" i="11"/>
  <c r="B29" i="69"/>
  <c r="A30" i="69"/>
  <c r="O34" i="36"/>
  <c r="L12" i="76" s="1"/>
  <c r="AH71" i="11"/>
  <c r="AH73" i="11" s="1"/>
  <c r="G36" i="8"/>
  <c r="H29" i="8"/>
  <c r="H30" i="8" s="1"/>
  <c r="Q178" i="64"/>
  <c r="P225" i="37"/>
  <c r="P59" i="37"/>
  <c r="O501" i="39"/>
  <c r="O316" i="39"/>
  <c r="Q333" i="39"/>
  <c r="Q398" i="39" s="1"/>
  <c r="Q184" i="64"/>
  <c r="Q249" i="64" s="1"/>
  <c r="Q133" i="36"/>
  <c r="O236" i="36"/>
  <c r="O71" i="36"/>
  <c r="O83" i="36" s="1"/>
  <c r="O95" i="36" s="1"/>
  <c r="AH39" i="11" s="1"/>
  <c r="N16" i="40"/>
  <c r="N26" i="40" s="1"/>
  <c r="AJ21" i="11"/>
  <c r="AL12" i="11"/>
  <c r="M192" i="38"/>
  <c r="Q167" i="64"/>
  <c r="O177" i="38"/>
  <c r="O179" i="38" s="1"/>
  <c r="O73" i="37"/>
  <c r="G18" i="41"/>
  <c r="L52" i="39"/>
  <c r="M52" i="39" s="1"/>
  <c r="D36" i="64"/>
  <c r="J26" i="3"/>
  <c r="N503" i="39"/>
  <c r="N177" i="64"/>
  <c r="N179" i="64" s="1"/>
  <c r="N73" i="36"/>
  <c r="L13" i="46"/>
  <c r="N130" i="64"/>
  <c r="N50" i="36"/>
  <c r="N246" i="39"/>
  <c r="N43" i="36"/>
  <c r="N178" i="36"/>
  <c r="N180" i="36" s="1"/>
  <c r="N38" i="36"/>
  <c r="AF13" i="11"/>
  <c r="N44" i="11"/>
  <c r="X44" i="11" s="1"/>
  <c r="Q48" i="6"/>
  <c r="O10" i="3" s="1"/>
  <c r="Q334" i="39"/>
  <c r="Q399" i="39" s="1"/>
  <c r="Q185" i="64"/>
  <c r="Q250" i="64" s="1"/>
  <c r="Q134" i="36"/>
  <c r="L177" i="64"/>
  <c r="P109" i="64"/>
  <c r="F14" i="45"/>
  <c r="I38" i="37"/>
  <c r="I43" i="37"/>
  <c r="J50" i="37"/>
  <c r="N66" i="30"/>
  <c r="N68" i="30" s="1"/>
  <c r="N63" i="30" s="1"/>
  <c r="N40" i="30" s="1"/>
  <c r="X40" i="30" s="1"/>
  <c r="K27" i="23"/>
  <c r="T24" i="30"/>
  <c r="Z15" i="30"/>
  <c r="Z24" i="30" s="1"/>
  <c r="Q60" i="36"/>
  <c r="Q229" i="36"/>
  <c r="M60" i="21"/>
  <c r="P47" i="30" s="1"/>
  <c r="M59" i="21"/>
  <c r="P46" i="30" s="1"/>
  <c r="M49" i="21"/>
  <c r="P45" i="30" s="1"/>
  <c r="M48" i="21"/>
  <c r="P44" i="30" s="1"/>
  <c r="N19" i="41"/>
  <c r="P29" i="41"/>
  <c r="L29" i="41"/>
  <c r="F16" i="30"/>
  <c r="V16" i="30" s="1"/>
  <c r="U44" i="19"/>
  <c r="I63" i="19"/>
  <c r="F32" i="30"/>
  <c r="N60" i="21"/>
  <c r="R47" i="30" s="1"/>
  <c r="T47" i="30" s="1"/>
  <c r="Z47" i="30" s="1"/>
  <c r="N59" i="21"/>
  <c r="R46" i="30" s="1"/>
  <c r="T46" i="30" s="1"/>
  <c r="Z46" i="30" s="1"/>
  <c r="N49" i="21"/>
  <c r="R45" i="30" s="1"/>
  <c r="T45" i="30" s="1"/>
  <c r="Z45" i="30" s="1"/>
  <c r="N48" i="21"/>
  <c r="R44" i="30" s="1"/>
  <c r="T44" i="30" s="1"/>
  <c r="Z44" i="30" s="1"/>
  <c r="J14" i="3"/>
  <c r="J21" i="3" s="1"/>
  <c r="T16" i="11"/>
  <c r="Z16" i="11" s="1"/>
  <c r="O492" i="39"/>
  <c r="O165" i="64"/>
  <c r="G60" i="21"/>
  <c r="F47" i="30" s="1"/>
  <c r="G59" i="21"/>
  <c r="F46" i="30" s="1"/>
  <c r="G49" i="21"/>
  <c r="F45" i="30" s="1"/>
  <c r="G48" i="21"/>
  <c r="F44" i="30" s="1"/>
  <c r="P49" i="1"/>
  <c r="O50" i="1"/>
  <c r="N84" i="36"/>
  <c r="P59" i="36"/>
  <c r="P225" i="36"/>
  <c r="W14" i="38"/>
  <c r="W15" i="38"/>
  <c r="W13" i="38"/>
  <c r="W16" i="38"/>
  <c r="H31" i="30"/>
  <c r="Q184" i="38"/>
  <c r="Q249" i="38" s="1"/>
  <c r="Q133" i="37"/>
  <c r="L18" i="41"/>
  <c r="N52" i="39"/>
  <c r="D36" i="38"/>
  <c r="J26" i="18"/>
  <c r="K307" i="39"/>
  <c r="K283" i="39"/>
  <c r="Q330" i="39"/>
  <c r="Q355" i="39" s="1"/>
  <c r="Q181" i="64"/>
  <c r="Q211" i="64" s="1"/>
  <c r="Q94" i="36"/>
  <c r="J60" i="6"/>
  <c r="L47" i="11" s="1"/>
  <c r="J59" i="6"/>
  <c r="L46" i="11" s="1"/>
  <c r="J48" i="6"/>
  <c r="L44" i="11" s="1"/>
  <c r="J49" i="6"/>
  <c r="L45" i="11" s="1"/>
  <c r="J18" i="40"/>
  <c r="AF30" i="11"/>
  <c r="AF23" i="11"/>
  <c r="L326" i="39"/>
  <c r="P132" i="39"/>
  <c r="N43" i="30"/>
  <c r="X43" i="30" s="1"/>
  <c r="Q54" i="21"/>
  <c r="O9" i="18" s="1"/>
  <c r="N32" i="40"/>
  <c r="P32" i="40"/>
  <c r="N46" i="11"/>
  <c r="X46" i="11" s="1"/>
  <c r="Q59" i="6"/>
  <c r="O12" i="3" s="1"/>
  <c r="N95" i="37"/>
  <c r="M151" i="64"/>
  <c r="M157" i="64"/>
  <c r="M314" i="64"/>
  <c r="M313" i="64"/>
  <c r="M312" i="64"/>
  <c r="M147" i="64"/>
  <c r="M29" i="64" s="1"/>
  <c r="T66" i="30"/>
  <c r="T68" i="30" s="1"/>
  <c r="T63" i="30" s="1"/>
  <c r="T40" i="30" s="1"/>
  <c r="Z40" i="30" s="1"/>
  <c r="P27" i="23"/>
  <c r="L19" i="45"/>
  <c r="M18" i="45" s="1"/>
  <c r="Q162" i="38"/>
  <c r="Q333" i="38"/>
  <c r="Q300" i="38"/>
  <c r="Q283" i="38"/>
  <c r="Q234" i="38"/>
  <c r="Q201" i="38"/>
  <c r="Q28" i="38"/>
  <c r="Q62" i="38" s="1"/>
  <c r="Q310" i="38"/>
  <c r="T37" i="71"/>
  <c r="P39" i="69"/>
  <c r="Y37" i="71" s="1"/>
  <c r="V73" i="40"/>
  <c r="V64" i="40"/>
  <c r="F50" i="39"/>
  <c r="H48" i="39" s="1"/>
  <c r="L282" i="39"/>
  <c r="L281" i="39"/>
  <c r="R19" i="69"/>
  <c r="H39" i="69"/>
  <c r="M39" i="69" s="1"/>
  <c r="R39" i="69" s="1"/>
  <c r="AJ37" i="30"/>
  <c r="AJ74" i="30" s="1"/>
  <c r="N41" i="40"/>
  <c r="AJ74" i="11"/>
  <c r="L39" i="69"/>
  <c r="P37" i="71"/>
  <c r="P253" i="39"/>
  <c r="P215" i="64"/>
  <c r="P217" i="64" s="1"/>
  <c r="P169" i="64" s="1"/>
  <c r="P100" i="36"/>
  <c r="P63" i="36" s="1"/>
  <c r="Q63" i="36" s="1"/>
  <c r="M100" i="39"/>
  <c r="L393" i="39"/>
  <c r="M206" i="36"/>
  <c r="N203" i="36" s="1"/>
  <c r="O206" i="37"/>
  <c r="P203" i="37" s="1"/>
  <c r="N42" i="40"/>
  <c r="AJ67" i="11"/>
  <c r="AJ76" i="11"/>
  <c r="J19" i="75" l="1"/>
  <c r="P241" i="39"/>
  <c r="K13" i="75"/>
  <c r="K14" i="75"/>
  <c r="K15" i="75" s="1"/>
  <c r="K19" i="75" s="1"/>
  <c r="N14" i="42"/>
  <c r="O31" i="39"/>
  <c r="O229" i="39"/>
  <c r="O14" i="42" s="1"/>
  <c r="AF39" i="30"/>
  <c r="AF75" i="30" s="1"/>
  <c r="K18" i="75"/>
  <c r="Q500" i="39"/>
  <c r="N231" i="39"/>
  <c r="N264" i="39" s="1"/>
  <c r="N297" i="39" s="1"/>
  <c r="L391" i="39"/>
  <c r="P75" i="39"/>
  <c r="Q75" i="39" s="1"/>
  <c r="L14" i="76"/>
  <c r="L15" i="76" s="1"/>
  <c r="L19" i="76" s="1"/>
  <c r="L13" i="76"/>
  <c r="P71" i="37"/>
  <c r="P83" i="37" s="1"/>
  <c r="Q131" i="38"/>
  <c r="Q203" i="38" s="1"/>
  <c r="Q292" i="39"/>
  <c r="P508" i="39"/>
  <c r="Q35" i="37"/>
  <c r="P34" i="36"/>
  <c r="N192" i="38"/>
  <c r="N212" i="38"/>
  <c r="AF77" i="30"/>
  <c r="Q225" i="37"/>
  <c r="W17" i="38"/>
  <c r="AB32" i="40"/>
  <c r="Q169" i="64"/>
  <c r="M17" i="45"/>
  <c r="Q77" i="39"/>
  <c r="O361" i="39"/>
  <c r="O318" i="39" s="1"/>
  <c r="L32" i="11"/>
  <c r="O296" i="39"/>
  <c r="O262" i="39"/>
  <c r="X16" i="40"/>
  <c r="X26" i="40" s="1"/>
  <c r="I19" i="46"/>
  <c r="J17" i="46" s="1"/>
  <c r="AD23" i="30"/>
  <c r="AD30" i="30"/>
  <c r="G18" i="45"/>
  <c r="N497" i="39"/>
  <c r="N498" i="39" s="1"/>
  <c r="N315" i="39"/>
  <c r="N44" i="37"/>
  <c r="AF14" i="30"/>
  <c r="L18" i="46"/>
  <c r="L19" i="46" s="1"/>
  <c r="M18" i="46" s="1"/>
  <c r="N36" i="37"/>
  <c r="K10" i="75" s="1"/>
  <c r="K11" i="75" s="1"/>
  <c r="N51" i="37"/>
  <c r="AJ67" i="30"/>
  <c r="AJ76" i="30"/>
  <c r="O34" i="37"/>
  <c r="L12" i="75" s="1"/>
  <c r="O11" i="42"/>
  <c r="AH71" i="30"/>
  <c r="AH73" i="30" s="1"/>
  <c r="M130" i="38"/>
  <c r="M178" i="37"/>
  <c r="M180" i="37" s="1"/>
  <c r="M38" i="37"/>
  <c r="AD13" i="30"/>
  <c r="M43" i="37"/>
  <c r="M247" i="39"/>
  <c r="M250" i="39" s="1"/>
  <c r="I14" i="46"/>
  <c r="M50" i="37"/>
  <c r="Q254" i="39"/>
  <c r="Q255" i="39" s="1"/>
  <c r="Q359" i="39" s="1"/>
  <c r="Q361" i="39" s="1"/>
  <c r="Q215" i="38"/>
  <c r="Q217" i="38" s="1"/>
  <c r="Q100" i="37"/>
  <c r="P302" i="37"/>
  <c r="AJ12" i="30"/>
  <c r="P222" i="39"/>
  <c r="P224" i="39" s="1"/>
  <c r="P263" i="39" s="1"/>
  <c r="P41" i="37"/>
  <c r="P13" i="37"/>
  <c r="O166" i="38"/>
  <c r="O191" i="38" s="1"/>
  <c r="O236" i="37"/>
  <c r="O496" i="39"/>
  <c r="P215" i="38"/>
  <c r="P217" i="38" s="1"/>
  <c r="P169" i="38" s="1"/>
  <c r="P100" i="37"/>
  <c r="P63" i="37" s="1"/>
  <c r="P254" i="39"/>
  <c r="P255" i="39" s="1"/>
  <c r="P359" i="39" s="1"/>
  <c r="Q228" i="37"/>
  <c r="Q10" i="37"/>
  <c r="Q507" i="39"/>
  <c r="Q327" i="39" s="1"/>
  <c r="M340" i="39"/>
  <c r="M510" i="39" s="1"/>
  <c r="M511" i="39" s="1"/>
  <c r="Q42" i="37"/>
  <c r="Q228" i="39"/>
  <c r="O207" i="37"/>
  <c r="O25" i="37" s="1"/>
  <c r="O294" i="37" s="1"/>
  <c r="O295" i="37" s="1"/>
  <c r="O296" i="37" s="1"/>
  <c r="L43" i="40"/>
  <c r="AH75" i="11"/>
  <c r="AH77" i="11" s="1"/>
  <c r="L74" i="40" s="1"/>
  <c r="J28" i="40"/>
  <c r="J34" i="40"/>
  <c r="G43" i="38"/>
  <c r="D43" i="38"/>
  <c r="F43" i="38"/>
  <c r="C43" i="38"/>
  <c r="E43" i="38"/>
  <c r="F36" i="38"/>
  <c r="P492" i="39"/>
  <c r="P165" i="64"/>
  <c r="Q166" i="64"/>
  <c r="J17" i="40"/>
  <c r="AF29" i="11"/>
  <c r="AF22" i="11"/>
  <c r="H36" i="8"/>
  <c r="I29" i="8"/>
  <c r="I30" i="8" s="1"/>
  <c r="O51" i="36"/>
  <c r="O44" i="36"/>
  <c r="AH14" i="11"/>
  <c r="O36" i="36"/>
  <c r="L10" i="76" s="1"/>
  <c r="L11" i="76" s="1"/>
  <c r="P501" i="39"/>
  <c r="P316" i="39"/>
  <c r="P236" i="36"/>
  <c r="P71" i="36"/>
  <c r="F23" i="45"/>
  <c r="G21" i="45" s="1"/>
  <c r="Q492" i="39"/>
  <c r="Q165" i="64"/>
  <c r="N44" i="30"/>
  <c r="X44" i="30" s="1"/>
  <c r="Q48" i="21"/>
  <c r="O10" i="18" s="1"/>
  <c r="L328" i="39"/>
  <c r="L340" i="39"/>
  <c r="P52" i="39"/>
  <c r="O52" i="39"/>
  <c r="O493" i="39"/>
  <c r="O494" i="39" s="1"/>
  <c r="O314" i="39"/>
  <c r="L179" i="64"/>
  <c r="L191" i="64"/>
  <c r="N182" i="36"/>
  <c r="N184" i="36" s="1"/>
  <c r="N128" i="64"/>
  <c r="N148" i="64" s="1"/>
  <c r="C43" i="64"/>
  <c r="D43" i="64"/>
  <c r="G43" i="64"/>
  <c r="F43" i="64"/>
  <c r="E43" i="64"/>
  <c r="F36" i="64"/>
  <c r="Q501" i="39"/>
  <c r="Q316" i="39"/>
  <c r="A31" i="69"/>
  <c r="B30" i="69"/>
  <c r="L192" i="38"/>
  <c r="M212" i="38"/>
  <c r="O84" i="37"/>
  <c r="Q236" i="36"/>
  <c r="Q71" i="36"/>
  <c r="Q165" i="38"/>
  <c r="M192" i="64"/>
  <c r="K189" i="36"/>
  <c r="K187" i="36"/>
  <c r="K188" i="36"/>
  <c r="H27" i="40"/>
  <c r="H33" i="40"/>
  <c r="O95" i="37"/>
  <c r="N46" i="30"/>
  <c r="X46" i="30" s="1"/>
  <c r="Q59" i="21"/>
  <c r="O12" i="18" s="1"/>
  <c r="O231" i="39"/>
  <c r="O264" i="39" s="1"/>
  <c r="N18" i="41"/>
  <c r="P28" i="41"/>
  <c r="L28" i="41"/>
  <c r="AJ14" i="11"/>
  <c r="Q49" i="1"/>
  <c r="Q50" i="1" s="1"/>
  <c r="P50" i="1"/>
  <c r="F15" i="45"/>
  <c r="G13" i="45" s="1"/>
  <c r="N313" i="64"/>
  <c r="N312" i="64"/>
  <c r="N147" i="64"/>
  <c r="N29" i="64" s="1"/>
  <c r="N157" i="64"/>
  <c r="N314" i="64"/>
  <c r="N151" i="64"/>
  <c r="N505" i="39"/>
  <c r="N504" i="39"/>
  <c r="N326" i="39"/>
  <c r="N328" i="39" s="1"/>
  <c r="P165" i="38"/>
  <c r="P315" i="39"/>
  <c r="P177" i="38"/>
  <c r="P179" i="38" s="1"/>
  <c r="P73" i="37"/>
  <c r="G36" i="23"/>
  <c r="H29" i="23"/>
  <c r="H30" i="23" s="1"/>
  <c r="Q177" i="38"/>
  <c r="Q179" i="38" s="1"/>
  <c r="Q73" i="37"/>
  <c r="N47" i="30"/>
  <c r="X47" i="30" s="1"/>
  <c r="Q60" i="21"/>
  <c r="O51" i="71"/>
  <c r="T51" i="71" s="1"/>
  <c r="Y51" i="71" s="1"/>
  <c r="K54" i="69"/>
  <c r="P54" i="69" s="1"/>
  <c r="O84" i="36"/>
  <c r="I18" i="41"/>
  <c r="G28" i="41"/>
  <c r="O503" i="39"/>
  <c r="O177" i="64"/>
  <c r="O179" i="64" s="1"/>
  <c r="O73" i="36"/>
  <c r="H32" i="30"/>
  <c r="L23" i="45"/>
  <c r="M22" i="45" s="1"/>
  <c r="L15" i="45"/>
  <c r="M14" i="45" s="1"/>
  <c r="N191" i="64"/>
  <c r="N45" i="30"/>
  <c r="X45" i="30" s="1"/>
  <c r="Q49" i="21"/>
  <c r="O11" i="18" s="1"/>
  <c r="Q221" i="39"/>
  <c r="Q302" i="36"/>
  <c r="Q41" i="36"/>
  <c r="Q13" i="36"/>
  <c r="Q34" i="36" s="1"/>
  <c r="N12" i="76" s="1"/>
  <c r="N206" i="36"/>
  <c r="O203" i="36" s="1"/>
  <c r="L427" i="39"/>
  <c r="M410" i="39"/>
  <c r="M393" i="39" s="1"/>
  <c r="M108" i="39"/>
  <c r="O108" i="39" s="1"/>
  <c r="Q108" i="39" s="1"/>
  <c r="O100" i="39"/>
  <c r="Q100" i="39" s="1"/>
  <c r="L425" i="39"/>
  <c r="M408" i="39"/>
  <c r="M106" i="39"/>
  <c r="O98" i="39"/>
  <c r="Q98" i="39" s="1"/>
  <c r="P206" i="37"/>
  <c r="Q203" i="37" s="1"/>
  <c r="X64" i="40"/>
  <c r="X73" i="40"/>
  <c r="M207" i="36"/>
  <c r="M25" i="36" s="1"/>
  <c r="U37" i="71"/>
  <c r="Q39" i="69"/>
  <c r="Z37" i="71" s="1"/>
  <c r="M478" i="39"/>
  <c r="H49" i="39"/>
  <c r="F20" i="69" s="1"/>
  <c r="O249" i="39" l="1"/>
  <c r="Q241" i="39"/>
  <c r="N16" i="75"/>
  <c r="AH39" i="30"/>
  <c r="AH75" i="30" s="1"/>
  <c r="AH77" i="30" s="1"/>
  <c r="L18" i="75"/>
  <c r="L13" i="75"/>
  <c r="L14" i="75"/>
  <c r="L15" i="75" s="1"/>
  <c r="K20" i="75"/>
  <c r="J20" i="75"/>
  <c r="P77" i="39"/>
  <c r="P29" i="39" s="1"/>
  <c r="P31" i="39" s="1"/>
  <c r="P44" i="36"/>
  <c r="M12" i="76"/>
  <c r="N13" i="76"/>
  <c r="N14" i="76"/>
  <c r="N15" i="76" s="1"/>
  <c r="N19" i="76" s="1"/>
  <c r="P36" i="36"/>
  <c r="M10" i="76" s="1"/>
  <c r="M11" i="76" s="1"/>
  <c r="L20" i="76"/>
  <c r="P51" i="36"/>
  <c r="Q63" i="37"/>
  <c r="N207" i="36"/>
  <c r="N25" i="36" s="1"/>
  <c r="N294" i="36" s="1"/>
  <c r="N295" i="36" s="1"/>
  <c r="N296" i="36" s="1"/>
  <c r="Q508" i="39"/>
  <c r="M356" i="39"/>
  <c r="T43" i="40" s="1"/>
  <c r="T72" i="40" s="1"/>
  <c r="Z42" i="40"/>
  <c r="Z64" i="40" s="1"/>
  <c r="P361" i="39"/>
  <c r="P318" i="39" s="1"/>
  <c r="Q318" i="39" s="1"/>
  <c r="N410" i="39"/>
  <c r="N393" i="39" s="1"/>
  <c r="M427" i="39"/>
  <c r="I15" i="46"/>
  <c r="J13" i="46" s="1"/>
  <c r="Q169" i="38"/>
  <c r="H50" i="39"/>
  <c r="G22" i="45"/>
  <c r="N130" i="38"/>
  <c r="N38" i="37"/>
  <c r="N50" i="37"/>
  <c r="AF13" i="30"/>
  <c r="N43" i="37"/>
  <c r="N178" i="37"/>
  <c r="N180" i="37" s="1"/>
  <c r="N247" i="39"/>
  <c r="N250" i="39" s="1"/>
  <c r="L14" i="46"/>
  <c r="M17" i="46"/>
  <c r="AJ21" i="30"/>
  <c r="AL12" i="30"/>
  <c r="Q302" i="37"/>
  <c r="Q41" i="37"/>
  <c r="Q13" i="37"/>
  <c r="Q222" i="39"/>
  <c r="Q224" i="39" s="1"/>
  <c r="Q263" i="39" s="1"/>
  <c r="Q262" i="39" s="1"/>
  <c r="M312" i="38"/>
  <c r="M314" i="38"/>
  <c r="M313" i="38"/>
  <c r="M157" i="38"/>
  <c r="M151" i="38"/>
  <c r="M147" i="38"/>
  <c r="M29" i="38" s="1"/>
  <c r="Q229" i="37"/>
  <c r="Q60" i="37"/>
  <c r="Q83" i="37" s="1"/>
  <c r="Q84" i="37" s="1"/>
  <c r="P34" i="37"/>
  <c r="M12" i="75" s="1"/>
  <c r="AJ71" i="30"/>
  <c r="AJ73" i="30" s="1"/>
  <c r="P11" i="42"/>
  <c r="AF23" i="30"/>
  <c r="AF30" i="30"/>
  <c r="J18" i="46"/>
  <c r="O36" i="37"/>
  <c r="L10" i="75" s="1"/>
  <c r="L11" i="75" s="1"/>
  <c r="O44" i="37"/>
  <c r="O51" i="37"/>
  <c r="AH14" i="30"/>
  <c r="AD22" i="30"/>
  <c r="AD29" i="30"/>
  <c r="P262" i="39"/>
  <c r="P497" i="39" s="1"/>
  <c r="P498" i="39" s="1"/>
  <c r="P296" i="39"/>
  <c r="Z16" i="40"/>
  <c r="Z26" i="40" s="1"/>
  <c r="O497" i="39"/>
  <c r="O498" i="39" s="1"/>
  <c r="O315" i="39"/>
  <c r="M182" i="37"/>
  <c r="M184" i="37" s="1"/>
  <c r="M128" i="38"/>
  <c r="M148" i="38" s="1"/>
  <c r="P207" i="37"/>
  <c r="P25" i="37" s="1"/>
  <c r="N192" i="64"/>
  <c r="M13" i="45"/>
  <c r="H36" i="23"/>
  <c r="I29" i="23"/>
  <c r="I30" i="23" s="1"/>
  <c r="O192" i="38"/>
  <c r="O212" i="38"/>
  <c r="G14" i="45"/>
  <c r="N18" i="40"/>
  <c r="AJ23" i="11"/>
  <c r="AJ30" i="11"/>
  <c r="AL14" i="11"/>
  <c r="Q503" i="39"/>
  <c r="Q177" i="64"/>
  <c r="Q179" i="64" s="1"/>
  <c r="Q73" i="36"/>
  <c r="N340" i="39"/>
  <c r="O191" i="64"/>
  <c r="M21" i="45"/>
  <c r="P84" i="37"/>
  <c r="O297" i="39"/>
  <c r="N212" i="64"/>
  <c r="Q83" i="36"/>
  <c r="Q84" i="36" s="1"/>
  <c r="P503" i="39"/>
  <c r="P177" i="64"/>
  <c r="P179" i="64" s="1"/>
  <c r="P73" i="36"/>
  <c r="O50" i="36"/>
  <c r="O246" i="39"/>
  <c r="O178" i="36"/>
  <c r="O180" i="36" s="1"/>
  <c r="O130" i="64"/>
  <c r="O43" i="36"/>
  <c r="O38" i="36"/>
  <c r="AH13" i="11"/>
  <c r="I36" i="8"/>
  <c r="J29" i="8"/>
  <c r="J30" i="8" s="1"/>
  <c r="P83" i="36"/>
  <c r="Q44" i="36"/>
  <c r="Q51" i="36"/>
  <c r="Q36" i="36"/>
  <c r="N10" i="76" s="1"/>
  <c r="P191" i="38"/>
  <c r="P212" i="38" s="1"/>
  <c r="P95" i="37"/>
  <c r="L18" i="40"/>
  <c r="AH30" i="11"/>
  <c r="AH23" i="11"/>
  <c r="O504" i="39"/>
  <c r="O505" i="39"/>
  <c r="O326" i="39"/>
  <c r="O328" i="39" s="1"/>
  <c r="P130" i="64"/>
  <c r="P50" i="36"/>
  <c r="P38" i="36"/>
  <c r="AJ13" i="11"/>
  <c r="P178" i="36"/>
  <c r="P180" i="36" s="1"/>
  <c r="P246" i="39"/>
  <c r="P43" i="36"/>
  <c r="B31" i="69"/>
  <c r="A32" i="69"/>
  <c r="B32" i="69" s="1"/>
  <c r="L192" i="64"/>
  <c r="M212" i="64"/>
  <c r="Q493" i="39"/>
  <c r="Q494" i="39" s="1"/>
  <c r="Q314" i="39"/>
  <c r="J33" i="40"/>
  <c r="J27" i="40"/>
  <c r="P493" i="39"/>
  <c r="P494" i="39" s="1"/>
  <c r="P314" i="39"/>
  <c r="O206" i="36"/>
  <c r="P203" i="36" s="1"/>
  <c r="O207" i="36"/>
  <c r="O25" i="36" s="1"/>
  <c r="M35" i="42"/>
  <c r="M294" i="36"/>
  <c r="M295" i="36" s="1"/>
  <c r="M296" i="36" s="1"/>
  <c r="Q206" i="37"/>
  <c r="Q207" i="37" s="1"/>
  <c r="Q25" i="37" s="1"/>
  <c r="Q294" i="37" s="1"/>
  <c r="Q295" i="37" s="1"/>
  <c r="Q296" i="37" s="1"/>
  <c r="M481" i="39"/>
  <c r="N478" i="39" s="1"/>
  <c r="M484" i="39"/>
  <c r="O106" i="39"/>
  <c r="M13" i="75" l="1"/>
  <c r="M14" i="75"/>
  <c r="M15" i="75" s="1"/>
  <c r="P229" i="39"/>
  <c r="G54" i="69"/>
  <c r="AJ39" i="30"/>
  <c r="AJ75" i="30" s="1"/>
  <c r="M18" i="75"/>
  <c r="L19" i="75"/>
  <c r="O37" i="76"/>
  <c r="Q37" i="76"/>
  <c r="M37" i="76"/>
  <c r="N37" i="76"/>
  <c r="I37" i="76"/>
  <c r="H37" i="76"/>
  <c r="L37" i="76"/>
  <c r="L43" i="76" s="1"/>
  <c r="G37" i="76"/>
  <c r="K37" i="76"/>
  <c r="P37" i="76"/>
  <c r="J37" i="76"/>
  <c r="R37" i="76"/>
  <c r="R43" i="76" s="1"/>
  <c r="M14" i="76"/>
  <c r="M15" i="76" s="1"/>
  <c r="M19" i="76" s="1"/>
  <c r="M13" i="76"/>
  <c r="Q43" i="76"/>
  <c r="P43" i="76"/>
  <c r="N11" i="76"/>
  <c r="I31" i="76"/>
  <c r="K31" i="76"/>
  <c r="H31" i="76"/>
  <c r="G31" i="76"/>
  <c r="J25" i="76"/>
  <c r="I25" i="76"/>
  <c r="H25" i="76"/>
  <c r="K25" i="76"/>
  <c r="L31" i="76"/>
  <c r="G25" i="76"/>
  <c r="L25" i="76"/>
  <c r="J31" i="76"/>
  <c r="N25" i="76"/>
  <c r="N31" i="76"/>
  <c r="Q25" i="76"/>
  <c r="O25" i="76"/>
  <c r="O31" i="76"/>
  <c r="M25" i="76"/>
  <c r="Q31" i="76"/>
  <c r="M31" i="76"/>
  <c r="P31" i="76"/>
  <c r="R25" i="76"/>
  <c r="R31" i="76"/>
  <c r="P25" i="76"/>
  <c r="I43" i="76"/>
  <c r="H43" i="76"/>
  <c r="M43" i="76"/>
  <c r="Q95" i="37"/>
  <c r="N18" i="75" s="1"/>
  <c r="N35" i="42"/>
  <c r="AJ77" i="30"/>
  <c r="Z73" i="40"/>
  <c r="P191" i="64"/>
  <c r="P212" i="64" s="1"/>
  <c r="J14" i="46"/>
  <c r="Q191" i="64"/>
  <c r="Q192" i="64" s="1"/>
  <c r="O410" i="39"/>
  <c r="O393" i="39" s="1"/>
  <c r="P410" i="39" s="1"/>
  <c r="N427" i="39"/>
  <c r="L15" i="46"/>
  <c r="M13" i="46" s="1"/>
  <c r="Q296" i="39"/>
  <c r="AH13" i="30"/>
  <c r="O247" i="39"/>
  <c r="O250" i="39" s="1"/>
  <c r="O178" i="37"/>
  <c r="O180" i="37" s="1"/>
  <c r="O50" i="37"/>
  <c r="O38" i="37"/>
  <c r="O130" i="38"/>
  <c r="O43" i="37"/>
  <c r="Q34" i="37"/>
  <c r="N12" i="75" s="1"/>
  <c r="Q11" i="42"/>
  <c r="AH30" i="30"/>
  <c r="AH23" i="30"/>
  <c r="N312" i="38"/>
  <c r="N151" i="38"/>
  <c r="N314" i="38"/>
  <c r="N313" i="38"/>
  <c r="N147" i="38"/>
  <c r="N29" i="38" s="1"/>
  <c r="N157" i="38"/>
  <c r="AF29" i="30"/>
  <c r="AF22" i="30"/>
  <c r="N182" i="37"/>
  <c r="N184" i="37" s="1"/>
  <c r="N128" i="38"/>
  <c r="N148" i="38" s="1"/>
  <c r="P51" i="37"/>
  <c r="P36" i="37"/>
  <c r="M10" i="75" s="1"/>
  <c r="M11" i="75" s="1"/>
  <c r="AJ14" i="30"/>
  <c r="P44" i="37"/>
  <c r="Q166" i="38"/>
  <c r="Q191" i="38" s="1"/>
  <c r="Q192" i="38" s="1"/>
  <c r="Q236" i="37"/>
  <c r="Q496" i="39"/>
  <c r="Q504" i="39" s="1"/>
  <c r="P294" i="37"/>
  <c r="P295" i="37" s="1"/>
  <c r="P296" i="37" s="1"/>
  <c r="AJ22" i="11"/>
  <c r="AL13" i="11"/>
  <c r="N17" i="40"/>
  <c r="AJ29" i="11"/>
  <c r="L28" i="40"/>
  <c r="L34" i="40"/>
  <c r="O128" i="64"/>
  <c r="O148" i="64" s="1"/>
  <c r="O182" i="36"/>
  <c r="O184" i="36" s="1"/>
  <c r="P505" i="39"/>
  <c r="P504" i="39"/>
  <c r="P326" i="39"/>
  <c r="P328" i="39" s="1"/>
  <c r="N510" i="39"/>
  <c r="N511" i="39" s="1"/>
  <c r="N356" i="39"/>
  <c r="V43" i="40" s="1"/>
  <c r="V72" i="40" s="1"/>
  <c r="P128" i="64"/>
  <c r="P148" i="64" s="1"/>
  <c r="P182" i="36"/>
  <c r="P184" i="36" s="1"/>
  <c r="Q178" i="36"/>
  <c r="Q180" i="36" s="1"/>
  <c r="Q43" i="36"/>
  <c r="Q50" i="36"/>
  <c r="Q130" i="64"/>
  <c r="Q38" i="36"/>
  <c r="Q246" i="39"/>
  <c r="J36" i="8"/>
  <c r="K29" i="8"/>
  <c r="K30" i="8" s="1"/>
  <c r="M29" i="8"/>
  <c r="M30" i="8" s="1"/>
  <c r="O192" i="64"/>
  <c r="Q505" i="39"/>
  <c r="Q326" i="39"/>
  <c r="Q328" i="39" s="1"/>
  <c r="P34" i="40"/>
  <c r="N34" i="40"/>
  <c r="N28" i="40"/>
  <c r="P84" i="36"/>
  <c r="Q95" i="36"/>
  <c r="P95" i="36"/>
  <c r="AJ39" i="11" s="1"/>
  <c r="O314" i="64"/>
  <c r="O157" i="64"/>
  <c r="O312" i="64"/>
  <c r="O313" i="64"/>
  <c r="O147" i="64"/>
  <c r="O29" i="64" s="1"/>
  <c r="O151" i="64"/>
  <c r="O340" i="39"/>
  <c r="O356" i="39" s="1"/>
  <c r="X43" i="40" s="1"/>
  <c r="X72" i="40" s="1"/>
  <c r="I36" i="23"/>
  <c r="J29" i="23"/>
  <c r="J30" i="23" s="1"/>
  <c r="O212" i="64"/>
  <c r="P314" i="64"/>
  <c r="P147" i="64"/>
  <c r="P29" i="64" s="1"/>
  <c r="P151" i="64"/>
  <c r="P312" i="64"/>
  <c r="P157" i="64"/>
  <c r="P313" i="64"/>
  <c r="P192" i="64"/>
  <c r="P192" i="38"/>
  <c r="AH29" i="11"/>
  <c r="AH22" i="11"/>
  <c r="L17" i="40"/>
  <c r="P206" i="36"/>
  <c r="Q203" i="36" s="1"/>
  <c r="M487" i="39"/>
  <c r="N484" i="39" s="1"/>
  <c r="M482" i="39"/>
  <c r="M279" i="39" s="1"/>
  <c r="M36" i="42" s="1"/>
  <c r="O35" i="42"/>
  <c r="O294" i="36"/>
  <c r="O295" i="36" s="1"/>
  <c r="O296" i="36" s="1"/>
  <c r="N481" i="39"/>
  <c r="O478" i="39" s="1"/>
  <c r="Q106" i="39"/>
  <c r="O24" i="75" l="1"/>
  <c r="G36" i="75"/>
  <c r="N36" i="75"/>
  <c r="G24" i="75"/>
  <c r="H24" i="75"/>
  <c r="J24" i="75"/>
  <c r="L20" i="75"/>
  <c r="I36" i="75"/>
  <c r="H36" i="75"/>
  <c r="I24" i="75"/>
  <c r="P51" i="71"/>
  <c r="U51" i="71" s="1"/>
  <c r="Z51" i="71" s="1"/>
  <c r="L54" i="69"/>
  <c r="Q54" i="69" s="1"/>
  <c r="N13" i="75"/>
  <c r="N14" i="75"/>
  <c r="N15" i="75" s="1"/>
  <c r="N19" i="75" s="1"/>
  <c r="P36" i="75" s="1"/>
  <c r="Q229" i="39"/>
  <c r="P249" i="39"/>
  <c r="P231" i="39"/>
  <c r="P264" i="39" s="1"/>
  <c r="P297" i="39" s="1"/>
  <c r="P14" i="42"/>
  <c r="M19" i="75"/>
  <c r="L36" i="75" s="1"/>
  <c r="G43" i="76"/>
  <c r="J24" i="76"/>
  <c r="J26" i="76" s="1"/>
  <c r="J28" i="76" s="1"/>
  <c r="L24" i="76"/>
  <c r="G24" i="76"/>
  <c r="G26" i="76" s="1"/>
  <c r="G28" i="76" s="1"/>
  <c r="O36" i="76"/>
  <c r="O38" i="76" s="1"/>
  <c r="O40" i="76" s="1"/>
  <c r="P36" i="76"/>
  <c r="P38" i="76" s="1"/>
  <c r="P40" i="76" s="1"/>
  <c r="L36" i="76"/>
  <c r="L38" i="76" s="1"/>
  <c r="L40" i="76" s="1"/>
  <c r="N36" i="76"/>
  <c r="N38" i="76" s="1"/>
  <c r="N40" i="76" s="1"/>
  <c r="K24" i="76"/>
  <c r="P24" i="76"/>
  <c r="K36" i="76"/>
  <c r="K38" i="76" s="1"/>
  <c r="K40" i="76" s="1"/>
  <c r="Q36" i="76"/>
  <c r="Q38" i="76" s="1"/>
  <c r="Q40" i="76" s="1"/>
  <c r="N20" i="76"/>
  <c r="M24" i="76"/>
  <c r="M26" i="76" s="1"/>
  <c r="O24" i="76"/>
  <c r="I24" i="76"/>
  <c r="M36" i="76"/>
  <c r="M38" i="76" s="1"/>
  <c r="M40" i="76" s="1"/>
  <c r="G36" i="76"/>
  <c r="G38" i="76" s="1"/>
  <c r="G40" i="76" s="1"/>
  <c r="I36" i="76"/>
  <c r="I38" i="76" s="1"/>
  <c r="I40" i="76" s="1"/>
  <c r="H36" i="76"/>
  <c r="H38" i="76" s="1"/>
  <c r="H40" i="76" s="1"/>
  <c r="R36" i="76"/>
  <c r="R38" i="76" s="1"/>
  <c r="R40" i="76" s="1"/>
  <c r="N24" i="76"/>
  <c r="N26" i="76" s="1"/>
  <c r="J36" i="76"/>
  <c r="J38" i="76" s="1"/>
  <c r="J40" i="76" s="1"/>
  <c r="Q24" i="76"/>
  <c r="H24" i="76"/>
  <c r="R24" i="76"/>
  <c r="R26" i="76" s="1"/>
  <c r="R28" i="76" s="1"/>
  <c r="M20" i="76"/>
  <c r="I42" i="76"/>
  <c r="J42" i="76"/>
  <c r="J43" i="76"/>
  <c r="L42" i="76"/>
  <c r="N42" i="76"/>
  <c r="N43" i="76"/>
  <c r="K43" i="76"/>
  <c r="O43" i="76"/>
  <c r="L26" i="76"/>
  <c r="L28" i="76" s="1"/>
  <c r="P26" i="76"/>
  <c r="P28" i="76" s="1"/>
  <c r="O26" i="76"/>
  <c r="O28" i="76" s="1"/>
  <c r="K26" i="76"/>
  <c r="K28" i="76" s="1"/>
  <c r="Q26" i="76"/>
  <c r="Q28" i="76" s="1"/>
  <c r="H26" i="76"/>
  <c r="I26" i="76"/>
  <c r="I28" i="76" s="1"/>
  <c r="I30" i="76"/>
  <c r="Q212" i="38"/>
  <c r="Q212" i="64"/>
  <c r="O427" i="39"/>
  <c r="M14" i="46"/>
  <c r="O128" i="38"/>
  <c r="O148" i="38" s="1"/>
  <c r="O182" i="37"/>
  <c r="O184" i="37" s="1"/>
  <c r="AJ30" i="30"/>
  <c r="AJ23" i="30"/>
  <c r="AL14" i="30"/>
  <c r="Q315" i="39"/>
  <c r="Q340" i="39" s="1"/>
  <c r="Q510" i="39" s="1"/>
  <c r="Q511" i="39" s="1"/>
  <c r="Q497" i="39"/>
  <c r="Q498" i="39" s="1"/>
  <c r="O314" i="38"/>
  <c r="O157" i="38"/>
  <c r="O147" i="38"/>
  <c r="O29" i="38" s="1"/>
  <c r="O312" i="38"/>
  <c r="O313" i="38"/>
  <c r="O151" i="38"/>
  <c r="P43" i="37"/>
  <c r="AJ13" i="30"/>
  <c r="P130" i="38"/>
  <c r="P50" i="37"/>
  <c r="P38" i="37"/>
  <c r="P178" i="37"/>
  <c r="P180" i="37" s="1"/>
  <c r="P247" i="39"/>
  <c r="AH22" i="30"/>
  <c r="AH29" i="30"/>
  <c r="Q36" i="37"/>
  <c r="N10" i="75" s="1"/>
  <c r="Q44" i="37"/>
  <c r="Q51" i="37"/>
  <c r="N43" i="40"/>
  <c r="AJ75" i="11"/>
  <c r="AJ77" i="11" s="1"/>
  <c r="N74" i="40" s="1"/>
  <c r="P29" i="8"/>
  <c r="P30" i="8" s="1"/>
  <c r="P36" i="8" s="1"/>
  <c r="M36" i="8"/>
  <c r="Q128" i="64"/>
  <c r="Q148" i="64" s="1"/>
  <c r="Q182" i="36"/>
  <c r="Q184" i="36" s="1"/>
  <c r="P33" i="40"/>
  <c r="N33" i="40"/>
  <c r="N27" i="40"/>
  <c r="L33" i="40"/>
  <c r="L27" i="40"/>
  <c r="M29" i="23"/>
  <c r="M30" i="23" s="1"/>
  <c r="J36" i="23"/>
  <c r="K29" i="23"/>
  <c r="K30" i="23" s="1"/>
  <c r="O510" i="39"/>
  <c r="O511" i="39" s="1"/>
  <c r="N29" i="8"/>
  <c r="N30" i="8" s="1"/>
  <c r="N36" i="8" s="1"/>
  <c r="K36" i="8"/>
  <c r="Q313" i="64"/>
  <c r="Q314" i="64"/>
  <c r="Q157" i="64"/>
  <c r="Q312" i="64"/>
  <c r="Q151" i="64"/>
  <c r="Q147" i="64"/>
  <c r="Q29" i="64" s="1"/>
  <c r="P340" i="39"/>
  <c r="P356" i="39" s="1"/>
  <c r="Z43" i="40" s="1"/>
  <c r="Z72" i="40" s="1"/>
  <c r="N487" i="39"/>
  <c r="O484" i="39" s="1"/>
  <c r="O481" i="39"/>
  <c r="P478" i="39" s="1"/>
  <c r="N482" i="39"/>
  <c r="N279" i="39" s="1"/>
  <c r="P207" i="36"/>
  <c r="P25" i="36" s="1"/>
  <c r="M281" i="39"/>
  <c r="Q206" i="36"/>
  <c r="Q207" i="36" s="1"/>
  <c r="Q25" i="36" s="1"/>
  <c r="M488" i="39"/>
  <c r="M364" i="39" s="1"/>
  <c r="P393" i="39"/>
  <c r="Q410" i="39" s="1"/>
  <c r="P250" i="39" l="1"/>
  <c r="Q36" i="75"/>
  <c r="Q38" i="75" s="1"/>
  <c r="Q40" i="75" s="1"/>
  <c r="R36" i="75"/>
  <c r="R38" i="75" s="1"/>
  <c r="R40" i="75" s="1"/>
  <c r="J36" i="75"/>
  <c r="J38" i="75" s="1"/>
  <c r="J40" i="75" s="1"/>
  <c r="K36" i="75"/>
  <c r="K38" i="75" s="1"/>
  <c r="K40" i="75" s="1"/>
  <c r="L24" i="75"/>
  <c r="K24" i="75"/>
  <c r="G38" i="75"/>
  <c r="G40" i="75" s="1"/>
  <c r="Q14" i="42"/>
  <c r="Q249" i="39"/>
  <c r="Q231" i="39"/>
  <c r="Q264" i="39" s="1"/>
  <c r="Q297" i="39" s="1"/>
  <c r="G26" i="75"/>
  <c r="G28" i="75" s="1"/>
  <c r="M24" i="75"/>
  <c r="M26" i="75" s="1"/>
  <c r="M28" i="75" s="1"/>
  <c r="I37" i="75"/>
  <c r="I38" i="75" s="1"/>
  <c r="I40" i="75" s="1"/>
  <c r="L37" i="75"/>
  <c r="Q37" i="75"/>
  <c r="K37" i="75"/>
  <c r="G37" i="75"/>
  <c r="J37" i="75"/>
  <c r="N37" i="75"/>
  <c r="N38" i="75" s="1"/>
  <c r="N40" i="75" s="1"/>
  <c r="P37" i="75"/>
  <c r="O37" i="75"/>
  <c r="M37" i="75"/>
  <c r="R37" i="75"/>
  <c r="H37" i="75"/>
  <c r="H38" i="75" s="1"/>
  <c r="H40" i="75" s="1"/>
  <c r="N20" i="75"/>
  <c r="P24" i="75"/>
  <c r="O36" i="75"/>
  <c r="M36" i="75"/>
  <c r="N11" i="75"/>
  <c r="J25" i="75"/>
  <c r="N25" i="75"/>
  <c r="G25" i="75"/>
  <c r="R25" i="75"/>
  <c r="H25" i="75"/>
  <c r="P25" i="75"/>
  <c r="I25" i="75"/>
  <c r="K25" i="75"/>
  <c r="O25" i="75"/>
  <c r="O26" i="75" s="1"/>
  <c r="O28" i="75" s="1"/>
  <c r="Q25" i="75"/>
  <c r="L25" i="75"/>
  <c r="M25" i="75"/>
  <c r="I31" i="75"/>
  <c r="O31" i="75"/>
  <c r="M31" i="75"/>
  <c r="L31" i="75"/>
  <c r="Q31" i="75"/>
  <c r="N31" i="75"/>
  <c r="P31" i="75"/>
  <c r="K31" i="75"/>
  <c r="R31" i="75"/>
  <c r="J31" i="75"/>
  <c r="G31" i="75"/>
  <c r="H31" i="75"/>
  <c r="Q24" i="75"/>
  <c r="Q26" i="75" s="1"/>
  <c r="Q28" i="75" s="1"/>
  <c r="N24" i="75"/>
  <c r="N26" i="75" s="1"/>
  <c r="N28" i="75" s="1"/>
  <c r="R24" i="75"/>
  <c r="R26" i="75" s="1"/>
  <c r="R28" i="75" s="1"/>
  <c r="M20" i="75"/>
  <c r="M28" i="76"/>
  <c r="M30" i="76"/>
  <c r="R42" i="76"/>
  <c r="P42" i="76"/>
  <c r="O42" i="76"/>
  <c r="Q42" i="76"/>
  <c r="H42" i="76"/>
  <c r="Q30" i="76"/>
  <c r="M42" i="76"/>
  <c r="K30" i="76"/>
  <c r="K42" i="76"/>
  <c r="G42" i="76"/>
  <c r="J30" i="76"/>
  <c r="N28" i="76"/>
  <c r="P30" i="76"/>
  <c r="G30" i="76"/>
  <c r="R30" i="76"/>
  <c r="O30" i="76"/>
  <c r="H28" i="76"/>
  <c r="H30" i="76"/>
  <c r="N30" i="76"/>
  <c r="L30" i="76"/>
  <c r="P427" i="39"/>
  <c r="P314" i="38"/>
  <c r="P151" i="38"/>
  <c r="P147" i="38"/>
  <c r="P29" i="38" s="1"/>
  <c r="P313" i="38"/>
  <c r="P312" i="38"/>
  <c r="P157" i="38"/>
  <c r="Q50" i="37"/>
  <c r="Q43" i="37"/>
  <c r="Q247" i="39"/>
  <c r="Q250" i="39" s="1"/>
  <c r="Q178" i="37"/>
  <c r="Q180" i="37" s="1"/>
  <c r="Q130" i="38"/>
  <c r="Q38" i="37"/>
  <c r="P128" i="38"/>
  <c r="P148" i="38" s="1"/>
  <c r="P182" i="37"/>
  <c r="P184" i="37" s="1"/>
  <c r="AL13" i="30"/>
  <c r="AJ22" i="30"/>
  <c r="AJ29" i="30"/>
  <c r="K36" i="23"/>
  <c r="N29" i="23"/>
  <c r="N30" i="23" s="1"/>
  <c r="N36" i="23" s="1"/>
  <c r="P510" i="39"/>
  <c r="P511" i="39" s="1"/>
  <c r="Q356" i="39"/>
  <c r="P29" i="23"/>
  <c r="P30" i="23" s="1"/>
  <c r="P36" i="23" s="1"/>
  <c r="M36" i="23"/>
  <c r="N488" i="39"/>
  <c r="N364" i="39" s="1"/>
  <c r="Q35" i="42"/>
  <c r="Q294" i="36"/>
  <c r="Q295" i="36" s="1"/>
  <c r="Q296" i="36" s="1"/>
  <c r="O482" i="39"/>
  <c r="O279" i="39" s="1"/>
  <c r="N36" i="42"/>
  <c r="N281" i="39"/>
  <c r="P35" i="42"/>
  <c r="P294" i="36"/>
  <c r="P295" i="36" s="1"/>
  <c r="P296" i="36" s="1"/>
  <c r="O487" i="39"/>
  <c r="P484" i="39" s="1"/>
  <c r="Q393" i="39"/>
  <c r="Q427" i="39" s="1"/>
  <c r="P481" i="39"/>
  <c r="Q478" i="39" s="1"/>
  <c r="O38" i="75" l="1"/>
  <c r="O40" i="75" s="1"/>
  <c r="J43" i="75"/>
  <c r="J42" i="75"/>
  <c r="L26" i="75"/>
  <c r="L28" i="75" s="1"/>
  <c r="O30" i="75"/>
  <c r="M43" i="75"/>
  <c r="M42" i="75"/>
  <c r="P43" i="75"/>
  <c r="I26" i="75"/>
  <c r="I28" i="75" s="1"/>
  <c r="P26" i="75"/>
  <c r="P28" i="75" s="1"/>
  <c r="M30" i="75"/>
  <c r="R30" i="75"/>
  <c r="G43" i="75"/>
  <c r="G42" i="75"/>
  <c r="L43" i="75"/>
  <c r="O43" i="75"/>
  <c r="O42" i="75"/>
  <c r="M38" i="75"/>
  <c r="M40" i="75" s="1"/>
  <c r="P30" i="75"/>
  <c r="N43" i="75"/>
  <c r="N42" i="75"/>
  <c r="K43" i="75"/>
  <c r="K42" i="75"/>
  <c r="H26" i="75"/>
  <c r="H28" i="75" s="1"/>
  <c r="K30" i="75"/>
  <c r="I43" i="75"/>
  <c r="I42" i="75"/>
  <c r="K26" i="75"/>
  <c r="K28" i="75" s="1"/>
  <c r="G30" i="75"/>
  <c r="H43" i="75"/>
  <c r="H42" i="75"/>
  <c r="P38" i="75"/>
  <c r="P40" i="75" s="1"/>
  <c r="Q30" i="75"/>
  <c r="N30" i="75"/>
  <c r="R43" i="75"/>
  <c r="R42" i="75"/>
  <c r="Q43" i="75"/>
  <c r="Q42" i="75"/>
  <c r="J26" i="75"/>
  <c r="J28" i="75" s="1"/>
  <c r="L38" i="75"/>
  <c r="L40" i="75" s="1"/>
  <c r="Q157" i="38"/>
  <c r="Q313" i="38"/>
  <c r="Q147" i="38"/>
  <c r="Q29" i="38" s="1"/>
  <c r="Q151" i="38"/>
  <c r="Q312" i="38"/>
  <c r="Q314" i="38"/>
  <c r="Q128" i="38"/>
  <c r="Q148" i="38" s="1"/>
  <c r="Q182" i="37"/>
  <c r="Q184" i="37" s="1"/>
  <c r="P482" i="39"/>
  <c r="P279" i="39" s="1"/>
  <c r="P36" i="42" s="1"/>
  <c r="O488" i="39"/>
  <c r="O364" i="39" s="1"/>
  <c r="Q481" i="39"/>
  <c r="Q482" i="39" s="1"/>
  <c r="Q279" i="39" s="1"/>
  <c r="P487" i="39"/>
  <c r="Q484" i="39" s="1"/>
  <c r="O281" i="39"/>
  <c r="O36" i="42"/>
  <c r="L30" i="75" l="1"/>
  <c r="P42" i="75"/>
  <c r="J30" i="75"/>
  <c r="H30" i="75"/>
  <c r="L42" i="75"/>
  <c r="I30" i="75"/>
  <c r="P281" i="39"/>
  <c r="Q36" i="42"/>
  <c r="Q281" i="39"/>
  <c r="Q487" i="39"/>
  <c r="Q488" i="39" s="1"/>
  <c r="Q364" i="39" s="1"/>
  <c r="P488" i="39"/>
  <c r="P364" i="39" s="1"/>
  <c r="G29" i="76" l="1"/>
  <c r="H29" i="76"/>
  <c r="I29" i="76"/>
  <c r="J29" i="76"/>
  <c r="K29" i="76"/>
  <c r="L29" i="76"/>
  <c r="M29" i="76"/>
  <c r="N29" i="76"/>
  <c r="O29" i="76"/>
  <c r="P29" i="76"/>
  <c r="Q29" i="76"/>
  <c r="R29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G48" i="76"/>
  <c r="H48" i="76"/>
  <c r="I48" i="76"/>
  <c r="J48" i="76"/>
  <c r="K48" i="76"/>
  <c r="L48" i="76"/>
  <c r="M48" i="76"/>
  <c r="N48" i="76"/>
  <c r="O48" i="76"/>
  <c r="P48" i="76"/>
  <c r="Q48" i="76"/>
  <c r="R48" i="76"/>
  <c r="G49" i="76"/>
  <c r="H49" i="76"/>
  <c r="I49" i="76"/>
  <c r="J49" i="76"/>
  <c r="K49" i="76"/>
  <c r="L49" i="76"/>
  <c r="M49" i="76"/>
  <c r="N49" i="76"/>
  <c r="O49" i="76"/>
  <c r="P49" i="76"/>
  <c r="Q49" i="76"/>
  <c r="R49" i="76"/>
  <c r="G60" i="76"/>
  <c r="H60" i="76"/>
  <c r="I60" i="76"/>
  <c r="J60" i="76"/>
  <c r="K60" i="76"/>
  <c r="L60" i="76"/>
  <c r="M60" i="76"/>
  <c r="N60" i="76"/>
  <c r="O60" i="76"/>
  <c r="P60" i="76"/>
  <c r="Q60" i="76"/>
  <c r="R60" i="76"/>
  <c r="G61" i="76"/>
  <c r="H61" i="76"/>
  <c r="I61" i="76"/>
  <c r="J61" i="76"/>
  <c r="K61" i="76"/>
  <c r="L61" i="76"/>
  <c r="M61" i="76"/>
  <c r="N61" i="76"/>
  <c r="O61" i="76"/>
  <c r="P61" i="76"/>
  <c r="Q61" i="76"/>
  <c r="R61" i="76"/>
  <c r="G62" i="76"/>
  <c r="H62" i="76"/>
  <c r="I62" i="76"/>
  <c r="J62" i="76"/>
  <c r="K62" i="76"/>
  <c r="L62" i="76"/>
  <c r="M62" i="76"/>
  <c r="N62" i="76"/>
  <c r="O62" i="76"/>
  <c r="P62" i="76"/>
  <c r="Q62" i="76"/>
  <c r="R62" i="76"/>
  <c r="G63" i="76"/>
  <c r="H63" i="76"/>
  <c r="I63" i="76"/>
  <c r="J63" i="76"/>
  <c r="K63" i="76"/>
  <c r="L63" i="76"/>
  <c r="M63" i="76"/>
  <c r="N63" i="76"/>
  <c r="O63" i="76"/>
  <c r="P63" i="76"/>
  <c r="Q63" i="76"/>
  <c r="R63" i="76"/>
  <c r="G64" i="76"/>
  <c r="H64" i="76"/>
  <c r="I64" i="76"/>
  <c r="J64" i="76"/>
  <c r="K64" i="76"/>
  <c r="L64" i="76"/>
  <c r="M64" i="76"/>
  <c r="N64" i="76"/>
  <c r="O64" i="76"/>
  <c r="P64" i="76"/>
  <c r="Q64" i="76"/>
  <c r="R64" i="76"/>
  <c r="G65" i="76"/>
  <c r="H65" i="76"/>
  <c r="I65" i="76"/>
  <c r="J65" i="76"/>
  <c r="K65" i="76"/>
  <c r="L65" i="76"/>
  <c r="M65" i="76"/>
  <c r="N65" i="76"/>
  <c r="O65" i="76"/>
  <c r="P65" i="76"/>
  <c r="Q65" i="76"/>
  <c r="R65" i="76"/>
  <c r="G66" i="76"/>
  <c r="H66" i="76"/>
  <c r="I66" i="76"/>
  <c r="J66" i="76"/>
  <c r="K66" i="76"/>
  <c r="L66" i="76"/>
  <c r="M66" i="76"/>
  <c r="N66" i="76"/>
  <c r="O66" i="76"/>
  <c r="P66" i="76"/>
  <c r="Q66" i="76"/>
  <c r="R66" i="76"/>
  <c r="G67" i="76"/>
  <c r="H67" i="76"/>
  <c r="I67" i="76"/>
  <c r="J67" i="76"/>
  <c r="K67" i="76"/>
  <c r="L67" i="76"/>
  <c r="M67" i="76"/>
  <c r="N67" i="76"/>
  <c r="O67" i="76"/>
  <c r="P67" i="76"/>
  <c r="Q67" i="76"/>
  <c r="R67" i="76"/>
  <c r="G72" i="76"/>
  <c r="H72" i="76"/>
  <c r="I72" i="76"/>
  <c r="J72" i="76"/>
  <c r="K72" i="76"/>
  <c r="L72" i="76"/>
  <c r="M72" i="76"/>
  <c r="N72" i="76"/>
  <c r="O72" i="76"/>
  <c r="P72" i="76"/>
  <c r="Q72" i="76"/>
  <c r="R72" i="76"/>
  <c r="G73" i="76"/>
  <c r="H73" i="76"/>
  <c r="I73" i="76"/>
  <c r="J73" i="76"/>
  <c r="K73" i="76"/>
  <c r="L73" i="76"/>
  <c r="M73" i="76"/>
  <c r="N73" i="76"/>
  <c r="O73" i="76"/>
  <c r="P73" i="76"/>
  <c r="Q73" i="76"/>
  <c r="R73" i="76"/>
  <c r="G74" i="76"/>
  <c r="H74" i="76"/>
  <c r="I74" i="76"/>
  <c r="J74" i="76"/>
  <c r="K74" i="76"/>
  <c r="L74" i="76"/>
  <c r="M74" i="76"/>
  <c r="N74" i="76"/>
  <c r="O74" i="76"/>
  <c r="P74" i="76"/>
  <c r="Q74" i="76"/>
  <c r="R74" i="76"/>
  <c r="G75" i="76"/>
  <c r="H75" i="76"/>
  <c r="I75" i="76"/>
  <c r="J75" i="76"/>
  <c r="K75" i="76"/>
  <c r="L75" i="76"/>
  <c r="M75" i="76"/>
  <c r="N75" i="76"/>
  <c r="O75" i="76"/>
  <c r="P75" i="76"/>
  <c r="Q75" i="76"/>
  <c r="R75" i="76"/>
  <c r="G76" i="76"/>
  <c r="H76" i="76"/>
  <c r="I76" i="76"/>
  <c r="J76" i="76"/>
  <c r="K76" i="76"/>
  <c r="L76" i="76"/>
  <c r="M76" i="76"/>
  <c r="N76" i="76"/>
  <c r="O76" i="76"/>
  <c r="P76" i="76"/>
  <c r="Q76" i="76"/>
  <c r="R76" i="76"/>
  <c r="G77" i="76"/>
  <c r="H77" i="76"/>
  <c r="I77" i="76"/>
  <c r="J77" i="76"/>
  <c r="K77" i="76"/>
  <c r="L77" i="76"/>
  <c r="M77" i="76"/>
  <c r="N77" i="76"/>
  <c r="O77" i="76"/>
  <c r="P77" i="76"/>
  <c r="Q77" i="76"/>
  <c r="R77" i="76"/>
  <c r="G78" i="76"/>
  <c r="H78" i="76"/>
  <c r="I78" i="76"/>
  <c r="J78" i="76"/>
  <c r="K78" i="76"/>
  <c r="L78" i="76"/>
  <c r="M78" i="76"/>
  <c r="N78" i="76"/>
  <c r="O78" i="76"/>
  <c r="P78" i="76"/>
  <c r="Q78" i="76"/>
  <c r="R78" i="76"/>
  <c r="G79" i="76"/>
  <c r="H79" i="76"/>
  <c r="I79" i="76"/>
  <c r="J79" i="76"/>
  <c r="K79" i="76"/>
  <c r="L79" i="76"/>
  <c r="M79" i="76"/>
  <c r="N79" i="76"/>
  <c r="O79" i="76"/>
  <c r="P79" i="76"/>
  <c r="Q79" i="76"/>
  <c r="R79" i="76"/>
  <c r="Q2" i="64"/>
  <c r="L13" i="64"/>
  <c r="M13" i="64"/>
  <c r="N13" i="64"/>
  <c r="X13" i="64"/>
  <c r="Y13" i="64"/>
  <c r="Z13" i="64"/>
  <c r="L14" i="64"/>
  <c r="M14" i="64"/>
  <c r="N14" i="64"/>
  <c r="X14" i="64"/>
  <c r="Y14" i="64"/>
  <c r="Z14" i="64"/>
  <c r="L15" i="64"/>
  <c r="M15" i="64"/>
  <c r="N15" i="64"/>
  <c r="X15" i="64"/>
  <c r="Y15" i="64"/>
  <c r="Z15" i="64"/>
  <c r="L16" i="64"/>
  <c r="M16" i="64"/>
  <c r="N16" i="64"/>
  <c r="X16" i="64"/>
  <c r="Y16" i="64"/>
  <c r="Z16" i="64"/>
  <c r="L17" i="64"/>
  <c r="M17" i="64"/>
  <c r="N17" i="64"/>
  <c r="X17" i="64"/>
  <c r="Y17" i="64"/>
  <c r="Z17" i="64"/>
  <c r="L18" i="64"/>
  <c r="M18" i="64"/>
  <c r="W18" i="64"/>
  <c r="X18" i="64"/>
  <c r="Y18" i="64"/>
  <c r="M19" i="64"/>
  <c r="G20" i="64"/>
  <c r="L20" i="64"/>
  <c r="M20" i="64"/>
  <c r="W20" i="64"/>
  <c r="X20" i="64"/>
  <c r="Y20" i="64"/>
  <c r="G21" i="64"/>
  <c r="L21" i="64"/>
  <c r="M21" i="64"/>
  <c r="W21" i="64"/>
  <c r="X21" i="64"/>
  <c r="Y21" i="64"/>
  <c r="B22" i="64"/>
  <c r="G22" i="64"/>
  <c r="L22" i="64"/>
  <c r="M22" i="64"/>
  <c r="W22" i="64"/>
  <c r="X22" i="64"/>
  <c r="Y22" i="64"/>
  <c r="G24" i="64"/>
  <c r="X26" i="64"/>
  <c r="X27" i="64"/>
  <c r="X28" i="64"/>
  <c r="L30" i="64"/>
  <c r="M30" i="64"/>
  <c r="N30" i="64"/>
  <c r="O30" i="64"/>
  <c r="P30" i="64"/>
  <c r="Q30" i="64"/>
  <c r="L31" i="64"/>
  <c r="M31" i="64"/>
  <c r="N31" i="64"/>
  <c r="O31" i="64"/>
  <c r="P31" i="64"/>
  <c r="Q31" i="64"/>
  <c r="L33" i="64"/>
  <c r="M33" i="64"/>
  <c r="N33" i="64"/>
  <c r="O33" i="64"/>
  <c r="P33" i="64"/>
  <c r="Q33" i="64"/>
  <c r="L34" i="64"/>
  <c r="M34" i="64"/>
  <c r="N34" i="64"/>
  <c r="O34" i="64"/>
  <c r="P34" i="64"/>
  <c r="Q34" i="64"/>
  <c r="L36" i="64"/>
  <c r="M36" i="64"/>
  <c r="N36" i="64"/>
  <c r="O36" i="64"/>
  <c r="P36" i="64"/>
  <c r="Q36" i="64"/>
  <c r="L37" i="64"/>
  <c r="M37" i="64"/>
  <c r="N37" i="64"/>
  <c r="O37" i="64"/>
  <c r="P37" i="64"/>
  <c r="Q37" i="64"/>
  <c r="L38" i="64"/>
  <c r="M38" i="64"/>
  <c r="N38" i="64"/>
  <c r="O38" i="64"/>
  <c r="P38" i="64"/>
  <c r="Q38" i="64"/>
  <c r="L40" i="64"/>
  <c r="M40" i="64"/>
  <c r="N40" i="64"/>
  <c r="O40" i="64"/>
  <c r="P40" i="64"/>
  <c r="Q40" i="64"/>
  <c r="L41" i="64"/>
  <c r="M41" i="64"/>
  <c r="N41" i="64"/>
  <c r="O41" i="64"/>
  <c r="P41" i="64"/>
  <c r="Q41" i="64"/>
  <c r="L42" i="64"/>
  <c r="M42" i="64"/>
  <c r="N42" i="64"/>
  <c r="O42" i="64"/>
  <c r="P42" i="64"/>
  <c r="Q42" i="64"/>
  <c r="L44" i="64"/>
  <c r="M44" i="64"/>
  <c r="N44" i="64"/>
  <c r="O44" i="64"/>
  <c r="P44" i="64"/>
  <c r="Q44" i="64"/>
  <c r="F59" i="64"/>
  <c r="F61" i="64"/>
  <c r="F64" i="64"/>
  <c r="F66" i="64"/>
  <c r="F69" i="64"/>
  <c r="F70" i="64"/>
  <c r="F71" i="64"/>
  <c r="F72" i="64"/>
  <c r="M74" i="64"/>
  <c r="O74" i="64"/>
  <c r="Q74" i="64"/>
  <c r="M75" i="64"/>
  <c r="O75" i="64"/>
  <c r="Q75" i="64"/>
  <c r="M76" i="64"/>
  <c r="O76" i="64"/>
  <c r="Q76" i="64"/>
  <c r="M77" i="64"/>
  <c r="N77" i="64"/>
  <c r="O77" i="64"/>
  <c r="Q77" i="64"/>
  <c r="M82" i="64"/>
  <c r="O82" i="64"/>
  <c r="Q82" i="64"/>
  <c r="M83" i="64"/>
  <c r="O83" i="64"/>
  <c r="Q83" i="64"/>
  <c r="M84" i="64"/>
  <c r="O84" i="64"/>
  <c r="Q84" i="64"/>
  <c r="M85" i="64"/>
  <c r="O85" i="64"/>
  <c r="Q85" i="64"/>
  <c r="H93" i="64"/>
  <c r="N93" i="64"/>
  <c r="P93" i="64"/>
  <c r="H97" i="64"/>
  <c r="P97" i="64"/>
  <c r="L100" i="64"/>
  <c r="P100" i="64"/>
  <c r="L101" i="64"/>
  <c r="P101" i="64"/>
  <c r="N102" i="64"/>
  <c r="P102" i="64"/>
  <c r="H104" i="64"/>
  <c r="P104" i="64"/>
  <c r="H110" i="64"/>
  <c r="N110" i="64"/>
  <c r="P110" i="64"/>
  <c r="N112" i="64"/>
  <c r="P112" i="64"/>
  <c r="L113" i="64"/>
  <c r="P113" i="64"/>
  <c r="H116" i="64"/>
  <c r="L116" i="64"/>
  <c r="N116" i="64"/>
  <c r="P116" i="64"/>
  <c r="H117" i="64"/>
  <c r="P117" i="64"/>
  <c r="H119" i="64"/>
  <c r="P119" i="64"/>
  <c r="L133" i="64"/>
  <c r="M133" i="64"/>
  <c r="N133" i="64"/>
  <c r="O133" i="64"/>
  <c r="P133" i="64"/>
  <c r="Q133" i="64"/>
  <c r="L134" i="64"/>
  <c r="M134" i="64"/>
  <c r="N134" i="64"/>
  <c r="O134" i="64"/>
  <c r="P134" i="64"/>
  <c r="Q134" i="64"/>
  <c r="L136" i="64"/>
  <c r="M136" i="64"/>
  <c r="N136" i="64"/>
  <c r="O136" i="64"/>
  <c r="P136" i="64"/>
  <c r="Q136" i="64"/>
  <c r="L137" i="64"/>
  <c r="M137" i="64"/>
  <c r="N137" i="64"/>
  <c r="O137" i="64"/>
  <c r="P137" i="64"/>
  <c r="Q137" i="64"/>
  <c r="L138" i="64"/>
  <c r="M138" i="64"/>
  <c r="N138" i="64"/>
  <c r="O138" i="64"/>
  <c r="P138" i="64"/>
  <c r="Q138" i="64"/>
  <c r="L139" i="64"/>
  <c r="M139" i="64"/>
  <c r="N139" i="64"/>
  <c r="O139" i="64"/>
  <c r="P139" i="64"/>
  <c r="Q139" i="64"/>
  <c r="L152" i="64"/>
  <c r="M152" i="64"/>
  <c r="N152" i="64"/>
  <c r="O152" i="64"/>
  <c r="P152" i="64"/>
  <c r="Q152" i="64"/>
  <c r="L153" i="64"/>
  <c r="M153" i="64"/>
  <c r="N153" i="64"/>
  <c r="O153" i="64"/>
  <c r="P153" i="64"/>
  <c r="Q153" i="64"/>
  <c r="M158" i="64"/>
  <c r="N158" i="64"/>
  <c r="O158" i="64"/>
  <c r="P158" i="64"/>
  <c r="Q158" i="64"/>
  <c r="L159" i="64"/>
  <c r="M159" i="64"/>
  <c r="N159" i="64"/>
  <c r="O159" i="64"/>
  <c r="P159" i="64"/>
  <c r="Q159" i="64"/>
  <c r="L164" i="64"/>
  <c r="M164" i="64"/>
  <c r="N164" i="64"/>
  <c r="O164" i="64"/>
  <c r="P164" i="64"/>
  <c r="Q164" i="64"/>
  <c r="L168" i="64"/>
  <c r="M168" i="64"/>
  <c r="N168" i="64"/>
  <c r="O168" i="64"/>
  <c r="P168" i="64"/>
  <c r="Q168" i="64"/>
  <c r="L170" i="64"/>
  <c r="M170" i="64"/>
  <c r="N170" i="64"/>
  <c r="O170" i="64"/>
  <c r="P170" i="64"/>
  <c r="Q170" i="64"/>
  <c r="L171" i="64"/>
  <c r="M171" i="64"/>
  <c r="N171" i="64"/>
  <c r="O171" i="64"/>
  <c r="P171" i="64"/>
  <c r="Q171" i="64"/>
  <c r="L172" i="64"/>
  <c r="M172" i="64"/>
  <c r="N172" i="64"/>
  <c r="O172" i="64"/>
  <c r="P172" i="64"/>
  <c r="Q172" i="64"/>
  <c r="L174" i="64"/>
  <c r="M174" i="64"/>
  <c r="N174" i="64"/>
  <c r="O174" i="64"/>
  <c r="P174" i="64"/>
  <c r="Q174" i="64"/>
  <c r="L180" i="64"/>
  <c r="M180" i="64"/>
  <c r="N180" i="64"/>
  <c r="O180" i="64"/>
  <c r="P180" i="64"/>
  <c r="Q180" i="64"/>
  <c r="L182" i="64"/>
  <c r="M182" i="64"/>
  <c r="N182" i="64"/>
  <c r="O182" i="64"/>
  <c r="P182" i="64"/>
  <c r="Q182" i="64"/>
  <c r="L183" i="64"/>
  <c r="M183" i="64"/>
  <c r="N183" i="64"/>
  <c r="O183" i="64"/>
  <c r="P183" i="64"/>
  <c r="Q183" i="64"/>
  <c r="L186" i="64"/>
  <c r="M186" i="64"/>
  <c r="N186" i="64"/>
  <c r="O186" i="64"/>
  <c r="P186" i="64"/>
  <c r="Q186" i="64"/>
  <c r="L187" i="64"/>
  <c r="M187" i="64"/>
  <c r="N187" i="64"/>
  <c r="O187" i="64"/>
  <c r="P187" i="64"/>
  <c r="Q187" i="64"/>
  <c r="L189" i="64"/>
  <c r="M189" i="64"/>
  <c r="N189" i="64"/>
  <c r="O189" i="64"/>
  <c r="P189" i="64"/>
  <c r="Q189" i="64"/>
  <c r="L194" i="64"/>
  <c r="M194" i="64"/>
  <c r="N194" i="64"/>
  <c r="O194" i="64"/>
  <c r="P194" i="64"/>
  <c r="Q194" i="64"/>
  <c r="L195" i="64"/>
  <c r="M195" i="64"/>
  <c r="N195" i="64"/>
  <c r="O195" i="64"/>
  <c r="P195" i="64"/>
  <c r="Q195" i="64"/>
  <c r="L197" i="64"/>
  <c r="M197" i="64"/>
  <c r="N197" i="64"/>
  <c r="O197" i="64"/>
  <c r="P197" i="64"/>
  <c r="Q197" i="64"/>
  <c r="L198" i="64"/>
  <c r="M198" i="64"/>
  <c r="N198" i="64"/>
  <c r="O198" i="64"/>
  <c r="P198" i="64"/>
  <c r="Q198" i="64"/>
  <c r="M202" i="64"/>
  <c r="N202" i="64"/>
  <c r="O202" i="64"/>
  <c r="P202" i="64"/>
  <c r="Q202" i="64"/>
  <c r="M205" i="64"/>
  <c r="N205" i="64"/>
  <c r="O205" i="64"/>
  <c r="P205" i="64"/>
  <c r="Q205" i="64"/>
  <c r="M206" i="64"/>
  <c r="N206" i="64"/>
  <c r="O206" i="64"/>
  <c r="P206" i="64"/>
  <c r="Q206" i="64"/>
  <c r="M207" i="64"/>
  <c r="N207" i="64"/>
  <c r="O207" i="64"/>
  <c r="P207" i="64"/>
  <c r="Q207" i="64"/>
  <c r="M208" i="64"/>
  <c r="N208" i="64"/>
  <c r="O208" i="64"/>
  <c r="P208" i="64"/>
  <c r="Q208" i="64"/>
  <c r="M213" i="64"/>
  <c r="N213" i="64"/>
  <c r="O213" i="64"/>
  <c r="P213" i="64"/>
  <c r="Q213" i="64"/>
  <c r="M219" i="64"/>
  <c r="N219" i="64"/>
  <c r="O219" i="64"/>
  <c r="P219" i="64"/>
  <c r="Q219" i="64"/>
  <c r="M221" i="64"/>
  <c r="N221" i="64"/>
  <c r="O221" i="64"/>
  <c r="P221" i="64"/>
  <c r="Q221" i="64"/>
  <c r="M222" i="64"/>
  <c r="N222" i="64"/>
  <c r="O222" i="64"/>
  <c r="P222" i="64"/>
  <c r="Q222" i="64"/>
  <c r="M223" i="64"/>
  <c r="N223" i="64"/>
  <c r="O223" i="64"/>
  <c r="P223" i="64"/>
  <c r="Q223" i="64"/>
  <c r="M225" i="64"/>
  <c r="N225" i="64"/>
  <c r="O225" i="64"/>
  <c r="P225" i="64"/>
  <c r="Q225" i="64"/>
  <c r="M227" i="64"/>
  <c r="N227" i="64"/>
  <c r="O227" i="64"/>
  <c r="P227" i="64"/>
  <c r="Q227" i="64"/>
  <c r="M228" i="64"/>
  <c r="N228" i="64"/>
  <c r="O228" i="64"/>
  <c r="P228" i="64"/>
  <c r="Q228" i="64"/>
  <c r="M230" i="64"/>
  <c r="N230" i="64"/>
  <c r="O230" i="64"/>
  <c r="P230" i="64"/>
  <c r="Q230" i="64"/>
  <c r="M231" i="64"/>
  <c r="N231" i="64"/>
  <c r="O231" i="64"/>
  <c r="P231" i="64"/>
  <c r="Q231" i="64"/>
  <c r="M236" i="64"/>
  <c r="N236" i="64"/>
  <c r="O236" i="64"/>
  <c r="P236" i="64"/>
  <c r="Q236" i="64"/>
  <c r="M237" i="64"/>
  <c r="N237" i="64"/>
  <c r="O237" i="64"/>
  <c r="P237" i="64"/>
  <c r="Q237" i="64"/>
  <c r="M238" i="64"/>
  <c r="N238" i="64"/>
  <c r="O238" i="64"/>
  <c r="P238" i="64"/>
  <c r="Q238" i="64"/>
  <c r="M240" i="64"/>
  <c r="N240" i="64"/>
  <c r="O240" i="64"/>
  <c r="P240" i="64"/>
  <c r="Q240" i="64"/>
  <c r="M241" i="64"/>
  <c r="N241" i="64"/>
  <c r="O241" i="64"/>
  <c r="P241" i="64"/>
  <c r="Q241" i="64"/>
  <c r="L244" i="64"/>
  <c r="M244" i="64"/>
  <c r="N244" i="64"/>
  <c r="O244" i="64"/>
  <c r="P244" i="64"/>
  <c r="Q244" i="64"/>
  <c r="L245" i="64"/>
  <c r="M245" i="64"/>
  <c r="N245" i="64"/>
  <c r="O245" i="64"/>
  <c r="P245" i="64"/>
  <c r="Q245" i="64"/>
  <c r="L246" i="64"/>
  <c r="M246" i="64"/>
  <c r="N246" i="64"/>
  <c r="O246" i="64"/>
  <c r="P246" i="64"/>
  <c r="Q246" i="64"/>
  <c r="L247" i="64"/>
  <c r="M247" i="64"/>
  <c r="N247" i="64"/>
  <c r="O247" i="64"/>
  <c r="P247" i="64"/>
  <c r="Q247" i="64"/>
  <c r="L248" i="64"/>
  <c r="M248" i="64"/>
  <c r="N248" i="64"/>
  <c r="O248" i="64"/>
  <c r="P248" i="64"/>
  <c r="Q248" i="64"/>
  <c r="L251" i="64"/>
  <c r="M251" i="64"/>
  <c r="N251" i="64"/>
  <c r="O251" i="64"/>
  <c r="P251" i="64"/>
  <c r="Q251" i="64"/>
  <c r="L252" i="64"/>
  <c r="M252" i="64"/>
  <c r="N252" i="64"/>
  <c r="O252" i="64"/>
  <c r="P252" i="64"/>
  <c r="Q252" i="64"/>
  <c r="M259" i="64"/>
  <c r="N259" i="64"/>
  <c r="O259" i="64"/>
  <c r="P259" i="64"/>
  <c r="Q259" i="64"/>
  <c r="M260" i="64"/>
  <c r="N260" i="64"/>
  <c r="O260" i="64"/>
  <c r="P260" i="64"/>
  <c r="Q260" i="64"/>
  <c r="M261" i="64"/>
  <c r="N261" i="64"/>
  <c r="O261" i="64"/>
  <c r="P261" i="64"/>
  <c r="Q261" i="64"/>
  <c r="M262" i="64"/>
  <c r="N262" i="64"/>
  <c r="O262" i="64"/>
  <c r="P262" i="64"/>
  <c r="Q262" i="64"/>
  <c r="M265" i="64"/>
  <c r="N265" i="64"/>
  <c r="O265" i="64"/>
  <c r="P265" i="64"/>
  <c r="Q265" i="64"/>
  <c r="M266" i="64"/>
  <c r="N266" i="64"/>
  <c r="O266" i="64"/>
  <c r="P266" i="64"/>
  <c r="Q266" i="64"/>
  <c r="M268" i="64"/>
  <c r="N268" i="64"/>
  <c r="O268" i="64"/>
  <c r="P268" i="64"/>
  <c r="Q268" i="64"/>
  <c r="L271" i="64"/>
  <c r="M271" i="64"/>
  <c r="N271" i="64"/>
  <c r="O271" i="64"/>
  <c r="P271" i="64"/>
  <c r="Q271" i="64"/>
  <c r="L272" i="64"/>
  <c r="M272" i="64"/>
  <c r="N272" i="64"/>
  <c r="O272" i="64"/>
  <c r="P272" i="64"/>
  <c r="Q272" i="64"/>
  <c r="L273" i="64"/>
  <c r="M273" i="64"/>
  <c r="N273" i="64"/>
  <c r="O273" i="64"/>
  <c r="P273" i="64"/>
  <c r="Q273" i="64"/>
  <c r="L274" i="64"/>
  <c r="M274" i="64"/>
  <c r="N274" i="64"/>
  <c r="O274" i="64"/>
  <c r="P274" i="64"/>
  <c r="Q274" i="64"/>
  <c r="L275" i="64"/>
  <c r="M275" i="64"/>
  <c r="N275" i="64"/>
  <c r="O275" i="64"/>
  <c r="P275" i="64"/>
  <c r="Q275" i="64"/>
  <c r="L276" i="64"/>
  <c r="M276" i="64"/>
  <c r="N276" i="64"/>
  <c r="O276" i="64"/>
  <c r="P276" i="64"/>
  <c r="Q276" i="64"/>
  <c r="L278" i="64"/>
  <c r="M278" i="64"/>
  <c r="N278" i="64"/>
  <c r="O278" i="64"/>
  <c r="P278" i="64"/>
  <c r="Q278" i="64"/>
  <c r="L279" i="64"/>
  <c r="M279" i="64"/>
  <c r="N279" i="64"/>
  <c r="O279" i="64"/>
  <c r="P279" i="64"/>
  <c r="Q279" i="64"/>
  <c r="L280" i="64"/>
  <c r="M280" i="64"/>
  <c r="N280" i="64"/>
  <c r="O280" i="64"/>
  <c r="P280" i="64"/>
  <c r="Q280" i="64"/>
  <c r="M301" i="64"/>
  <c r="N301" i="64"/>
  <c r="O301" i="64"/>
  <c r="P301" i="64"/>
  <c r="Q301" i="64"/>
  <c r="M302" i="64"/>
  <c r="N302" i="64"/>
  <c r="O302" i="64"/>
  <c r="P302" i="64"/>
  <c r="Q302" i="64"/>
  <c r="M303" i="64"/>
  <c r="N303" i="64"/>
  <c r="O303" i="64"/>
  <c r="P303" i="64"/>
  <c r="Q303" i="64"/>
  <c r="M305" i="64"/>
  <c r="N305" i="64"/>
  <c r="O305" i="64"/>
  <c r="P305" i="64"/>
  <c r="Q305" i="64"/>
  <c r="M306" i="64"/>
  <c r="N306" i="64"/>
  <c r="O306" i="64"/>
  <c r="P306" i="64"/>
  <c r="Q306" i="64"/>
  <c r="M307" i="64"/>
  <c r="N307" i="64"/>
  <c r="O307" i="64"/>
  <c r="P307" i="64"/>
  <c r="Q307" i="64"/>
  <c r="M317" i="64"/>
  <c r="N317" i="64"/>
  <c r="O317" i="64"/>
  <c r="P317" i="64"/>
  <c r="Q317" i="64"/>
  <c r="M318" i="64"/>
  <c r="N318" i="64"/>
  <c r="O318" i="64"/>
  <c r="P318" i="64"/>
  <c r="Q318" i="64"/>
  <c r="M319" i="64"/>
  <c r="N319" i="64"/>
  <c r="O319" i="64"/>
  <c r="P319" i="64"/>
  <c r="Q319" i="64"/>
  <c r="B321" i="64"/>
  <c r="M322" i="64"/>
  <c r="N322" i="64"/>
  <c r="O322" i="64"/>
  <c r="P322" i="64"/>
  <c r="Q322" i="64"/>
  <c r="M323" i="64"/>
  <c r="N323" i="64"/>
  <c r="O323" i="64"/>
  <c r="P323" i="64"/>
  <c r="Q323" i="64"/>
  <c r="M324" i="64"/>
  <c r="N324" i="64"/>
  <c r="O324" i="64"/>
  <c r="P324" i="64"/>
  <c r="Q324" i="64"/>
  <c r="M327" i="64"/>
  <c r="N327" i="64"/>
  <c r="O327" i="64"/>
  <c r="P327" i="64"/>
  <c r="Q327" i="64"/>
  <c r="M328" i="64"/>
  <c r="N328" i="64"/>
  <c r="O328" i="64"/>
  <c r="P328" i="64"/>
  <c r="Q328" i="64"/>
  <c r="M329" i="64"/>
  <c r="N329" i="64"/>
  <c r="O329" i="64"/>
  <c r="P329" i="64"/>
  <c r="Q329" i="64"/>
  <c r="L336" i="64"/>
  <c r="P336" i="64"/>
  <c r="R336" i="64"/>
  <c r="L337" i="64"/>
  <c r="P337" i="64"/>
  <c r="R337" i="64"/>
  <c r="L338" i="64"/>
  <c r="P338" i="64"/>
  <c r="R338" i="64"/>
  <c r="L342" i="64"/>
  <c r="Q342" i="64"/>
  <c r="R342" i="64"/>
  <c r="L343" i="64"/>
  <c r="Q343" i="64"/>
  <c r="R343" i="64"/>
  <c r="L344" i="64"/>
  <c r="Q344" i="64"/>
  <c r="R344" i="64"/>
  <c r="E21" i="72"/>
  <c r="E33" i="72"/>
  <c r="Q2" i="36"/>
  <c r="L15" i="36"/>
  <c r="M15" i="36"/>
  <c r="N15" i="36"/>
  <c r="O15" i="36"/>
  <c r="P15" i="36"/>
  <c r="Q15" i="36"/>
  <c r="L16" i="36"/>
  <c r="M16" i="36"/>
  <c r="N16" i="36"/>
  <c r="O16" i="36"/>
  <c r="P16" i="36"/>
  <c r="Q16" i="36"/>
  <c r="L17" i="36"/>
  <c r="M17" i="36"/>
  <c r="N17" i="36"/>
  <c r="O17" i="36"/>
  <c r="P17" i="36"/>
  <c r="Q17" i="36"/>
  <c r="L18" i="36"/>
  <c r="M18" i="36"/>
  <c r="N18" i="36"/>
  <c r="O18" i="36"/>
  <c r="P18" i="36"/>
  <c r="Q18" i="36"/>
  <c r="L20" i="36"/>
  <c r="M20" i="36"/>
  <c r="N20" i="36"/>
  <c r="O20" i="36"/>
  <c r="P20" i="36"/>
  <c r="Q20" i="36"/>
  <c r="L23" i="36"/>
  <c r="M23" i="36"/>
  <c r="N23" i="36"/>
  <c r="O23" i="36"/>
  <c r="P23" i="36"/>
  <c r="Q23" i="36"/>
  <c r="L26" i="36"/>
  <c r="M26" i="36"/>
  <c r="N26" i="36"/>
  <c r="O26" i="36"/>
  <c r="P26" i="36"/>
  <c r="Q26" i="36"/>
  <c r="L45" i="36"/>
  <c r="M45" i="36"/>
  <c r="N45" i="36"/>
  <c r="O45" i="36"/>
  <c r="P45" i="36"/>
  <c r="Q45" i="36"/>
  <c r="L52" i="36"/>
  <c r="M52" i="36"/>
  <c r="N52" i="36"/>
  <c r="O52" i="36"/>
  <c r="P52" i="36"/>
  <c r="Q52" i="36"/>
  <c r="L53" i="36"/>
  <c r="M53" i="36"/>
  <c r="N53" i="36"/>
  <c r="O53" i="36"/>
  <c r="P53" i="36"/>
  <c r="Q53" i="36"/>
  <c r="L58" i="36"/>
  <c r="M58" i="36"/>
  <c r="N58" i="36"/>
  <c r="O58" i="36"/>
  <c r="P58" i="36"/>
  <c r="Q58" i="36"/>
  <c r="L62" i="36"/>
  <c r="M62" i="36"/>
  <c r="N62" i="36"/>
  <c r="O62" i="36"/>
  <c r="P62" i="36"/>
  <c r="Q62" i="36"/>
  <c r="L67" i="36"/>
  <c r="M67" i="36"/>
  <c r="N67" i="36"/>
  <c r="O67" i="36"/>
  <c r="P67" i="36"/>
  <c r="Q67" i="36"/>
  <c r="L74" i="36"/>
  <c r="M74" i="36"/>
  <c r="N74" i="36"/>
  <c r="O74" i="36"/>
  <c r="P74" i="36"/>
  <c r="Q74" i="36"/>
  <c r="L78" i="36"/>
  <c r="M78" i="36"/>
  <c r="N78" i="36"/>
  <c r="O78" i="36"/>
  <c r="P78" i="36"/>
  <c r="Q78" i="36"/>
  <c r="L79" i="36"/>
  <c r="M79" i="36"/>
  <c r="N79" i="36"/>
  <c r="O79" i="36"/>
  <c r="P79" i="36"/>
  <c r="Q79" i="36"/>
  <c r="L81" i="36"/>
  <c r="M81" i="36"/>
  <c r="N81" i="36"/>
  <c r="O81" i="36"/>
  <c r="P81" i="36"/>
  <c r="Q81" i="36"/>
  <c r="L88" i="36"/>
  <c r="M88" i="36"/>
  <c r="N88" i="36"/>
  <c r="O88" i="36"/>
  <c r="P88" i="36"/>
  <c r="Q88" i="36"/>
  <c r="L96" i="36"/>
  <c r="M96" i="36"/>
  <c r="N96" i="36"/>
  <c r="O96" i="36"/>
  <c r="P96" i="36"/>
  <c r="Q96" i="36"/>
  <c r="L106" i="36"/>
  <c r="M106" i="36"/>
  <c r="N106" i="36"/>
  <c r="O106" i="36"/>
  <c r="P106" i="36"/>
  <c r="Q106" i="36"/>
  <c r="L107" i="36"/>
  <c r="M107" i="36"/>
  <c r="N107" i="36"/>
  <c r="O107" i="36"/>
  <c r="P107" i="36"/>
  <c r="Q107" i="36"/>
  <c r="L109" i="36"/>
  <c r="M109" i="36"/>
  <c r="N109" i="36"/>
  <c r="O109" i="36"/>
  <c r="P109" i="36"/>
  <c r="Q109" i="36"/>
  <c r="M111" i="36"/>
  <c r="N111" i="36"/>
  <c r="O111" i="36"/>
  <c r="P111" i="36"/>
  <c r="Q111" i="36"/>
  <c r="L112" i="36"/>
  <c r="M112" i="36"/>
  <c r="N112" i="36"/>
  <c r="O112" i="36"/>
  <c r="P112" i="36"/>
  <c r="Q112" i="36"/>
  <c r="M114" i="36"/>
  <c r="N114" i="36"/>
  <c r="O114" i="36"/>
  <c r="P114" i="36"/>
  <c r="Q114" i="36"/>
  <c r="L115" i="36"/>
  <c r="M115" i="36"/>
  <c r="N115" i="36"/>
  <c r="O115" i="36"/>
  <c r="P115" i="36"/>
  <c r="Q115" i="36"/>
  <c r="M120" i="36"/>
  <c r="N120" i="36"/>
  <c r="O120" i="36"/>
  <c r="P120" i="36"/>
  <c r="Q120" i="36"/>
  <c r="M121" i="36"/>
  <c r="N121" i="36"/>
  <c r="O121" i="36"/>
  <c r="P121" i="36"/>
  <c r="Q121" i="36"/>
  <c r="L122" i="36"/>
  <c r="M122" i="36"/>
  <c r="N122" i="36"/>
  <c r="O122" i="36"/>
  <c r="P122" i="36"/>
  <c r="Q122" i="36"/>
  <c r="L124" i="36"/>
  <c r="M124" i="36"/>
  <c r="N124" i="36"/>
  <c r="O124" i="36"/>
  <c r="P124" i="36"/>
  <c r="Q124" i="36"/>
  <c r="L125" i="36"/>
  <c r="M125" i="36"/>
  <c r="N125" i="36"/>
  <c r="O125" i="36"/>
  <c r="P125" i="36"/>
  <c r="Q125" i="36"/>
  <c r="L128" i="36"/>
  <c r="M128" i="36"/>
  <c r="N128" i="36"/>
  <c r="O128" i="36"/>
  <c r="P128" i="36"/>
  <c r="Q128" i="36"/>
  <c r="L132" i="36"/>
  <c r="M132" i="36"/>
  <c r="N132" i="36"/>
  <c r="O132" i="36"/>
  <c r="P132" i="36"/>
  <c r="Q132" i="36"/>
  <c r="L135" i="36"/>
  <c r="M135" i="36"/>
  <c r="N135" i="36"/>
  <c r="O135" i="36"/>
  <c r="P135" i="36"/>
  <c r="Q135" i="36"/>
  <c r="L136" i="36"/>
  <c r="M136" i="36"/>
  <c r="N136" i="36"/>
  <c r="O136" i="36"/>
  <c r="P136" i="36"/>
  <c r="Q136" i="36"/>
  <c r="L145" i="36"/>
  <c r="M145" i="36"/>
  <c r="N145" i="36"/>
  <c r="O145" i="36"/>
  <c r="P145" i="36"/>
  <c r="Q145" i="36"/>
  <c r="L146" i="36"/>
  <c r="M146" i="36"/>
  <c r="N146" i="36"/>
  <c r="O146" i="36"/>
  <c r="P146" i="36"/>
  <c r="Q146" i="36"/>
  <c r="L151" i="36"/>
  <c r="M151" i="36"/>
  <c r="N151" i="36"/>
  <c r="O151" i="36"/>
  <c r="P151" i="36"/>
  <c r="Q151" i="36"/>
  <c r="L152" i="36"/>
  <c r="M152" i="36"/>
  <c r="N152" i="36"/>
  <c r="O152" i="36"/>
  <c r="P152" i="36"/>
  <c r="Q152" i="36"/>
  <c r="L153" i="36"/>
  <c r="M153" i="36"/>
  <c r="N153" i="36"/>
  <c r="O153" i="36"/>
  <c r="P153" i="36"/>
  <c r="Q153" i="36"/>
  <c r="L174" i="36"/>
  <c r="M174" i="36"/>
  <c r="N174" i="36"/>
  <c r="O174" i="36"/>
  <c r="P174" i="36"/>
  <c r="Q174" i="36"/>
  <c r="L175" i="36"/>
  <c r="M175" i="36"/>
  <c r="N175" i="36"/>
  <c r="O175" i="36"/>
  <c r="P175" i="36"/>
  <c r="Q175" i="36"/>
  <c r="L186" i="36"/>
  <c r="M186" i="36"/>
  <c r="N186" i="36"/>
  <c r="O186" i="36"/>
  <c r="P186" i="36"/>
  <c r="Q186" i="36"/>
  <c r="L187" i="36"/>
  <c r="M187" i="36"/>
  <c r="N187" i="36"/>
  <c r="O187" i="36"/>
  <c r="P187" i="36"/>
  <c r="Q187" i="36"/>
  <c r="L188" i="36"/>
  <c r="M188" i="36"/>
  <c r="N188" i="36"/>
  <c r="O188" i="36"/>
  <c r="P188" i="36"/>
  <c r="Q188" i="36"/>
  <c r="L189" i="36"/>
  <c r="M189" i="36"/>
  <c r="N189" i="36"/>
  <c r="O189" i="36"/>
  <c r="P189" i="36"/>
  <c r="Q189" i="36"/>
  <c r="L191" i="36"/>
  <c r="M191" i="36"/>
  <c r="N191" i="36"/>
  <c r="O191" i="36"/>
  <c r="P191" i="36"/>
  <c r="Q191" i="36"/>
  <c r="L192" i="36"/>
  <c r="M192" i="36"/>
  <c r="N192" i="36"/>
  <c r="O192" i="36"/>
  <c r="P192" i="36"/>
  <c r="Q192" i="36"/>
  <c r="M196" i="36"/>
  <c r="N196" i="36"/>
  <c r="O196" i="36"/>
  <c r="P196" i="36"/>
  <c r="Q196" i="36"/>
  <c r="R196" i="36"/>
  <c r="M197" i="36"/>
  <c r="N197" i="36"/>
  <c r="O197" i="36"/>
  <c r="P197" i="36"/>
  <c r="Q197" i="36"/>
  <c r="M199" i="36"/>
  <c r="N199" i="36"/>
  <c r="O199" i="36"/>
  <c r="P199" i="36"/>
  <c r="Q199" i="36"/>
  <c r="L291" i="36"/>
  <c r="M291" i="36"/>
  <c r="N291" i="36"/>
  <c r="O291" i="36"/>
  <c r="P291" i="36"/>
  <c r="Q291" i="36"/>
  <c r="L297" i="36"/>
  <c r="M297" i="36"/>
  <c r="N297" i="36"/>
  <c r="O297" i="36"/>
  <c r="P297" i="36"/>
  <c r="Q297" i="36"/>
  <c r="L299" i="36"/>
  <c r="M299" i="36"/>
  <c r="N299" i="36"/>
  <c r="O299" i="36"/>
  <c r="P299" i="36"/>
  <c r="Q299" i="36"/>
  <c r="L301" i="36"/>
  <c r="M301" i="36"/>
  <c r="N301" i="36"/>
  <c r="O301" i="36"/>
  <c r="P301" i="36"/>
  <c r="Q301" i="36"/>
  <c r="L304" i="36"/>
  <c r="M304" i="36"/>
  <c r="N304" i="36"/>
  <c r="O304" i="36"/>
  <c r="P304" i="36"/>
  <c r="Q304" i="36"/>
  <c r="AB15" i="11"/>
  <c r="AD15" i="11"/>
  <c r="AF15" i="11"/>
  <c r="AH15" i="11"/>
  <c r="AJ15" i="11"/>
  <c r="AL15" i="11"/>
  <c r="AB16" i="11"/>
  <c r="AD16" i="11"/>
  <c r="AF16" i="11"/>
  <c r="AH16" i="11"/>
  <c r="AJ16" i="11"/>
  <c r="AL16" i="11"/>
  <c r="AB24" i="11"/>
  <c r="AD24" i="11"/>
  <c r="AF24" i="11"/>
  <c r="AH24" i="11"/>
  <c r="AJ24" i="11"/>
  <c r="AB31" i="11"/>
  <c r="AD31" i="11"/>
  <c r="AF31" i="11"/>
  <c r="AH31" i="11"/>
  <c r="AJ31" i="11"/>
  <c r="AB32" i="11"/>
  <c r="AD32" i="11"/>
  <c r="AF32" i="11"/>
  <c r="AH32" i="11"/>
  <c r="AJ32" i="11"/>
  <c r="AB35" i="11"/>
  <c r="AD35" i="11"/>
  <c r="AF35" i="11"/>
  <c r="AH35" i="11"/>
  <c r="AJ35" i="11"/>
  <c r="AB36" i="11"/>
  <c r="AD36" i="11"/>
  <c r="AF36" i="11"/>
  <c r="AH36" i="11"/>
  <c r="AJ36" i="11"/>
  <c r="AB40" i="11"/>
  <c r="AD40" i="11"/>
  <c r="AF40" i="11"/>
  <c r="AH40" i="11"/>
  <c r="AJ40" i="11"/>
  <c r="AB43" i="11"/>
  <c r="AD43" i="11"/>
  <c r="AF43" i="11"/>
  <c r="AH43" i="11"/>
  <c r="AJ43" i="11"/>
  <c r="AB44" i="11"/>
  <c r="AD44" i="11"/>
  <c r="AF44" i="11"/>
  <c r="AH44" i="11"/>
  <c r="AJ44" i="11"/>
  <c r="AB45" i="11"/>
  <c r="AD45" i="11"/>
  <c r="AF45" i="11"/>
  <c r="AH45" i="11"/>
  <c r="AJ45" i="11"/>
  <c r="AB46" i="11"/>
  <c r="AD46" i="11"/>
  <c r="AF46" i="11"/>
  <c r="AH46" i="11"/>
  <c r="AJ46" i="11"/>
  <c r="AB47" i="11"/>
  <c r="AD47" i="11"/>
  <c r="AF47" i="11"/>
  <c r="AH47" i="11"/>
  <c r="AJ47" i="11"/>
  <c r="AB63" i="11"/>
  <c r="AD63" i="11"/>
  <c r="AF63" i="11"/>
  <c r="AH63" i="11"/>
  <c r="AJ63" i="11"/>
  <c r="AB66" i="11"/>
  <c r="AD66" i="11"/>
  <c r="AF66" i="11"/>
  <c r="AH66" i="11"/>
  <c r="AJ66" i="11"/>
  <c r="AB68" i="11"/>
  <c r="AD68" i="11"/>
  <c r="AF68" i="11"/>
  <c r="AH68" i="11"/>
  <c r="AJ68" i="11"/>
  <c r="Q2" i="39"/>
  <c r="M13" i="39"/>
  <c r="N13" i="39"/>
  <c r="O13" i="39"/>
  <c r="P13" i="39"/>
  <c r="N14" i="39"/>
  <c r="O14" i="39"/>
  <c r="P14" i="39"/>
  <c r="M15" i="39"/>
  <c r="N15" i="39"/>
  <c r="O15" i="39"/>
  <c r="P15" i="39"/>
  <c r="N16" i="39"/>
  <c r="O16" i="39"/>
  <c r="P16" i="39"/>
  <c r="M17" i="39"/>
  <c r="N17" i="39"/>
  <c r="O17" i="39"/>
  <c r="P17" i="39"/>
  <c r="M18" i="39"/>
  <c r="N18" i="39"/>
  <c r="O18" i="39"/>
  <c r="P18" i="39"/>
  <c r="M21" i="39"/>
  <c r="N21" i="39"/>
  <c r="O21" i="39"/>
  <c r="P21" i="39"/>
  <c r="N22" i="39"/>
  <c r="O22" i="39"/>
  <c r="P22" i="39"/>
  <c r="M23" i="39"/>
  <c r="N23" i="39"/>
  <c r="O23" i="39"/>
  <c r="P23" i="39"/>
  <c r="H24" i="39"/>
  <c r="M24" i="39"/>
  <c r="N24" i="39"/>
  <c r="O24" i="39"/>
  <c r="P24" i="39"/>
  <c r="V24" i="39"/>
  <c r="W24" i="39"/>
  <c r="M25" i="39"/>
  <c r="N25" i="39"/>
  <c r="O25" i="39"/>
  <c r="P25" i="39"/>
  <c r="H27" i="39"/>
  <c r="U27" i="39"/>
  <c r="V27" i="39"/>
  <c r="W27" i="39"/>
  <c r="X27" i="39"/>
  <c r="H30" i="39"/>
  <c r="V30" i="39"/>
  <c r="W30" i="39"/>
  <c r="X30" i="39"/>
  <c r="H31" i="39"/>
  <c r="V31" i="39"/>
  <c r="W31" i="39"/>
  <c r="H32" i="39"/>
  <c r="V32" i="39"/>
  <c r="W32" i="39"/>
  <c r="H40" i="39"/>
  <c r="H41" i="39"/>
  <c r="B42" i="39"/>
  <c r="H42" i="39"/>
  <c r="H43" i="39"/>
  <c r="H45" i="39"/>
  <c r="L45" i="39"/>
  <c r="M45" i="39"/>
  <c r="N45" i="39"/>
  <c r="O45" i="39"/>
  <c r="P45" i="39"/>
  <c r="L46" i="39"/>
  <c r="M46" i="39"/>
  <c r="N46" i="39"/>
  <c r="O46" i="39"/>
  <c r="P46" i="39"/>
  <c r="L47" i="39"/>
  <c r="M47" i="39"/>
  <c r="N47" i="39"/>
  <c r="O47" i="39"/>
  <c r="P47" i="39"/>
  <c r="G55" i="39"/>
  <c r="H55" i="39"/>
  <c r="G56" i="39"/>
  <c r="H56" i="39"/>
  <c r="G57" i="39"/>
  <c r="H57" i="39"/>
  <c r="G58" i="39"/>
  <c r="H58" i="39"/>
  <c r="G59" i="39"/>
  <c r="H59" i="39"/>
  <c r="G60" i="39"/>
  <c r="H60" i="39"/>
  <c r="G61" i="39"/>
  <c r="H61" i="39"/>
  <c r="G62" i="39"/>
  <c r="H62" i="39"/>
  <c r="F73" i="39"/>
  <c r="F75" i="39"/>
  <c r="F78" i="39"/>
  <c r="F80" i="39"/>
  <c r="F83" i="39"/>
  <c r="F84" i="39"/>
  <c r="F85" i="39"/>
  <c r="F86" i="39"/>
  <c r="M99" i="39"/>
  <c r="O99" i="39"/>
  <c r="Q99" i="39"/>
  <c r="M101" i="39"/>
  <c r="N101" i="39"/>
  <c r="O101" i="39"/>
  <c r="Q101" i="39"/>
  <c r="M107" i="39"/>
  <c r="O107" i="39"/>
  <c r="Q107" i="39"/>
  <c r="M109" i="39"/>
  <c r="O109" i="39"/>
  <c r="Q109" i="39"/>
  <c r="H116" i="39"/>
  <c r="J116" i="39"/>
  <c r="N116" i="39"/>
  <c r="P116" i="39"/>
  <c r="H120" i="39"/>
  <c r="J120" i="39"/>
  <c r="P120" i="39"/>
  <c r="L123" i="39"/>
  <c r="P123" i="39"/>
  <c r="L124" i="39"/>
  <c r="P124" i="39"/>
  <c r="N125" i="39"/>
  <c r="P125" i="39"/>
  <c r="H127" i="39"/>
  <c r="J127" i="39"/>
  <c r="P127" i="39"/>
  <c r="H133" i="39"/>
  <c r="J133" i="39"/>
  <c r="N133" i="39"/>
  <c r="P133" i="39"/>
  <c r="N135" i="39"/>
  <c r="P135" i="39"/>
  <c r="L136" i="39"/>
  <c r="P136" i="39"/>
  <c r="H139" i="39"/>
  <c r="J139" i="39"/>
  <c r="L139" i="39"/>
  <c r="P139" i="39"/>
  <c r="H140" i="39"/>
  <c r="J140" i="39"/>
  <c r="P140" i="39"/>
  <c r="H142" i="39"/>
  <c r="J142" i="39"/>
  <c r="P142" i="39"/>
  <c r="H144" i="39"/>
  <c r="J144" i="39"/>
  <c r="P144" i="39"/>
  <c r="H145" i="39"/>
  <c r="J145" i="39"/>
  <c r="P145" i="39"/>
  <c r="H146" i="39"/>
  <c r="J146" i="39"/>
  <c r="P146" i="39"/>
  <c r="H147" i="39"/>
  <c r="J147" i="39"/>
  <c r="P147" i="39"/>
  <c r="H148" i="39"/>
  <c r="J148" i="39"/>
  <c r="P148" i="39"/>
  <c r="H149" i="39"/>
  <c r="J149" i="39"/>
  <c r="P149" i="39"/>
  <c r="H150" i="39"/>
  <c r="J150" i="39"/>
  <c r="P150" i="39"/>
  <c r="H151" i="39"/>
  <c r="J151" i="39"/>
  <c r="P151" i="39"/>
  <c r="H152" i="39"/>
  <c r="J152" i="39"/>
  <c r="P152" i="39"/>
  <c r="M162" i="39"/>
  <c r="N162" i="39"/>
  <c r="O162" i="39"/>
  <c r="P162" i="39"/>
  <c r="Q162" i="39"/>
  <c r="M163" i="39"/>
  <c r="N163" i="39"/>
  <c r="O163" i="39"/>
  <c r="P163" i="39"/>
  <c r="Q163" i="39"/>
  <c r="M164" i="39"/>
  <c r="N164" i="39"/>
  <c r="O164" i="39"/>
  <c r="P164" i="39"/>
  <c r="Q164" i="39"/>
  <c r="M165" i="39"/>
  <c r="N165" i="39"/>
  <c r="O165" i="39"/>
  <c r="P165" i="39"/>
  <c r="Q165" i="39"/>
  <c r="M168" i="39"/>
  <c r="N168" i="39"/>
  <c r="O168" i="39"/>
  <c r="P168" i="39"/>
  <c r="Q168" i="39"/>
  <c r="M169" i="39"/>
  <c r="N169" i="39"/>
  <c r="O169" i="39"/>
  <c r="P169" i="39"/>
  <c r="Q169" i="39"/>
  <c r="M171" i="39"/>
  <c r="N171" i="39"/>
  <c r="O171" i="39"/>
  <c r="P171" i="39"/>
  <c r="Q171" i="39"/>
  <c r="M172" i="39"/>
  <c r="N172" i="39"/>
  <c r="O172" i="39"/>
  <c r="P172" i="39"/>
  <c r="Q172" i="39"/>
  <c r="M174" i="39"/>
  <c r="N174" i="39"/>
  <c r="O174" i="39"/>
  <c r="P174" i="39"/>
  <c r="Q174" i="39"/>
  <c r="M175" i="39"/>
  <c r="N175" i="39"/>
  <c r="O175" i="39"/>
  <c r="P175" i="39"/>
  <c r="Q175" i="39"/>
  <c r="L179" i="39"/>
  <c r="M179" i="39"/>
  <c r="N179" i="39"/>
  <c r="O179" i="39"/>
  <c r="P179" i="39"/>
  <c r="Q179" i="39"/>
  <c r="L180" i="39"/>
  <c r="M180" i="39"/>
  <c r="N180" i="39"/>
  <c r="O180" i="39"/>
  <c r="P180" i="39"/>
  <c r="Q180" i="39"/>
  <c r="L183" i="39"/>
  <c r="M183" i="39"/>
  <c r="N183" i="39"/>
  <c r="O183" i="39"/>
  <c r="P183" i="39"/>
  <c r="Q183" i="39"/>
  <c r="L184" i="39"/>
  <c r="M184" i="39"/>
  <c r="N184" i="39"/>
  <c r="O184" i="39"/>
  <c r="P184" i="39"/>
  <c r="Q184" i="39"/>
  <c r="L187" i="39"/>
  <c r="M187" i="39"/>
  <c r="N187" i="39"/>
  <c r="O187" i="39"/>
  <c r="P187" i="39"/>
  <c r="Q187" i="39"/>
  <c r="L188" i="39"/>
  <c r="M188" i="39"/>
  <c r="N188" i="39"/>
  <c r="O188" i="39"/>
  <c r="P188" i="39"/>
  <c r="Q188" i="39"/>
  <c r="L191" i="39"/>
  <c r="M191" i="39"/>
  <c r="N191" i="39"/>
  <c r="O191" i="39"/>
  <c r="P191" i="39"/>
  <c r="Q191" i="39"/>
  <c r="L192" i="39"/>
  <c r="M192" i="39"/>
  <c r="N192" i="39"/>
  <c r="O192" i="39"/>
  <c r="P192" i="39"/>
  <c r="Q192" i="39"/>
  <c r="L195" i="39"/>
  <c r="M195" i="39"/>
  <c r="N195" i="39"/>
  <c r="O195" i="39"/>
  <c r="P195" i="39"/>
  <c r="Q195" i="39"/>
  <c r="L196" i="39"/>
  <c r="M196" i="39"/>
  <c r="N196" i="39"/>
  <c r="O196" i="39"/>
  <c r="P196" i="39"/>
  <c r="Q196" i="39"/>
  <c r="L199" i="39"/>
  <c r="M199" i="39"/>
  <c r="N199" i="39"/>
  <c r="O199" i="39"/>
  <c r="P199" i="39"/>
  <c r="Q199" i="39"/>
  <c r="L200" i="39"/>
  <c r="M200" i="39"/>
  <c r="N200" i="39"/>
  <c r="O200" i="39"/>
  <c r="P200" i="39"/>
  <c r="Q200" i="39"/>
  <c r="L203" i="39"/>
  <c r="M203" i="39"/>
  <c r="N203" i="39"/>
  <c r="O203" i="39"/>
  <c r="P203" i="39"/>
  <c r="Q203" i="39"/>
  <c r="L204" i="39"/>
  <c r="M204" i="39"/>
  <c r="N204" i="39"/>
  <c r="O204" i="39"/>
  <c r="P204" i="39"/>
  <c r="Q204" i="39"/>
  <c r="L207" i="39"/>
  <c r="M207" i="39"/>
  <c r="N207" i="39"/>
  <c r="O207" i="39"/>
  <c r="P207" i="39"/>
  <c r="Q207" i="39"/>
  <c r="L208" i="39"/>
  <c r="M208" i="39"/>
  <c r="N208" i="39"/>
  <c r="O208" i="39"/>
  <c r="P208" i="39"/>
  <c r="Q208" i="39"/>
  <c r="M242" i="39"/>
  <c r="N242" i="39"/>
  <c r="O242" i="39"/>
  <c r="P242" i="39"/>
  <c r="Q242" i="39"/>
  <c r="M243" i="39"/>
  <c r="N243" i="39"/>
  <c r="O243" i="39"/>
  <c r="P243" i="39"/>
  <c r="Q243" i="39"/>
  <c r="M265" i="39"/>
  <c r="N265" i="39"/>
  <c r="O265" i="39"/>
  <c r="P265" i="39"/>
  <c r="Q265" i="39"/>
  <c r="M267" i="39"/>
  <c r="N267" i="39"/>
  <c r="O267" i="39"/>
  <c r="P267" i="39"/>
  <c r="Q267" i="39"/>
  <c r="L269" i="39"/>
  <c r="M269" i="39"/>
  <c r="N269" i="39"/>
  <c r="O269" i="39"/>
  <c r="P269" i="39"/>
  <c r="Q269" i="39"/>
  <c r="L270" i="39"/>
  <c r="M270" i="39"/>
  <c r="N270" i="39"/>
  <c r="O270" i="39"/>
  <c r="P270" i="39"/>
  <c r="Q270" i="39"/>
  <c r="L271" i="39"/>
  <c r="M271" i="39"/>
  <c r="N271" i="39"/>
  <c r="O271" i="39"/>
  <c r="P271" i="39"/>
  <c r="Q271" i="39"/>
  <c r="L272" i="39"/>
  <c r="M272" i="39"/>
  <c r="N272" i="39"/>
  <c r="O272" i="39"/>
  <c r="P272" i="39"/>
  <c r="Q272" i="39"/>
  <c r="L274" i="39"/>
  <c r="M274" i="39"/>
  <c r="N274" i="39"/>
  <c r="O274" i="39"/>
  <c r="P274" i="39"/>
  <c r="Q274" i="39"/>
  <c r="M276" i="39"/>
  <c r="N276" i="39"/>
  <c r="O276" i="39"/>
  <c r="P276" i="39"/>
  <c r="Q276" i="39"/>
  <c r="L277" i="39"/>
  <c r="M277" i="39"/>
  <c r="N277" i="39"/>
  <c r="O277" i="39"/>
  <c r="P277" i="39"/>
  <c r="Q277" i="39"/>
  <c r="L280" i="39"/>
  <c r="M280" i="39"/>
  <c r="N280" i="39"/>
  <c r="O280" i="39"/>
  <c r="P280" i="39"/>
  <c r="Q280" i="39"/>
  <c r="M282" i="39"/>
  <c r="N282" i="39"/>
  <c r="O282" i="39"/>
  <c r="P282" i="39"/>
  <c r="Q282" i="39"/>
  <c r="L283" i="39"/>
  <c r="M283" i="39"/>
  <c r="N283" i="39"/>
  <c r="O283" i="39"/>
  <c r="P283" i="39"/>
  <c r="Q283" i="39"/>
  <c r="M286" i="39"/>
  <c r="N286" i="39"/>
  <c r="O286" i="39"/>
  <c r="P286" i="39"/>
  <c r="Q286" i="39"/>
  <c r="M289" i="39"/>
  <c r="N289" i="39"/>
  <c r="O289" i="39"/>
  <c r="P289" i="39"/>
  <c r="Q289" i="39"/>
  <c r="M290" i="39"/>
  <c r="N290" i="39"/>
  <c r="O290" i="39"/>
  <c r="P290" i="39"/>
  <c r="Q290" i="39"/>
  <c r="M291" i="39"/>
  <c r="N291" i="39"/>
  <c r="O291" i="39"/>
  <c r="P291" i="39"/>
  <c r="Q291" i="39"/>
  <c r="M293" i="39"/>
  <c r="N293" i="39"/>
  <c r="O293" i="39"/>
  <c r="P293" i="39"/>
  <c r="Q293" i="39"/>
  <c r="M298" i="39"/>
  <c r="N298" i="39"/>
  <c r="O298" i="39"/>
  <c r="P298" i="39"/>
  <c r="Q298" i="39"/>
  <c r="M299" i="39"/>
  <c r="N299" i="39"/>
  <c r="O299" i="39"/>
  <c r="P299" i="39"/>
  <c r="Q299" i="39"/>
  <c r="L300" i="39"/>
  <c r="M300" i="39"/>
  <c r="N300" i="39"/>
  <c r="O300" i="39"/>
  <c r="P300" i="39"/>
  <c r="Q300" i="39"/>
  <c r="M304" i="39"/>
  <c r="N304" i="39"/>
  <c r="O304" i="39"/>
  <c r="P304" i="39"/>
  <c r="Q304" i="39"/>
  <c r="M305" i="39"/>
  <c r="N305" i="39"/>
  <c r="O305" i="39"/>
  <c r="P305" i="39"/>
  <c r="Q305" i="39"/>
  <c r="L306" i="39"/>
  <c r="M306" i="39"/>
  <c r="N306" i="39"/>
  <c r="O306" i="39"/>
  <c r="P306" i="39"/>
  <c r="Q306" i="39"/>
  <c r="L307" i="39"/>
  <c r="M307" i="39"/>
  <c r="N307" i="39"/>
  <c r="O307" i="39"/>
  <c r="P307" i="39"/>
  <c r="Q307" i="39"/>
  <c r="L313" i="39"/>
  <c r="M313" i="39"/>
  <c r="N313" i="39"/>
  <c r="O313" i="39"/>
  <c r="P313" i="39"/>
  <c r="Q313" i="39"/>
  <c r="L317" i="39"/>
  <c r="M317" i="39"/>
  <c r="N317" i="39"/>
  <c r="O317" i="39"/>
  <c r="P317" i="39"/>
  <c r="Q317" i="39"/>
  <c r="L319" i="39"/>
  <c r="M319" i="39"/>
  <c r="N319" i="39"/>
  <c r="O319" i="39"/>
  <c r="P319" i="39"/>
  <c r="Q319" i="39"/>
  <c r="L320" i="39"/>
  <c r="M320" i="39"/>
  <c r="N320" i="39"/>
  <c r="O320" i="39"/>
  <c r="P320" i="39"/>
  <c r="Q320" i="39"/>
  <c r="L321" i="39"/>
  <c r="M321" i="39"/>
  <c r="N321" i="39"/>
  <c r="O321" i="39"/>
  <c r="P321" i="39"/>
  <c r="Q321" i="39"/>
  <c r="L323" i="39"/>
  <c r="M323" i="39"/>
  <c r="N323" i="39"/>
  <c r="O323" i="39"/>
  <c r="P323" i="39"/>
  <c r="Q323" i="39"/>
  <c r="L329" i="39"/>
  <c r="M329" i="39"/>
  <c r="N329" i="39"/>
  <c r="O329" i="39"/>
  <c r="P329" i="39"/>
  <c r="Q329" i="39"/>
  <c r="L331" i="39"/>
  <c r="M331" i="39"/>
  <c r="N331" i="39"/>
  <c r="O331" i="39"/>
  <c r="P331" i="39"/>
  <c r="Q331" i="39"/>
  <c r="L332" i="39"/>
  <c r="M332" i="39"/>
  <c r="N332" i="39"/>
  <c r="O332" i="39"/>
  <c r="P332" i="39"/>
  <c r="Q332" i="39"/>
  <c r="L335" i="39"/>
  <c r="M335" i="39"/>
  <c r="N335" i="39"/>
  <c r="O335" i="39"/>
  <c r="P335" i="39"/>
  <c r="Q335" i="39"/>
  <c r="L336" i="39"/>
  <c r="M336" i="39"/>
  <c r="N336" i="39"/>
  <c r="O336" i="39"/>
  <c r="P336" i="39"/>
  <c r="Q336" i="39"/>
  <c r="L338" i="39"/>
  <c r="M338" i="39"/>
  <c r="N338" i="39"/>
  <c r="O338" i="39"/>
  <c r="P338" i="39"/>
  <c r="Q338" i="39"/>
  <c r="L341" i="39"/>
  <c r="M341" i="39"/>
  <c r="N341" i="39"/>
  <c r="O341" i="39"/>
  <c r="P341" i="39"/>
  <c r="Q341" i="39"/>
  <c r="L342" i="39"/>
  <c r="M342" i="39"/>
  <c r="N342" i="39"/>
  <c r="O342" i="39"/>
  <c r="P342" i="39"/>
  <c r="Q342" i="39"/>
  <c r="M346" i="39"/>
  <c r="N346" i="39"/>
  <c r="O346" i="39"/>
  <c r="P346" i="39"/>
  <c r="Q346" i="39"/>
  <c r="M348" i="39"/>
  <c r="N348" i="39"/>
  <c r="O348" i="39"/>
  <c r="P348" i="39"/>
  <c r="Q348" i="39"/>
  <c r="M349" i="39"/>
  <c r="N349" i="39"/>
  <c r="O349" i="39"/>
  <c r="P349" i="39"/>
  <c r="Q349" i="39"/>
  <c r="M350" i="39"/>
  <c r="N350" i="39"/>
  <c r="O350" i="39"/>
  <c r="P350" i="39"/>
  <c r="Q350" i="39"/>
  <c r="M351" i="39"/>
  <c r="N351" i="39"/>
  <c r="O351" i="39"/>
  <c r="P351" i="39"/>
  <c r="Q351" i="39"/>
  <c r="M357" i="39"/>
  <c r="N357" i="39"/>
  <c r="O357" i="39"/>
  <c r="P357" i="39"/>
  <c r="Q357" i="39"/>
  <c r="M363" i="39"/>
  <c r="N363" i="39"/>
  <c r="O363" i="39"/>
  <c r="P363" i="39"/>
  <c r="Q363" i="39"/>
  <c r="M367" i="39"/>
  <c r="N367" i="39"/>
  <c r="O367" i="39"/>
  <c r="P367" i="39"/>
  <c r="Q367" i="39"/>
  <c r="M368" i="39"/>
  <c r="N368" i="39"/>
  <c r="O368" i="39"/>
  <c r="P368" i="39"/>
  <c r="Q368" i="39"/>
  <c r="M369" i="39"/>
  <c r="N369" i="39"/>
  <c r="O369" i="39"/>
  <c r="P369" i="39"/>
  <c r="Q369" i="39"/>
  <c r="M371" i="39"/>
  <c r="N371" i="39"/>
  <c r="O371" i="39"/>
  <c r="P371" i="39"/>
  <c r="Q371" i="39"/>
  <c r="M373" i="39"/>
  <c r="N373" i="39"/>
  <c r="O373" i="39"/>
  <c r="P373" i="39"/>
  <c r="Q373" i="39"/>
  <c r="M374" i="39"/>
  <c r="N374" i="39"/>
  <c r="O374" i="39"/>
  <c r="P374" i="39"/>
  <c r="Q374" i="39"/>
  <c r="M376" i="39"/>
  <c r="N376" i="39"/>
  <c r="O376" i="39"/>
  <c r="P376" i="39"/>
  <c r="Q376" i="39"/>
  <c r="M377" i="39"/>
  <c r="N377" i="39"/>
  <c r="O377" i="39"/>
  <c r="P377" i="39"/>
  <c r="Q377" i="39"/>
  <c r="M382" i="39"/>
  <c r="N382" i="39"/>
  <c r="O382" i="39"/>
  <c r="P382" i="39"/>
  <c r="Q382" i="39"/>
  <c r="M383" i="39"/>
  <c r="N383" i="39"/>
  <c r="O383" i="39"/>
  <c r="P383" i="39"/>
  <c r="Q383" i="39"/>
  <c r="M384" i="39"/>
  <c r="N384" i="39"/>
  <c r="O384" i="39"/>
  <c r="P384" i="39"/>
  <c r="Q384" i="39"/>
  <c r="M386" i="39"/>
  <c r="N386" i="39"/>
  <c r="O386" i="39"/>
  <c r="P386" i="39"/>
  <c r="Q386" i="39"/>
  <c r="M387" i="39"/>
  <c r="N387" i="39"/>
  <c r="O387" i="39"/>
  <c r="P387" i="39"/>
  <c r="Q387" i="39"/>
  <c r="L390" i="39"/>
  <c r="M390" i="39"/>
  <c r="N390" i="39"/>
  <c r="O390" i="39"/>
  <c r="P390" i="39"/>
  <c r="Q390" i="39"/>
  <c r="M391" i="39"/>
  <c r="N391" i="39"/>
  <c r="O391" i="39"/>
  <c r="P391" i="39"/>
  <c r="Q391" i="39"/>
  <c r="L392" i="39"/>
  <c r="M392" i="39"/>
  <c r="N392" i="39"/>
  <c r="O392" i="39"/>
  <c r="P392" i="39"/>
  <c r="Q392" i="39"/>
  <c r="L397" i="39"/>
  <c r="M397" i="39"/>
  <c r="N397" i="39"/>
  <c r="O397" i="39"/>
  <c r="P397" i="39"/>
  <c r="Q397" i="39"/>
  <c r="L400" i="39"/>
  <c r="M400" i="39"/>
  <c r="N400" i="39"/>
  <c r="O400" i="39"/>
  <c r="P400" i="39"/>
  <c r="Q400" i="39"/>
  <c r="L401" i="39"/>
  <c r="M401" i="39"/>
  <c r="N401" i="39"/>
  <c r="O401" i="39"/>
  <c r="P401" i="39"/>
  <c r="Q401" i="39"/>
  <c r="N408" i="39"/>
  <c r="O408" i="39"/>
  <c r="P408" i="39"/>
  <c r="Q408" i="39"/>
  <c r="M409" i="39"/>
  <c r="N409" i="39"/>
  <c r="O409" i="39"/>
  <c r="P409" i="39"/>
  <c r="Q409" i="39"/>
  <c r="M414" i="39"/>
  <c r="N414" i="39"/>
  <c r="O414" i="39"/>
  <c r="P414" i="39"/>
  <c r="Q414" i="39"/>
  <c r="M417" i="39"/>
  <c r="N417" i="39"/>
  <c r="O417" i="39"/>
  <c r="P417" i="39"/>
  <c r="Q417" i="39"/>
  <c r="M418" i="39"/>
  <c r="N418" i="39"/>
  <c r="O418" i="39"/>
  <c r="P418" i="39"/>
  <c r="Q418" i="39"/>
  <c r="M420" i="39"/>
  <c r="N420" i="39"/>
  <c r="O420" i="39"/>
  <c r="P420" i="39"/>
  <c r="Q420" i="39"/>
  <c r="L423" i="39"/>
  <c r="M423" i="39"/>
  <c r="N423" i="39"/>
  <c r="O423" i="39"/>
  <c r="P423" i="39"/>
  <c r="Q423" i="39"/>
  <c r="L424" i="39"/>
  <c r="M424" i="39"/>
  <c r="N424" i="39"/>
  <c r="O424" i="39"/>
  <c r="P424" i="39"/>
  <c r="Q424" i="39"/>
  <c r="M425" i="39"/>
  <c r="N425" i="39"/>
  <c r="O425" i="39"/>
  <c r="P425" i="39"/>
  <c r="Q425" i="39"/>
  <c r="L426" i="39"/>
  <c r="M426" i="39"/>
  <c r="N426" i="39"/>
  <c r="O426" i="39"/>
  <c r="P426" i="39"/>
  <c r="Q426" i="39"/>
  <c r="L431" i="39"/>
  <c r="M431" i="39"/>
  <c r="N431" i="39"/>
  <c r="O431" i="39"/>
  <c r="P431" i="39"/>
  <c r="Q431" i="39"/>
  <c r="L433" i="39"/>
  <c r="M433" i="39"/>
  <c r="N433" i="39"/>
  <c r="O433" i="39"/>
  <c r="P433" i="39"/>
  <c r="Q433" i="39"/>
  <c r="L434" i="39"/>
  <c r="M434" i="39"/>
  <c r="N434" i="39"/>
  <c r="O434" i="39"/>
  <c r="P434" i="39"/>
  <c r="Q434" i="39"/>
  <c r="L435" i="39"/>
  <c r="M435" i="39"/>
  <c r="N435" i="39"/>
  <c r="O435" i="39"/>
  <c r="P435" i="39"/>
  <c r="Q435" i="39"/>
  <c r="M459" i="39"/>
  <c r="N459" i="39"/>
  <c r="O459" i="39"/>
  <c r="P459" i="39"/>
  <c r="Q459" i="39"/>
  <c r="M460" i="39"/>
  <c r="N460" i="39"/>
  <c r="O460" i="39"/>
  <c r="P460" i="39"/>
  <c r="Q460" i="39"/>
  <c r="M461" i="39"/>
  <c r="N461" i="39"/>
  <c r="O461" i="39"/>
  <c r="P461" i="39"/>
  <c r="Q461" i="39"/>
  <c r="M463" i="39"/>
  <c r="N463" i="39"/>
  <c r="O463" i="39"/>
  <c r="P463" i="39"/>
  <c r="Q463" i="39"/>
  <c r="M464" i="39"/>
  <c r="N464" i="39"/>
  <c r="O464" i="39"/>
  <c r="P464" i="39"/>
  <c r="Q464" i="39"/>
  <c r="M465" i="39"/>
  <c r="N465" i="39"/>
  <c r="O465" i="39"/>
  <c r="P465" i="39"/>
  <c r="Q465" i="39"/>
  <c r="M469" i="39"/>
  <c r="N469" i="39"/>
  <c r="O469" i="39"/>
  <c r="P469" i="39"/>
  <c r="Q469" i="39"/>
  <c r="M470" i="39"/>
  <c r="N470" i="39"/>
  <c r="O470" i="39"/>
  <c r="P470" i="39"/>
  <c r="Q470" i="39"/>
  <c r="M472" i="39"/>
  <c r="N472" i="39"/>
  <c r="O472" i="39"/>
  <c r="P472" i="39"/>
  <c r="Q472" i="39"/>
  <c r="M8" i="42"/>
  <c r="M39" i="42" s="1"/>
  <c r="M41" i="42" s="1"/>
  <c r="N8" i="42"/>
  <c r="N39" i="42" s="1"/>
  <c r="O8" i="42"/>
  <c r="P8" i="42"/>
  <c r="Q8" i="42"/>
  <c r="M16" i="42"/>
  <c r="M17" i="42" s="1"/>
  <c r="N16" i="42"/>
  <c r="N17" i="42" s="1"/>
  <c r="O16" i="42"/>
  <c r="O17" i="42" s="1"/>
  <c r="P16" i="42"/>
  <c r="P17" i="42" s="1"/>
  <c r="Q16" i="42"/>
  <c r="Q17" i="42" s="1"/>
  <c r="M25" i="42"/>
  <c r="M22" i="42" s="1"/>
  <c r="N25" i="42"/>
  <c r="N22" i="42" s="1"/>
  <c r="O25" i="42"/>
  <c r="O22" i="42" s="1"/>
  <c r="P25" i="42"/>
  <c r="P22" i="42" s="1"/>
  <c r="Q25" i="42"/>
  <c r="Q22" i="42" s="1"/>
  <c r="M30" i="42"/>
  <c r="N30" i="42"/>
  <c r="O30" i="42"/>
  <c r="P30" i="42"/>
  <c r="P32" i="42" s="1"/>
  <c r="P19" i="42" s="1"/>
  <c r="Q30" i="42"/>
  <c r="Q32" i="42" s="1"/>
  <c r="Q19" i="42" s="1"/>
  <c r="M31" i="42"/>
  <c r="M32" i="42" s="1"/>
  <c r="M19" i="42" s="1"/>
  <c r="N31" i="42"/>
  <c r="N32" i="42" s="1"/>
  <c r="N19" i="42" s="1"/>
  <c r="O31" i="42"/>
  <c r="O32" i="42" s="1"/>
  <c r="O19" i="42" s="1"/>
  <c r="P31" i="42"/>
  <c r="Q31" i="42"/>
  <c r="O39" i="42"/>
  <c r="P39" i="42"/>
  <c r="Q39" i="42"/>
  <c r="M40" i="42"/>
  <c r="N40" i="42"/>
  <c r="O40" i="42"/>
  <c r="P40" i="42"/>
  <c r="Q40" i="42"/>
  <c r="Q41" i="42"/>
  <c r="M45" i="42"/>
  <c r="N45" i="42"/>
  <c r="O45" i="42"/>
  <c r="P45" i="42"/>
  <c r="Q45" i="42"/>
  <c r="J27" i="71"/>
  <c r="K27" i="71"/>
  <c r="M27" i="71"/>
  <c r="R27" i="71" s="1"/>
  <c r="N27" i="71"/>
  <c r="O27" i="71"/>
  <c r="T27" i="71" s="1"/>
  <c r="P27" i="71"/>
  <c r="S27" i="71"/>
  <c r="U27" i="71"/>
  <c r="T17" i="40"/>
  <c r="V17" i="40"/>
  <c r="X17" i="40"/>
  <c r="Z17" i="40"/>
  <c r="T18" i="40"/>
  <c r="V18" i="40"/>
  <c r="X18" i="40"/>
  <c r="Z18" i="40"/>
  <c r="F19" i="40"/>
  <c r="H19" i="40"/>
  <c r="J19" i="40"/>
  <c r="L19" i="40"/>
  <c r="N19" i="40"/>
  <c r="T19" i="40"/>
  <c r="V19" i="40"/>
  <c r="X19" i="40"/>
  <c r="Z19" i="40"/>
  <c r="F20" i="40"/>
  <c r="H20" i="40"/>
  <c r="J20" i="40"/>
  <c r="L20" i="40"/>
  <c r="N20" i="40"/>
  <c r="T20" i="40"/>
  <c r="V20" i="40"/>
  <c r="X20" i="40"/>
  <c r="Z20" i="40"/>
  <c r="T22" i="40"/>
  <c r="V22" i="40"/>
  <c r="X22" i="40"/>
  <c r="Z22" i="40"/>
  <c r="T23" i="40"/>
  <c r="V23" i="40"/>
  <c r="X23" i="40"/>
  <c r="Z23" i="40"/>
  <c r="T27" i="40"/>
  <c r="V27" i="40"/>
  <c r="X27" i="40"/>
  <c r="Z27" i="40"/>
  <c r="T28" i="40"/>
  <c r="V28" i="40"/>
  <c r="X28" i="40"/>
  <c r="Z28" i="40"/>
  <c r="F29" i="40"/>
  <c r="H29" i="40"/>
  <c r="J29" i="40"/>
  <c r="L29" i="40"/>
  <c r="N29" i="40"/>
  <c r="T29" i="40"/>
  <c r="V29" i="40"/>
  <c r="X29" i="40"/>
  <c r="Z29" i="40"/>
  <c r="V33" i="40"/>
  <c r="X33" i="40"/>
  <c r="Z33" i="40"/>
  <c r="AB33" i="40"/>
  <c r="V34" i="40"/>
  <c r="X34" i="40"/>
  <c r="Z34" i="40"/>
  <c r="AB34" i="40"/>
  <c r="F35" i="40"/>
  <c r="H35" i="40"/>
  <c r="J35" i="40"/>
  <c r="L35" i="40"/>
  <c r="N35" i="40"/>
  <c r="P35" i="40"/>
  <c r="V35" i="40"/>
  <c r="X35" i="40"/>
  <c r="Z35" i="40"/>
  <c r="AB35" i="40"/>
  <c r="F36" i="40"/>
  <c r="H36" i="40"/>
  <c r="J36" i="40"/>
  <c r="L36" i="40"/>
  <c r="N36" i="40"/>
  <c r="P36" i="40"/>
  <c r="V36" i="40"/>
  <c r="X36" i="40"/>
  <c r="Z36" i="40"/>
  <c r="AB36" i="40"/>
  <c r="F39" i="40"/>
  <c r="H39" i="40"/>
  <c r="J39" i="40"/>
  <c r="L39" i="40"/>
  <c r="N39" i="40"/>
  <c r="T39" i="40"/>
  <c r="V39" i="40"/>
  <c r="X39" i="40"/>
  <c r="Z39" i="40"/>
  <c r="F40" i="40"/>
  <c r="H40" i="40"/>
  <c r="J40" i="40"/>
  <c r="L40" i="40"/>
  <c r="N40" i="40"/>
  <c r="T40" i="40"/>
  <c r="V40" i="40"/>
  <c r="X40" i="40"/>
  <c r="Z40" i="40"/>
  <c r="T41" i="40"/>
  <c r="V41" i="40"/>
  <c r="X41" i="40"/>
  <c r="Z41" i="40"/>
  <c r="F44" i="40"/>
  <c r="H44" i="40"/>
  <c r="J44" i="40"/>
  <c r="L44" i="40"/>
  <c r="N44" i="40"/>
  <c r="T44" i="40"/>
  <c r="V44" i="40"/>
  <c r="X44" i="40"/>
  <c r="Z44" i="40"/>
  <c r="F47" i="40"/>
  <c r="H47" i="40"/>
  <c r="J47" i="40"/>
  <c r="L47" i="40"/>
  <c r="N47" i="40"/>
  <c r="R47" i="40"/>
  <c r="T47" i="40"/>
  <c r="V47" i="40"/>
  <c r="X47" i="40"/>
  <c r="Z47" i="40"/>
  <c r="F48" i="40"/>
  <c r="H48" i="40"/>
  <c r="J48" i="40"/>
  <c r="L48" i="40"/>
  <c r="N48" i="40"/>
  <c r="R48" i="40"/>
  <c r="T48" i="40"/>
  <c r="V48" i="40"/>
  <c r="X48" i="40"/>
  <c r="Z48" i="40"/>
  <c r="F49" i="40"/>
  <c r="H49" i="40"/>
  <c r="J49" i="40"/>
  <c r="L49" i="40"/>
  <c r="N49" i="40"/>
  <c r="R49" i="40"/>
  <c r="T49" i="40"/>
  <c r="V49" i="40"/>
  <c r="X49" i="40"/>
  <c r="Z49" i="40"/>
  <c r="F50" i="40"/>
  <c r="H50" i="40"/>
  <c r="J50" i="40"/>
  <c r="L50" i="40"/>
  <c r="N50" i="40"/>
  <c r="R50" i="40"/>
  <c r="T50" i="40"/>
  <c r="V50" i="40"/>
  <c r="X50" i="40"/>
  <c r="Z50" i="40"/>
  <c r="F51" i="40"/>
  <c r="H51" i="40"/>
  <c r="J51" i="40"/>
  <c r="L51" i="40"/>
  <c r="N51" i="40"/>
  <c r="R51" i="40"/>
  <c r="T51" i="40"/>
  <c r="V51" i="40"/>
  <c r="X51" i="40"/>
  <c r="Z51" i="40"/>
  <c r="F60" i="40"/>
  <c r="H60" i="40"/>
  <c r="J60" i="40"/>
  <c r="L60" i="40"/>
  <c r="N60" i="40"/>
  <c r="T60" i="40"/>
  <c r="V60" i="40"/>
  <c r="X60" i="40"/>
  <c r="Z60" i="40"/>
  <c r="T63" i="40"/>
  <c r="V63" i="40"/>
  <c r="X63" i="40"/>
  <c r="Z63" i="40"/>
  <c r="F65" i="40"/>
  <c r="H65" i="40"/>
  <c r="J65" i="40"/>
  <c r="L65" i="40"/>
  <c r="N65" i="40"/>
  <c r="T65" i="40"/>
  <c r="V65" i="40"/>
  <c r="X65" i="40"/>
  <c r="Z65" i="40"/>
  <c r="T68" i="40"/>
  <c r="V68" i="40"/>
  <c r="X68" i="40"/>
  <c r="Z68" i="40"/>
  <c r="T69" i="40"/>
  <c r="V69" i="40"/>
  <c r="X69" i="40"/>
  <c r="Z69" i="40"/>
  <c r="T70" i="40"/>
  <c r="V70" i="40"/>
  <c r="X70" i="40"/>
  <c r="Z70" i="40"/>
  <c r="T71" i="40"/>
  <c r="V71" i="40"/>
  <c r="X71" i="40"/>
  <c r="Z71" i="40"/>
  <c r="T74" i="40"/>
  <c r="V74" i="40"/>
  <c r="X74" i="40"/>
  <c r="Z74" i="40"/>
  <c r="G20" i="69"/>
  <c r="H20" i="69"/>
  <c r="I20" i="69"/>
  <c r="J20" i="69"/>
  <c r="K20" i="69"/>
  <c r="L20" i="69"/>
  <c r="M20" i="69"/>
  <c r="N20" i="69"/>
  <c r="O20" i="69"/>
  <c r="P20" i="69"/>
  <c r="Q20" i="69"/>
  <c r="R20" i="69"/>
  <c r="G34" i="69"/>
  <c r="H34" i="69"/>
  <c r="I34" i="69"/>
  <c r="J34" i="69"/>
  <c r="K34" i="69"/>
  <c r="L34" i="69"/>
  <c r="N34" i="69"/>
  <c r="O34" i="69"/>
  <c r="P34" i="69"/>
  <c r="Q34" i="69"/>
  <c r="D40" i="69"/>
  <c r="E40" i="69"/>
  <c r="F40" i="69"/>
  <c r="G40" i="69"/>
  <c r="H40" i="69"/>
  <c r="I40" i="69"/>
  <c r="J40" i="69"/>
  <c r="K40" i="69"/>
  <c r="L40" i="69"/>
  <c r="M40" i="69"/>
  <c r="N40" i="69"/>
  <c r="O40" i="69"/>
  <c r="P40" i="69"/>
  <c r="Q40" i="69"/>
  <c r="R40" i="69"/>
  <c r="F21" i="46"/>
  <c r="G21" i="46"/>
  <c r="I21" i="46"/>
  <c r="J21" i="46"/>
  <c r="L21" i="46"/>
  <c r="M21" i="46"/>
  <c r="F22" i="46"/>
  <c r="G22" i="46"/>
  <c r="I22" i="46"/>
  <c r="J22" i="46"/>
  <c r="L22" i="46"/>
  <c r="M22" i="46"/>
  <c r="F23" i="46"/>
  <c r="I23" i="46"/>
  <c r="L23" i="46"/>
  <c r="G21" i="41"/>
  <c r="L21" i="41"/>
  <c r="G22" i="41"/>
  <c r="L22" i="41"/>
  <c r="G31" i="41"/>
  <c r="L31" i="41"/>
  <c r="P31" i="41"/>
  <c r="G32" i="41"/>
  <c r="L32" i="41"/>
  <c r="P32" i="41"/>
  <c r="G29" i="75"/>
  <c r="H29" i="75"/>
  <c r="I29" i="75"/>
  <c r="J29" i="75"/>
  <c r="K29" i="75"/>
  <c r="L29" i="75"/>
  <c r="M29" i="75"/>
  <c r="N29" i="75"/>
  <c r="O29" i="75"/>
  <c r="P29" i="75"/>
  <c r="Q29" i="75"/>
  <c r="R29" i="75"/>
  <c r="G41" i="75"/>
  <c r="H41" i="75"/>
  <c r="I41" i="75"/>
  <c r="J41" i="75"/>
  <c r="K41" i="75"/>
  <c r="L41" i="75"/>
  <c r="M41" i="75"/>
  <c r="N41" i="75"/>
  <c r="O41" i="75"/>
  <c r="P41" i="75"/>
  <c r="Q41" i="75"/>
  <c r="R41" i="75"/>
  <c r="G48" i="75"/>
  <c r="H48" i="75"/>
  <c r="I48" i="75"/>
  <c r="J48" i="75"/>
  <c r="K48" i="75"/>
  <c r="L48" i="75"/>
  <c r="M48" i="75"/>
  <c r="N48" i="75"/>
  <c r="O48" i="75"/>
  <c r="P48" i="75"/>
  <c r="Q48" i="75"/>
  <c r="R48" i="75"/>
  <c r="G49" i="75"/>
  <c r="H49" i="75"/>
  <c r="I49" i="75"/>
  <c r="J49" i="75"/>
  <c r="K49" i="75"/>
  <c r="L49" i="75"/>
  <c r="M49" i="75"/>
  <c r="N49" i="75"/>
  <c r="O49" i="75"/>
  <c r="P49" i="75"/>
  <c r="Q49" i="75"/>
  <c r="R49" i="75"/>
  <c r="G60" i="75"/>
  <c r="H60" i="75"/>
  <c r="I60" i="75"/>
  <c r="J60" i="75"/>
  <c r="K60" i="75"/>
  <c r="L60" i="75"/>
  <c r="M60" i="75"/>
  <c r="N60" i="75"/>
  <c r="O60" i="75"/>
  <c r="P60" i="75"/>
  <c r="Q60" i="75"/>
  <c r="R60" i="75"/>
  <c r="G61" i="75"/>
  <c r="H61" i="75"/>
  <c r="I61" i="75"/>
  <c r="J61" i="75"/>
  <c r="K61" i="75"/>
  <c r="L61" i="75"/>
  <c r="M61" i="75"/>
  <c r="N61" i="75"/>
  <c r="O61" i="75"/>
  <c r="P61" i="75"/>
  <c r="Q61" i="75"/>
  <c r="R61" i="75"/>
  <c r="G62" i="75"/>
  <c r="H62" i="75"/>
  <c r="I62" i="75"/>
  <c r="J62" i="75"/>
  <c r="K62" i="75"/>
  <c r="L62" i="75"/>
  <c r="M62" i="75"/>
  <c r="N62" i="75"/>
  <c r="O62" i="75"/>
  <c r="P62" i="75"/>
  <c r="Q62" i="75"/>
  <c r="R62" i="75"/>
  <c r="G63" i="75"/>
  <c r="H63" i="75"/>
  <c r="I63" i="75"/>
  <c r="J63" i="75"/>
  <c r="K63" i="75"/>
  <c r="L63" i="75"/>
  <c r="M63" i="75"/>
  <c r="N63" i="75"/>
  <c r="O63" i="75"/>
  <c r="P63" i="75"/>
  <c r="Q63" i="75"/>
  <c r="R63" i="75"/>
  <c r="G64" i="75"/>
  <c r="H64" i="75"/>
  <c r="I64" i="75"/>
  <c r="J64" i="75"/>
  <c r="K64" i="75"/>
  <c r="L64" i="75"/>
  <c r="M64" i="75"/>
  <c r="N64" i="75"/>
  <c r="O64" i="75"/>
  <c r="P64" i="75"/>
  <c r="Q64" i="75"/>
  <c r="R64" i="75"/>
  <c r="G65" i="75"/>
  <c r="H65" i="75"/>
  <c r="I65" i="75"/>
  <c r="J65" i="75"/>
  <c r="K65" i="75"/>
  <c r="L65" i="75"/>
  <c r="M65" i="75"/>
  <c r="N65" i="75"/>
  <c r="O65" i="75"/>
  <c r="P65" i="75"/>
  <c r="Q65" i="75"/>
  <c r="R65" i="75"/>
  <c r="G66" i="75"/>
  <c r="H66" i="75"/>
  <c r="I66" i="75"/>
  <c r="J66" i="75"/>
  <c r="K66" i="75"/>
  <c r="L66" i="75"/>
  <c r="M66" i="75"/>
  <c r="N66" i="75"/>
  <c r="O66" i="75"/>
  <c r="P66" i="75"/>
  <c r="Q66" i="75"/>
  <c r="R66" i="75"/>
  <c r="G67" i="75"/>
  <c r="H67" i="75"/>
  <c r="I67" i="75"/>
  <c r="J67" i="75"/>
  <c r="K67" i="75"/>
  <c r="L67" i="75"/>
  <c r="M67" i="75"/>
  <c r="N67" i="75"/>
  <c r="O67" i="75"/>
  <c r="P67" i="75"/>
  <c r="Q67" i="75"/>
  <c r="R67" i="75"/>
  <c r="G72" i="75"/>
  <c r="H72" i="75"/>
  <c r="I72" i="75"/>
  <c r="J72" i="75"/>
  <c r="K72" i="75"/>
  <c r="L72" i="75"/>
  <c r="M72" i="75"/>
  <c r="N72" i="75"/>
  <c r="O72" i="75"/>
  <c r="P72" i="75"/>
  <c r="Q72" i="75"/>
  <c r="R72" i="75"/>
  <c r="G73" i="75"/>
  <c r="H73" i="75"/>
  <c r="I73" i="75"/>
  <c r="J73" i="75"/>
  <c r="K73" i="75"/>
  <c r="L73" i="75"/>
  <c r="M73" i="75"/>
  <c r="N73" i="75"/>
  <c r="O73" i="75"/>
  <c r="P73" i="75"/>
  <c r="Q73" i="75"/>
  <c r="R73" i="75"/>
  <c r="G74" i="75"/>
  <c r="H74" i="75"/>
  <c r="I74" i="75"/>
  <c r="J74" i="75"/>
  <c r="K74" i="75"/>
  <c r="L74" i="75"/>
  <c r="M74" i="75"/>
  <c r="N74" i="75"/>
  <c r="O74" i="75"/>
  <c r="P74" i="75"/>
  <c r="Q74" i="75"/>
  <c r="R74" i="75"/>
  <c r="G75" i="75"/>
  <c r="H75" i="75"/>
  <c r="I75" i="75"/>
  <c r="J75" i="75"/>
  <c r="K75" i="75"/>
  <c r="L75" i="75"/>
  <c r="M75" i="75"/>
  <c r="N75" i="75"/>
  <c r="O75" i="75"/>
  <c r="P75" i="75"/>
  <c r="Q75" i="75"/>
  <c r="R75" i="75"/>
  <c r="G76" i="75"/>
  <c r="H76" i="75"/>
  <c r="I76" i="75"/>
  <c r="J76" i="75"/>
  <c r="K76" i="75"/>
  <c r="L76" i="75"/>
  <c r="M76" i="75"/>
  <c r="N76" i="75"/>
  <c r="O76" i="75"/>
  <c r="P76" i="75"/>
  <c r="Q76" i="75"/>
  <c r="R76" i="75"/>
  <c r="G77" i="75"/>
  <c r="H77" i="75"/>
  <c r="I77" i="75"/>
  <c r="J77" i="75"/>
  <c r="K77" i="75"/>
  <c r="L77" i="75"/>
  <c r="M77" i="75"/>
  <c r="N77" i="75"/>
  <c r="O77" i="75"/>
  <c r="P77" i="75"/>
  <c r="Q77" i="75"/>
  <c r="R77" i="75"/>
  <c r="G78" i="75"/>
  <c r="H78" i="75"/>
  <c r="I78" i="75"/>
  <c r="J78" i="75"/>
  <c r="K78" i="75"/>
  <c r="L78" i="75"/>
  <c r="M78" i="75"/>
  <c r="N78" i="75"/>
  <c r="O78" i="75"/>
  <c r="P78" i="75"/>
  <c r="Q78" i="75"/>
  <c r="R78" i="75"/>
  <c r="G79" i="75"/>
  <c r="H79" i="75"/>
  <c r="I79" i="75"/>
  <c r="J79" i="75"/>
  <c r="K79" i="75"/>
  <c r="L79" i="75"/>
  <c r="M79" i="75"/>
  <c r="N79" i="75"/>
  <c r="O79" i="75"/>
  <c r="P79" i="75"/>
  <c r="Q79" i="75"/>
  <c r="R79" i="75"/>
  <c r="Q2" i="38"/>
  <c r="L13" i="38"/>
  <c r="M13" i="38"/>
  <c r="N13" i="38"/>
  <c r="X13" i="38"/>
  <c r="Y13" i="38"/>
  <c r="Z13" i="38"/>
  <c r="L14" i="38"/>
  <c r="M14" i="38"/>
  <c r="N14" i="38"/>
  <c r="X14" i="38"/>
  <c r="Y14" i="38"/>
  <c r="Z14" i="38"/>
  <c r="L15" i="38"/>
  <c r="M15" i="38"/>
  <c r="N15" i="38"/>
  <c r="X15" i="38"/>
  <c r="Y15" i="38"/>
  <c r="Z15" i="38"/>
  <c r="L16" i="38"/>
  <c r="M16" i="38"/>
  <c r="N16" i="38"/>
  <c r="X16" i="38"/>
  <c r="Y16" i="38"/>
  <c r="Z16" i="38"/>
  <c r="L17" i="38"/>
  <c r="M17" i="38"/>
  <c r="N17" i="38"/>
  <c r="X17" i="38"/>
  <c r="Y17" i="38"/>
  <c r="Z17" i="38"/>
  <c r="L18" i="38"/>
  <c r="M18" i="38"/>
  <c r="W18" i="38"/>
  <c r="X18" i="38"/>
  <c r="Y18" i="38"/>
  <c r="M19" i="38"/>
  <c r="G20" i="38"/>
  <c r="L20" i="38"/>
  <c r="M20" i="38"/>
  <c r="W20" i="38"/>
  <c r="X20" i="38"/>
  <c r="Y20" i="38"/>
  <c r="G21" i="38"/>
  <c r="L21" i="38"/>
  <c r="M21" i="38"/>
  <c r="W21" i="38"/>
  <c r="X21" i="38"/>
  <c r="Y21" i="38"/>
  <c r="B22" i="38"/>
  <c r="G22" i="38"/>
  <c r="L22" i="38"/>
  <c r="M22" i="38"/>
  <c r="W22" i="38"/>
  <c r="X22" i="38"/>
  <c r="Y22" i="38"/>
  <c r="G24" i="38"/>
  <c r="X26" i="38"/>
  <c r="X27" i="38"/>
  <c r="X28" i="38"/>
  <c r="L30" i="38"/>
  <c r="M30" i="38"/>
  <c r="N30" i="38"/>
  <c r="O30" i="38"/>
  <c r="P30" i="38"/>
  <c r="Q30" i="38"/>
  <c r="L31" i="38"/>
  <c r="M31" i="38"/>
  <c r="N31" i="38"/>
  <c r="O31" i="38"/>
  <c r="P31" i="38"/>
  <c r="Q31" i="38"/>
  <c r="L33" i="38"/>
  <c r="M33" i="38"/>
  <c r="N33" i="38"/>
  <c r="O33" i="38"/>
  <c r="P33" i="38"/>
  <c r="Q33" i="38"/>
  <c r="L34" i="38"/>
  <c r="M34" i="38"/>
  <c r="N34" i="38"/>
  <c r="O34" i="38"/>
  <c r="P34" i="38"/>
  <c r="Q34" i="38"/>
  <c r="L36" i="38"/>
  <c r="M36" i="38"/>
  <c r="N36" i="38"/>
  <c r="O36" i="38"/>
  <c r="P36" i="38"/>
  <c r="Q36" i="38"/>
  <c r="L37" i="38"/>
  <c r="M37" i="38"/>
  <c r="N37" i="38"/>
  <c r="O37" i="38"/>
  <c r="P37" i="38"/>
  <c r="Q37" i="38"/>
  <c r="L38" i="38"/>
  <c r="M38" i="38"/>
  <c r="N38" i="38"/>
  <c r="O38" i="38"/>
  <c r="P38" i="38"/>
  <c r="Q38" i="38"/>
  <c r="L40" i="38"/>
  <c r="M40" i="38"/>
  <c r="N40" i="38"/>
  <c r="O40" i="38"/>
  <c r="P40" i="38"/>
  <c r="Q40" i="38"/>
  <c r="L41" i="38"/>
  <c r="M41" i="38"/>
  <c r="N41" i="38"/>
  <c r="O41" i="38"/>
  <c r="P41" i="38"/>
  <c r="Q41" i="38"/>
  <c r="L42" i="38"/>
  <c r="M42" i="38"/>
  <c r="N42" i="38"/>
  <c r="O42" i="38"/>
  <c r="P42" i="38"/>
  <c r="Q42" i="38"/>
  <c r="L44" i="38"/>
  <c r="M44" i="38"/>
  <c r="N44" i="38"/>
  <c r="O44" i="38"/>
  <c r="P44" i="38"/>
  <c r="Q44" i="38"/>
  <c r="F59" i="38"/>
  <c r="F61" i="38"/>
  <c r="F64" i="38"/>
  <c r="F66" i="38"/>
  <c r="F69" i="38"/>
  <c r="F70" i="38"/>
  <c r="F71" i="38"/>
  <c r="F72" i="38"/>
  <c r="M74" i="38"/>
  <c r="O74" i="38"/>
  <c r="Q74" i="38"/>
  <c r="M75" i="38"/>
  <c r="O75" i="38"/>
  <c r="Q75" i="38"/>
  <c r="M76" i="38"/>
  <c r="O76" i="38"/>
  <c r="Q76" i="38"/>
  <c r="M77" i="38"/>
  <c r="N77" i="38"/>
  <c r="O77" i="38"/>
  <c r="Q77" i="38"/>
  <c r="M82" i="38"/>
  <c r="O82" i="38"/>
  <c r="Q82" i="38"/>
  <c r="M83" i="38"/>
  <c r="O83" i="38"/>
  <c r="Q83" i="38"/>
  <c r="M84" i="38"/>
  <c r="O84" i="38"/>
  <c r="Q84" i="38"/>
  <c r="M85" i="38"/>
  <c r="O85" i="38"/>
  <c r="Q85" i="38"/>
  <c r="N93" i="38"/>
  <c r="P93" i="38"/>
  <c r="H97" i="38"/>
  <c r="P97" i="38"/>
  <c r="L100" i="38"/>
  <c r="P100" i="38"/>
  <c r="L101" i="38"/>
  <c r="P101" i="38"/>
  <c r="N102" i="38"/>
  <c r="P102" i="38"/>
  <c r="H104" i="38"/>
  <c r="P104" i="38"/>
  <c r="H110" i="38"/>
  <c r="N110" i="38"/>
  <c r="P110" i="38"/>
  <c r="N112" i="38"/>
  <c r="P112" i="38"/>
  <c r="L113" i="38"/>
  <c r="P113" i="38"/>
  <c r="H116" i="38"/>
  <c r="L116" i="38"/>
  <c r="N116" i="38"/>
  <c r="P116" i="38"/>
  <c r="H117" i="38"/>
  <c r="P117" i="38"/>
  <c r="H119" i="38"/>
  <c r="P119" i="38"/>
  <c r="L133" i="38"/>
  <c r="M133" i="38"/>
  <c r="N133" i="38"/>
  <c r="O133" i="38"/>
  <c r="P133" i="38"/>
  <c r="Q133" i="38"/>
  <c r="L134" i="38"/>
  <c r="M134" i="38"/>
  <c r="N134" i="38"/>
  <c r="O134" i="38"/>
  <c r="P134" i="38"/>
  <c r="Q134" i="38"/>
  <c r="L136" i="38"/>
  <c r="M136" i="38"/>
  <c r="N136" i="38"/>
  <c r="O136" i="38"/>
  <c r="P136" i="38"/>
  <c r="Q136" i="38"/>
  <c r="L137" i="38"/>
  <c r="M137" i="38"/>
  <c r="N137" i="38"/>
  <c r="O137" i="38"/>
  <c r="P137" i="38"/>
  <c r="Q137" i="38"/>
  <c r="L138" i="38"/>
  <c r="M138" i="38"/>
  <c r="N138" i="38"/>
  <c r="O138" i="38"/>
  <c r="P138" i="38"/>
  <c r="Q138" i="38"/>
  <c r="L139" i="38"/>
  <c r="M139" i="38"/>
  <c r="N139" i="38"/>
  <c r="O139" i="38"/>
  <c r="P139" i="38"/>
  <c r="Q139" i="38"/>
  <c r="L152" i="38"/>
  <c r="M152" i="38"/>
  <c r="N152" i="38"/>
  <c r="O152" i="38"/>
  <c r="P152" i="38"/>
  <c r="Q152" i="38"/>
  <c r="L153" i="38"/>
  <c r="M153" i="38"/>
  <c r="N153" i="38"/>
  <c r="O153" i="38"/>
  <c r="P153" i="38"/>
  <c r="Q153" i="38"/>
  <c r="M158" i="38"/>
  <c r="N158" i="38"/>
  <c r="O158" i="38"/>
  <c r="P158" i="38"/>
  <c r="Q158" i="38"/>
  <c r="L159" i="38"/>
  <c r="M159" i="38"/>
  <c r="N159" i="38"/>
  <c r="O159" i="38"/>
  <c r="P159" i="38"/>
  <c r="Q159" i="38"/>
  <c r="L164" i="38"/>
  <c r="M164" i="38"/>
  <c r="N164" i="38"/>
  <c r="O164" i="38"/>
  <c r="P164" i="38"/>
  <c r="Q164" i="38"/>
  <c r="L168" i="38"/>
  <c r="M168" i="38"/>
  <c r="N168" i="38"/>
  <c r="O168" i="38"/>
  <c r="P168" i="38"/>
  <c r="Q168" i="38"/>
  <c r="L170" i="38"/>
  <c r="M170" i="38"/>
  <c r="N170" i="38"/>
  <c r="O170" i="38"/>
  <c r="P170" i="38"/>
  <c r="Q170" i="38"/>
  <c r="L171" i="38"/>
  <c r="M171" i="38"/>
  <c r="N171" i="38"/>
  <c r="O171" i="38"/>
  <c r="P171" i="38"/>
  <c r="Q171" i="38"/>
  <c r="L172" i="38"/>
  <c r="M172" i="38"/>
  <c r="N172" i="38"/>
  <c r="O172" i="38"/>
  <c r="P172" i="38"/>
  <c r="Q172" i="38"/>
  <c r="L174" i="38"/>
  <c r="M174" i="38"/>
  <c r="N174" i="38"/>
  <c r="O174" i="38"/>
  <c r="P174" i="38"/>
  <c r="Q174" i="38"/>
  <c r="L180" i="38"/>
  <c r="M180" i="38"/>
  <c r="N180" i="38"/>
  <c r="O180" i="38"/>
  <c r="P180" i="38"/>
  <c r="Q180" i="38"/>
  <c r="L182" i="38"/>
  <c r="M182" i="38"/>
  <c r="N182" i="38"/>
  <c r="O182" i="38"/>
  <c r="P182" i="38"/>
  <c r="Q182" i="38"/>
  <c r="L183" i="38"/>
  <c r="M183" i="38"/>
  <c r="N183" i="38"/>
  <c r="O183" i="38"/>
  <c r="P183" i="38"/>
  <c r="Q183" i="38"/>
  <c r="L186" i="38"/>
  <c r="M186" i="38"/>
  <c r="N186" i="38"/>
  <c r="O186" i="38"/>
  <c r="P186" i="38"/>
  <c r="Q186" i="38"/>
  <c r="L187" i="38"/>
  <c r="M187" i="38"/>
  <c r="N187" i="38"/>
  <c r="O187" i="38"/>
  <c r="P187" i="38"/>
  <c r="Q187" i="38"/>
  <c r="L189" i="38"/>
  <c r="M189" i="38"/>
  <c r="N189" i="38"/>
  <c r="O189" i="38"/>
  <c r="P189" i="38"/>
  <c r="Q189" i="38"/>
  <c r="L194" i="38"/>
  <c r="M194" i="38"/>
  <c r="N194" i="38"/>
  <c r="O194" i="38"/>
  <c r="P194" i="38"/>
  <c r="Q194" i="38"/>
  <c r="L195" i="38"/>
  <c r="M195" i="38"/>
  <c r="N195" i="38"/>
  <c r="O195" i="38"/>
  <c r="P195" i="38"/>
  <c r="Q195" i="38"/>
  <c r="L197" i="38"/>
  <c r="M197" i="38"/>
  <c r="N197" i="38"/>
  <c r="O197" i="38"/>
  <c r="P197" i="38"/>
  <c r="Q197" i="38"/>
  <c r="L198" i="38"/>
  <c r="M198" i="38"/>
  <c r="N198" i="38"/>
  <c r="O198" i="38"/>
  <c r="P198" i="38"/>
  <c r="Q198" i="38"/>
  <c r="M202" i="38"/>
  <c r="N202" i="38"/>
  <c r="O202" i="38"/>
  <c r="P202" i="38"/>
  <c r="Q202" i="38"/>
  <c r="M205" i="38"/>
  <c r="N205" i="38"/>
  <c r="O205" i="38"/>
  <c r="P205" i="38"/>
  <c r="Q205" i="38"/>
  <c r="M206" i="38"/>
  <c r="N206" i="38"/>
  <c r="O206" i="38"/>
  <c r="P206" i="38"/>
  <c r="Q206" i="38"/>
  <c r="M207" i="38"/>
  <c r="N207" i="38"/>
  <c r="O207" i="38"/>
  <c r="P207" i="38"/>
  <c r="Q207" i="38"/>
  <c r="M208" i="38"/>
  <c r="N208" i="38"/>
  <c r="O208" i="38"/>
  <c r="P208" i="38"/>
  <c r="Q208" i="38"/>
  <c r="M213" i="38"/>
  <c r="N213" i="38"/>
  <c r="O213" i="38"/>
  <c r="P213" i="38"/>
  <c r="Q213" i="38"/>
  <c r="M219" i="38"/>
  <c r="N219" i="38"/>
  <c r="O219" i="38"/>
  <c r="P219" i="38"/>
  <c r="Q219" i="38"/>
  <c r="M221" i="38"/>
  <c r="N221" i="38"/>
  <c r="O221" i="38"/>
  <c r="P221" i="38"/>
  <c r="Q221" i="38"/>
  <c r="M222" i="38"/>
  <c r="N222" i="38"/>
  <c r="O222" i="38"/>
  <c r="P222" i="38"/>
  <c r="Q222" i="38"/>
  <c r="M223" i="38"/>
  <c r="N223" i="38"/>
  <c r="O223" i="38"/>
  <c r="P223" i="38"/>
  <c r="Q223" i="38"/>
  <c r="M225" i="38"/>
  <c r="N225" i="38"/>
  <c r="O225" i="38"/>
  <c r="P225" i="38"/>
  <c r="Q225" i="38"/>
  <c r="M227" i="38"/>
  <c r="N227" i="38"/>
  <c r="O227" i="38"/>
  <c r="P227" i="38"/>
  <c r="Q227" i="38"/>
  <c r="M228" i="38"/>
  <c r="N228" i="38"/>
  <c r="O228" i="38"/>
  <c r="P228" i="38"/>
  <c r="Q228" i="38"/>
  <c r="M230" i="38"/>
  <c r="N230" i="38"/>
  <c r="O230" i="38"/>
  <c r="P230" i="38"/>
  <c r="Q230" i="38"/>
  <c r="M231" i="38"/>
  <c r="N231" i="38"/>
  <c r="O231" i="38"/>
  <c r="P231" i="38"/>
  <c r="Q231" i="38"/>
  <c r="M236" i="38"/>
  <c r="N236" i="38"/>
  <c r="O236" i="38"/>
  <c r="P236" i="38"/>
  <c r="Q236" i="38"/>
  <c r="M237" i="38"/>
  <c r="N237" i="38"/>
  <c r="O237" i="38"/>
  <c r="P237" i="38"/>
  <c r="Q237" i="38"/>
  <c r="M238" i="38"/>
  <c r="N238" i="38"/>
  <c r="O238" i="38"/>
  <c r="P238" i="38"/>
  <c r="Q238" i="38"/>
  <c r="M240" i="38"/>
  <c r="N240" i="38"/>
  <c r="O240" i="38"/>
  <c r="P240" i="38"/>
  <c r="Q240" i="38"/>
  <c r="M241" i="38"/>
  <c r="N241" i="38"/>
  <c r="O241" i="38"/>
  <c r="P241" i="38"/>
  <c r="Q241" i="38"/>
  <c r="L244" i="38"/>
  <c r="M244" i="38"/>
  <c r="N244" i="38"/>
  <c r="O244" i="38"/>
  <c r="P244" i="38"/>
  <c r="Q244" i="38"/>
  <c r="L245" i="38"/>
  <c r="M245" i="38"/>
  <c r="N245" i="38"/>
  <c r="O245" i="38"/>
  <c r="P245" i="38"/>
  <c r="Q245" i="38"/>
  <c r="L246" i="38"/>
  <c r="M246" i="38"/>
  <c r="N246" i="38"/>
  <c r="O246" i="38"/>
  <c r="P246" i="38"/>
  <c r="Q246" i="38"/>
  <c r="L247" i="38"/>
  <c r="M247" i="38"/>
  <c r="N247" i="38"/>
  <c r="O247" i="38"/>
  <c r="P247" i="38"/>
  <c r="Q247" i="38"/>
  <c r="L248" i="38"/>
  <c r="M248" i="38"/>
  <c r="N248" i="38"/>
  <c r="O248" i="38"/>
  <c r="P248" i="38"/>
  <c r="Q248" i="38"/>
  <c r="L251" i="38"/>
  <c r="M251" i="38"/>
  <c r="N251" i="38"/>
  <c r="O251" i="38"/>
  <c r="P251" i="38"/>
  <c r="Q251" i="38"/>
  <c r="L252" i="38"/>
  <c r="M252" i="38"/>
  <c r="N252" i="38"/>
  <c r="O252" i="38"/>
  <c r="P252" i="38"/>
  <c r="Q252" i="38"/>
  <c r="M259" i="38"/>
  <c r="N259" i="38"/>
  <c r="O259" i="38"/>
  <c r="P259" i="38"/>
  <c r="Q259" i="38"/>
  <c r="M260" i="38"/>
  <c r="N260" i="38"/>
  <c r="O260" i="38"/>
  <c r="P260" i="38"/>
  <c r="Q260" i="38"/>
  <c r="M261" i="38"/>
  <c r="N261" i="38"/>
  <c r="O261" i="38"/>
  <c r="P261" i="38"/>
  <c r="Q261" i="38"/>
  <c r="M262" i="38"/>
  <c r="N262" i="38"/>
  <c r="O262" i="38"/>
  <c r="P262" i="38"/>
  <c r="Q262" i="38"/>
  <c r="M265" i="38"/>
  <c r="N265" i="38"/>
  <c r="O265" i="38"/>
  <c r="P265" i="38"/>
  <c r="Q265" i="38"/>
  <c r="M266" i="38"/>
  <c r="N266" i="38"/>
  <c r="O266" i="38"/>
  <c r="P266" i="38"/>
  <c r="Q266" i="38"/>
  <c r="M268" i="38"/>
  <c r="N268" i="38"/>
  <c r="O268" i="38"/>
  <c r="P268" i="38"/>
  <c r="Q268" i="38"/>
  <c r="L271" i="38"/>
  <c r="M271" i="38"/>
  <c r="N271" i="38"/>
  <c r="O271" i="38"/>
  <c r="P271" i="38"/>
  <c r="Q271" i="38"/>
  <c r="L272" i="38"/>
  <c r="M272" i="38"/>
  <c r="N272" i="38"/>
  <c r="O272" i="38"/>
  <c r="P272" i="38"/>
  <c r="Q272" i="38"/>
  <c r="L273" i="38"/>
  <c r="M273" i="38"/>
  <c r="N273" i="38"/>
  <c r="O273" i="38"/>
  <c r="P273" i="38"/>
  <c r="Q273" i="38"/>
  <c r="L274" i="38"/>
  <c r="M274" i="38"/>
  <c r="N274" i="38"/>
  <c r="O274" i="38"/>
  <c r="P274" i="38"/>
  <c r="Q274" i="38"/>
  <c r="L275" i="38"/>
  <c r="M275" i="38"/>
  <c r="N275" i="38"/>
  <c r="O275" i="38"/>
  <c r="P275" i="38"/>
  <c r="Q275" i="38"/>
  <c r="L276" i="38"/>
  <c r="M276" i="38"/>
  <c r="N276" i="38"/>
  <c r="O276" i="38"/>
  <c r="P276" i="38"/>
  <c r="Q276" i="38"/>
  <c r="L278" i="38"/>
  <c r="M278" i="38"/>
  <c r="N278" i="38"/>
  <c r="O278" i="38"/>
  <c r="P278" i="38"/>
  <c r="Q278" i="38"/>
  <c r="L279" i="38"/>
  <c r="M279" i="38"/>
  <c r="N279" i="38"/>
  <c r="O279" i="38"/>
  <c r="P279" i="38"/>
  <c r="Q279" i="38"/>
  <c r="L280" i="38"/>
  <c r="M280" i="38"/>
  <c r="N280" i="38"/>
  <c r="O280" i="38"/>
  <c r="P280" i="38"/>
  <c r="Q280" i="38"/>
  <c r="M301" i="38"/>
  <c r="N301" i="38"/>
  <c r="O301" i="38"/>
  <c r="P301" i="38"/>
  <c r="Q301" i="38"/>
  <c r="M302" i="38"/>
  <c r="N302" i="38"/>
  <c r="O302" i="38"/>
  <c r="P302" i="38"/>
  <c r="Q302" i="38"/>
  <c r="M303" i="38"/>
  <c r="N303" i="38"/>
  <c r="O303" i="38"/>
  <c r="P303" i="38"/>
  <c r="Q303" i="38"/>
  <c r="M305" i="38"/>
  <c r="N305" i="38"/>
  <c r="O305" i="38"/>
  <c r="P305" i="38"/>
  <c r="Q305" i="38"/>
  <c r="M306" i="38"/>
  <c r="N306" i="38"/>
  <c r="O306" i="38"/>
  <c r="P306" i="38"/>
  <c r="Q306" i="38"/>
  <c r="M307" i="38"/>
  <c r="N307" i="38"/>
  <c r="O307" i="38"/>
  <c r="P307" i="38"/>
  <c r="Q307" i="38"/>
  <c r="M317" i="38"/>
  <c r="N317" i="38"/>
  <c r="O317" i="38"/>
  <c r="P317" i="38"/>
  <c r="Q317" i="38"/>
  <c r="M318" i="38"/>
  <c r="N318" i="38"/>
  <c r="O318" i="38"/>
  <c r="P318" i="38"/>
  <c r="Q318" i="38"/>
  <c r="M319" i="38"/>
  <c r="N319" i="38"/>
  <c r="O319" i="38"/>
  <c r="P319" i="38"/>
  <c r="Q319" i="38"/>
  <c r="B321" i="38"/>
  <c r="M322" i="38"/>
  <c r="N322" i="38"/>
  <c r="O322" i="38"/>
  <c r="P322" i="38"/>
  <c r="Q322" i="38"/>
  <c r="M323" i="38"/>
  <c r="N323" i="38"/>
  <c r="O323" i="38"/>
  <c r="P323" i="38"/>
  <c r="Q323" i="38"/>
  <c r="M324" i="38"/>
  <c r="N324" i="38"/>
  <c r="O324" i="38"/>
  <c r="P324" i="38"/>
  <c r="Q324" i="38"/>
  <c r="M327" i="38"/>
  <c r="N327" i="38"/>
  <c r="O327" i="38"/>
  <c r="P327" i="38"/>
  <c r="Q327" i="38"/>
  <c r="M328" i="38"/>
  <c r="N328" i="38"/>
  <c r="O328" i="38"/>
  <c r="P328" i="38"/>
  <c r="Q328" i="38"/>
  <c r="M329" i="38"/>
  <c r="N329" i="38"/>
  <c r="O329" i="38"/>
  <c r="P329" i="38"/>
  <c r="Q329" i="38"/>
  <c r="L336" i="38"/>
  <c r="P336" i="38"/>
  <c r="R336" i="38"/>
  <c r="L337" i="38"/>
  <c r="P337" i="38"/>
  <c r="R337" i="38"/>
  <c r="L338" i="38"/>
  <c r="P338" i="38"/>
  <c r="R338" i="38"/>
  <c r="L342" i="38"/>
  <c r="Q342" i="38"/>
  <c r="R342" i="38"/>
  <c r="L343" i="38"/>
  <c r="Q343" i="38"/>
  <c r="R343" i="38"/>
  <c r="L344" i="38"/>
  <c r="Q344" i="38"/>
  <c r="R344" i="38"/>
  <c r="E21" i="73"/>
  <c r="E33" i="73"/>
  <c r="Q2" i="37"/>
  <c r="L15" i="37"/>
  <c r="M15" i="37"/>
  <c r="N15" i="37"/>
  <c r="O15" i="37"/>
  <c r="P15" i="37"/>
  <c r="Q15" i="37"/>
  <c r="L16" i="37"/>
  <c r="M16" i="37"/>
  <c r="N16" i="37"/>
  <c r="O16" i="37"/>
  <c r="P16" i="37"/>
  <c r="Q16" i="37"/>
  <c r="L17" i="37"/>
  <c r="M17" i="37"/>
  <c r="N17" i="37"/>
  <c r="O17" i="37"/>
  <c r="P17" i="37"/>
  <c r="Q17" i="37"/>
  <c r="L18" i="37"/>
  <c r="M18" i="37"/>
  <c r="N18" i="37"/>
  <c r="O18" i="37"/>
  <c r="P18" i="37"/>
  <c r="Q18" i="37"/>
  <c r="L20" i="37"/>
  <c r="M20" i="37"/>
  <c r="N20" i="37"/>
  <c r="O20" i="37"/>
  <c r="P20" i="37"/>
  <c r="Q20" i="37"/>
  <c r="L23" i="37"/>
  <c r="M23" i="37"/>
  <c r="N23" i="37"/>
  <c r="O23" i="37"/>
  <c r="P23" i="37"/>
  <c r="Q23" i="37"/>
  <c r="L26" i="37"/>
  <c r="M26" i="37"/>
  <c r="N26" i="37"/>
  <c r="O26" i="37"/>
  <c r="P26" i="37"/>
  <c r="Q26" i="37"/>
  <c r="L45" i="37"/>
  <c r="M45" i="37"/>
  <c r="N45" i="37"/>
  <c r="O45" i="37"/>
  <c r="P45" i="37"/>
  <c r="Q45" i="37"/>
  <c r="L52" i="37"/>
  <c r="M52" i="37"/>
  <c r="N52" i="37"/>
  <c r="O52" i="37"/>
  <c r="P52" i="37"/>
  <c r="Q52" i="37"/>
  <c r="L53" i="37"/>
  <c r="M53" i="37"/>
  <c r="N53" i="37"/>
  <c r="O53" i="37"/>
  <c r="P53" i="37"/>
  <c r="Q53" i="37"/>
  <c r="L58" i="37"/>
  <c r="M58" i="37"/>
  <c r="N58" i="37"/>
  <c r="O58" i="37"/>
  <c r="P58" i="37"/>
  <c r="Q58" i="37"/>
  <c r="L62" i="37"/>
  <c r="M62" i="37"/>
  <c r="N62" i="37"/>
  <c r="O62" i="37"/>
  <c r="P62" i="37"/>
  <c r="Q62" i="37"/>
  <c r="L67" i="37"/>
  <c r="M67" i="37"/>
  <c r="N67" i="37"/>
  <c r="O67" i="37"/>
  <c r="P67" i="37"/>
  <c r="Q67" i="37"/>
  <c r="L74" i="37"/>
  <c r="M74" i="37"/>
  <c r="N74" i="37"/>
  <c r="O74" i="37"/>
  <c r="P74" i="37"/>
  <c r="Q74" i="37"/>
  <c r="L78" i="37"/>
  <c r="M78" i="37"/>
  <c r="N78" i="37"/>
  <c r="O78" i="37"/>
  <c r="P78" i="37"/>
  <c r="Q78" i="37"/>
  <c r="L79" i="37"/>
  <c r="M79" i="37"/>
  <c r="N79" i="37"/>
  <c r="O79" i="37"/>
  <c r="P79" i="37"/>
  <c r="Q79" i="37"/>
  <c r="L81" i="37"/>
  <c r="M81" i="37"/>
  <c r="N81" i="37"/>
  <c r="O81" i="37"/>
  <c r="P81" i="37"/>
  <c r="Q81" i="37"/>
  <c r="L88" i="37"/>
  <c r="M88" i="37"/>
  <c r="N88" i="37"/>
  <c r="O88" i="37"/>
  <c r="P88" i="37"/>
  <c r="Q88" i="37"/>
  <c r="L96" i="37"/>
  <c r="M96" i="37"/>
  <c r="N96" i="37"/>
  <c r="O96" i="37"/>
  <c r="P96" i="37"/>
  <c r="Q96" i="37"/>
  <c r="L106" i="37"/>
  <c r="M106" i="37"/>
  <c r="N106" i="37"/>
  <c r="O106" i="37"/>
  <c r="P106" i="37"/>
  <c r="Q106" i="37"/>
  <c r="L107" i="37"/>
  <c r="M107" i="37"/>
  <c r="N107" i="37"/>
  <c r="O107" i="37"/>
  <c r="P107" i="37"/>
  <c r="Q107" i="37"/>
  <c r="L109" i="37"/>
  <c r="M109" i="37"/>
  <c r="N109" i="37"/>
  <c r="O109" i="37"/>
  <c r="P109" i="37"/>
  <c r="Q109" i="37"/>
  <c r="M111" i="37"/>
  <c r="N111" i="37"/>
  <c r="O111" i="37"/>
  <c r="P111" i="37"/>
  <c r="Q111" i="37"/>
  <c r="L112" i="37"/>
  <c r="M112" i="37"/>
  <c r="N112" i="37"/>
  <c r="O112" i="37"/>
  <c r="P112" i="37"/>
  <c r="Q112" i="37"/>
  <c r="M114" i="37"/>
  <c r="N114" i="37"/>
  <c r="O114" i="37"/>
  <c r="P114" i="37"/>
  <c r="Q114" i="37"/>
  <c r="L115" i="37"/>
  <c r="M115" i="37"/>
  <c r="N115" i="37"/>
  <c r="O115" i="37"/>
  <c r="P115" i="37"/>
  <c r="Q115" i="37"/>
  <c r="M120" i="37"/>
  <c r="N120" i="37"/>
  <c r="O120" i="37"/>
  <c r="P120" i="37"/>
  <c r="Q120" i="37"/>
  <c r="M121" i="37"/>
  <c r="N121" i="37"/>
  <c r="O121" i="37"/>
  <c r="P121" i="37"/>
  <c r="Q121" i="37"/>
  <c r="L122" i="37"/>
  <c r="M122" i="37"/>
  <c r="N122" i="37"/>
  <c r="O122" i="37"/>
  <c r="P122" i="37"/>
  <c r="Q122" i="37"/>
  <c r="L124" i="37"/>
  <c r="M124" i="37"/>
  <c r="N124" i="37"/>
  <c r="O124" i="37"/>
  <c r="P124" i="37"/>
  <c r="Q124" i="37"/>
  <c r="L125" i="37"/>
  <c r="M125" i="37"/>
  <c r="N125" i="37"/>
  <c r="O125" i="37"/>
  <c r="P125" i="37"/>
  <c r="Q125" i="37"/>
  <c r="L128" i="37"/>
  <c r="M128" i="37"/>
  <c r="N128" i="37"/>
  <c r="O128" i="37"/>
  <c r="P128" i="37"/>
  <c r="Q128" i="37"/>
  <c r="L132" i="37"/>
  <c r="M132" i="37"/>
  <c r="N132" i="37"/>
  <c r="O132" i="37"/>
  <c r="P132" i="37"/>
  <c r="Q132" i="37"/>
  <c r="L135" i="37"/>
  <c r="M135" i="37"/>
  <c r="N135" i="37"/>
  <c r="O135" i="37"/>
  <c r="P135" i="37"/>
  <c r="Q135" i="37"/>
  <c r="L136" i="37"/>
  <c r="M136" i="37"/>
  <c r="N136" i="37"/>
  <c r="O136" i="37"/>
  <c r="P136" i="37"/>
  <c r="Q136" i="37"/>
  <c r="L145" i="37"/>
  <c r="M145" i="37"/>
  <c r="N145" i="37"/>
  <c r="O145" i="37"/>
  <c r="P145" i="37"/>
  <c r="Q145" i="37"/>
  <c r="L146" i="37"/>
  <c r="M146" i="37"/>
  <c r="N146" i="37"/>
  <c r="O146" i="37"/>
  <c r="P146" i="37"/>
  <c r="Q146" i="37"/>
  <c r="L151" i="37"/>
  <c r="M151" i="37"/>
  <c r="N151" i="37"/>
  <c r="O151" i="37"/>
  <c r="P151" i="37"/>
  <c r="Q151" i="37"/>
  <c r="L152" i="37"/>
  <c r="M152" i="37"/>
  <c r="N152" i="37"/>
  <c r="O152" i="37"/>
  <c r="P152" i="37"/>
  <c r="Q152" i="37"/>
  <c r="L153" i="37"/>
  <c r="M153" i="37"/>
  <c r="N153" i="37"/>
  <c r="O153" i="37"/>
  <c r="P153" i="37"/>
  <c r="Q153" i="37"/>
  <c r="L174" i="37"/>
  <c r="M174" i="37"/>
  <c r="N174" i="37"/>
  <c r="O174" i="37"/>
  <c r="P174" i="37"/>
  <c r="Q174" i="37"/>
  <c r="L175" i="37"/>
  <c r="M175" i="37"/>
  <c r="N175" i="37"/>
  <c r="O175" i="37"/>
  <c r="P175" i="37"/>
  <c r="Q175" i="37"/>
  <c r="L186" i="37"/>
  <c r="M186" i="37"/>
  <c r="N186" i="37"/>
  <c r="O186" i="37"/>
  <c r="P186" i="37"/>
  <c r="Q186" i="37"/>
  <c r="L187" i="37"/>
  <c r="M187" i="37"/>
  <c r="N187" i="37"/>
  <c r="O187" i="37"/>
  <c r="P187" i="37"/>
  <c r="Q187" i="37"/>
  <c r="L188" i="37"/>
  <c r="M188" i="37"/>
  <c r="N188" i="37"/>
  <c r="O188" i="37"/>
  <c r="P188" i="37"/>
  <c r="Q188" i="37"/>
  <c r="L189" i="37"/>
  <c r="M189" i="37"/>
  <c r="N189" i="37"/>
  <c r="O189" i="37"/>
  <c r="P189" i="37"/>
  <c r="Q189" i="37"/>
  <c r="L191" i="37"/>
  <c r="M191" i="37"/>
  <c r="N191" i="37"/>
  <c r="O191" i="37"/>
  <c r="P191" i="37"/>
  <c r="Q191" i="37"/>
  <c r="L192" i="37"/>
  <c r="M192" i="37"/>
  <c r="N192" i="37"/>
  <c r="O192" i="37"/>
  <c r="P192" i="37"/>
  <c r="Q192" i="37"/>
  <c r="M196" i="37"/>
  <c r="N196" i="37"/>
  <c r="O196" i="37"/>
  <c r="P196" i="37"/>
  <c r="Q196" i="37"/>
  <c r="R196" i="37"/>
  <c r="M197" i="37"/>
  <c r="N197" i="37"/>
  <c r="O197" i="37"/>
  <c r="P197" i="37"/>
  <c r="Q197" i="37"/>
  <c r="M199" i="37"/>
  <c r="N199" i="37"/>
  <c r="O199" i="37"/>
  <c r="P199" i="37"/>
  <c r="Q199" i="37"/>
  <c r="L291" i="37"/>
  <c r="M291" i="37"/>
  <c r="N291" i="37"/>
  <c r="O291" i="37"/>
  <c r="P291" i="37"/>
  <c r="Q291" i="37"/>
  <c r="L297" i="37"/>
  <c r="M297" i="37"/>
  <c r="N297" i="37"/>
  <c r="O297" i="37"/>
  <c r="P297" i="37"/>
  <c r="Q297" i="37"/>
  <c r="L299" i="37"/>
  <c r="M299" i="37"/>
  <c r="N299" i="37"/>
  <c r="O299" i="37"/>
  <c r="P299" i="37"/>
  <c r="Q299" i="37"/>
  <c r="L301" i="37"/>
  <c r="M301" i="37"/>
  <c r="N301" i="37"/>
  <c r="O301" i="37"/>
  <c r="P301" i="37"/>
  <c r="Q301" i="37"/>
  <c r="L304" i="37"/>
  <c r="M304" i="37"/>
  <c r="N304" i="37"/>
  <c r="O304" i="37"/>
  <c r="P304" i="37"/>
  <c r="Q304" i="37"/>
  <c r="AB15" i="30"/>
  <c r="AD15" i="30"/>
  <c r="AF15" i="30"/>
  <c r="AH15" i="30"/>
  <c r="AJ15" i="30"/>
  <c r="AL15" i="30"/>
  <c r="AB16" i="30"/>
  <c r="AD16" i="30"/>
  <c r="AF16" i="30"/>
  <c r="AH16" i="30"/>
  <c r="AJ16" i="30"/>
  <c r="AL16" i="30"/>
  <c r="AB24" i="30"/>
  <c r="AD24" i="30"/>
  <c r="AF24" i="30"/>
  <c r="AH24" i="30"/>
  <c r="AJ24" i="30"/>
  <c r="AB31" i="30"/>
  <c r="AD31" i="30"/>
  <c r="AF31" i="30"/>
  <c r="AH31" i="30"/>
  <c r="AJ31" i="30"/>
  <c r="AB32" i="30"/>
  <c r="AD32" i="30"/>
  <c r="AF32" i="30"/>
  <c r="AH32" i="30"/>
  <c r="AJ32" i="30"/>
  <c r="AB35" i="30"/>
  <c r="AD35" i="30"/>
  <c r="AF35" i="30"/>
  <c r="AH35" i="30"/>
  <c r="AJ35" i="30"/>
  <c r="AB36" i="30"/>
  <c r="AD36" i="30"/>
  <c r="AF36" i="30"/>
  <c r="AH36" i="30"/>
  <c r="AJ36" i="30"/>
  <c r="AB40" i="30"/>
  <c r="AD40" i="30"/>
  <c r="AF40" i="30"/>
  <c r="AH40" i="30"/>
  <c r="AJ40" i="30"/>
  <c r="AB43" i="30"/>
  <c r="AD43" i="30"/>
  <c r="AF43" i="30"/>
  <c r="AH43" i="30"/>
  <c r="AJ43" i="30"/>
  <c r="AB44" i="30"/>
  <c r="AD44" i="30"/>
  <c r="AF44" i="30"/>
  <c r="AH44" i="30"/>
  <c r="AJ44" i="30"/>
  <c r="AB45" i="30"/>
  <c r="AD45" i="30"/>
  <c r="AF45" i="30"/>
  <c r="AH45" i="30"/>
  <c r="AJ45" i="30"/>
  <c r="AB46" i="30"/>
  <c r="AD46" i="30"/>
  <c r="AF46" i="30"/>
  <c r="AH46" i="30"/>
  <c r="AJ46" i="30"/>
  <c r="AB47" i="30"/>
  <c r="AD47" i="30"/>
  <c r="AF47" i="30"/>
  <c r="AH47" i="30"/>
  <c r="AJ47" i="30"/>
  <c r="AB63" i="30"/>
  <c r="AD63" i="30"/>
  <c r="AF63" i="30"/>
  <c r="AH63" i="30"/>
  <c r="AJ63" i="30"/>
  <c r="AB66" i="30"/>
  <c r="AD66" i="30"/>
  <c r="AF66" i="30"/>
  <c r="AH66" i="30"/>
  <c r="AJ66" i="30"/>
  <c r="AB68" i="30"/>
  <c r="AD68" i="30"/>
  <c r="AF68" i="30"/>
  <c r="AH68" i="30"/>
  <c r="AJ68" i="30"/>
  <c r="M20" i="42" l="1"/>
  <c r="M21" i="42" s="1"/>
  <c r="M23" i="42" s="1"/>
  <c r="M27" i="42" s="1"/>
  <c r="M44" i="42" s="1"/>
  <c r="Q20" i="42"/>
  <c r="N41" i="42"/>
  <c r="P20" i="42"/>
  <c r="P21" i="42" s="1"/>
  <c r="P23" i="42" s="1"/>
  <c r="P27" i="42" s="1"/>
  <c r="P44" i="42" s="1"/>
  <c r="O41" i="42"/>
  <c r="P41" i="42"/>
  <c r="N20" i="42"/>
  <c r="O20" i="42"/>
  <c r="Q21" i="42"/>
  <c r="Q23" i="42" s="1"/>
  <c r="Q27" i="42" s="1"/>
  <c r="Q44" i="42" s="1"/>
  <c r="P49" i="42" l="1"/>
  <c r="P50" i="42"/>
  <c r="P46" i="42"/>
  <c r="Q49" i="42"/>
  <c r="Q50" i="42"/>
  <c r="Q46" i="42"/>
  <c r="M46" i="42"/>
  <c r="M49" i="42"/>
  <c r="M50" i="42"/>
  <c r="N21" i="42"/>
  <c r="N23" i="42"/>
  <c r="N27" i="42" s="1"/>
  <c r="N44" i="42" s="1"/>
  <c r="O21" i="42"/>
  <c r="O23" i="42"/>
  <c r="O27" i="42" s="1"/>
  <c r="O44" i="42" s="1"/>
  <c r="O46" i="42" l="1"/>
  <c r="O50" i="42"/>
  <c r="O49" i="42"/>
  <c r="N46" i="42"/>
  <c r="N49" i="42"/>
  <c r="N50" i="42"/>
</calcChain>
</file>

<file path=xl/comments1.xml><?xml version="1.0" encoding="utf-8"?>
<comments xmlns="http://schemas.openxmlformats.org/spreadsheetml/2006/main">
  <authors>
    <author>Brett Strause</author>
  </authors>
  <commentList>
    <comment ref="G19" authorId="0">
      <text>
        <r>
          <rPr>
            <sz val="9"/>
            <color indexed="81"/>
            <rFont val="Tahoma"/>
            <family val="2"/>
          </rPr>
          <t>RSU's not taken into account for calculation of Equity Value / Enterprise Value on the Spread Covers, but included in fully-diluted shares for the purposes of the LBO and Merger tabs</t>
        </r>
      </text>
    </comment>
    <comment ref="P19" authorId="0">
      <text>
        <r>
          <rPr>
            <sz val="9"/>
            <color indexed="81"/>
            <rFont val="Tahoma"/>
            <family val="2"/>
          </rPr>
          <t>RSU's not taken into account for calculation of Equity Value / Enterprise Value on the Spread Covers, but included in fully-diluted shares for the purposes of the LBO and Merger tabs</t>
        </r>
      </text>
    </comment>
    <comment ref="B23" authorId="0">
      <text>
        <r>
          <rPr>
            <sz val="9"/>
            <color indexed="81"/>
            <rFont val="Tahoma"/>
            <family val="2"/>
          </rPr>
          <t>Note: Default methodology is to use Options Outstanding in all analyses; however, in some cases, Options Exercisable may be used for trading valuations</t>
        </r>
      </text>
    </comment>
    <comment ref="K23" authorId="0">
      <text>
        <r>
          <rPr>
            <sz val="9"/>
            <color indexed="81"/>
            <rFont val="Tahoma"/>
            <family val="2"/>
          </rPr>
          <t>Note: Default methodology is to use Options Outstanding in all analyses; however, in some cases, Options Exercisable may be used for trading valuations</t>
        </r>
      </text>
    </comment>
    <comment ref="D33" authorId="0">
      <text>
        <r>
          <rPr>
            <sz val="9"/>
            <color indexed="81"/>
            <rFont val="Tahoma"/>
            <family val="2"/>
          </rPr>
          <t>Enter street estimates from Thomson to reference when making street projections.</t>
        </r>
      </text>
    </comment>
    <comment ref="M33" authorId="0">
      <text>
        <r>
          <rPr>
            <sz val="9"/>
            <color indexed="81"/>
            <rFont val="Tahoma"/>
            <family val="2"/>
          </rPr>
          <t>Enter street estimates from Thomson to reference when making street projections.</t>
        </r>
      </text>
    </comment>
  </commentList>
</comments>
</file>

<file path=xl/comments2.xml><?xml version="1.0" encoding="utf-8"?>
<comments xmlns="http://schemas.openxmlformats.org/spreadsheetml/2006/main">
  <authors>
    <author>Brett Strause</author>
  </authors>
  <commentList>
    <comment ref="B29" authorId="0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  <comment ref="B30" authorId="0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</commentList>
</comments>
</file>

<file path=xl/comments3.xml><?xml version="1.0" encoding="utf-8"?>
<comments xmlns="http://schemas.openxmlformats.org/spreadsheetml/2006/main">
  <authors>
    <author>Brett Strause</author>
  </authors>
  <commentList>
    <comment ref="B19" authorId="0">
      <text>
        <r>
          <rPr>
            <sz val="9"/>
            <color indexed="81"/>
            <rFont val="Tahoma"/>
            <family val="2"/>
          </rPr>
          <t>Net Income from Continuing Operations</t>
        </r>
      </text>
    </comment>
  </commentList>
</comments>
</file>

<file path=xl/comments4.xml><?xml version="1.0" encoding="utf-8"?>
<comments xmlns="http://schemas.openxmlformats.org/spreadsheetml/2006/main">
  <authors>
    <author>Brett Strause</author>
  </authors>
  <commentList>
    <comment ref="C57" authorId="0">
      <text>
        <r>
          <rPr>
            <sz val="9"/>
            <color indexed="81"/>
            <rFont val="Tahoma"/>
            <family val="2"/>
          </rPr>
          <t>Enter "0" for off
Enter "1" for on</t>
        </r>
      </text>
    </comment>
  </commentList>
</comments>
</file>

<file path=xl/comments5.xml><?xml version="1.0" encoding="utf-8"?>
<comments xmlns="http://schemas.openxmlformats.org/spreadsheetml/2006/main">
  <authors>
    <author>Brett Strause</author>
  </authors>
  <commentList>
    <comment ref="B16" authorId="0">
      <text>
        <r>
          <rPr>
            <sz val="9"/>
            <color indexed="81"/>
            <rFont val="Tahoma"/>
            <family val="2"/>
          </rPr>
          <t>Check: Generally, D&amp;A and Capex should start to converge towards the end of the projection period</t>
        </r>
      </text>
    </comment>
    <comment ref="B17" authorId="0">
      <text>
        <r>
          <rPr>
            <sz val="9"/>
            <color indexed="81"/>
            <rFont val="Tahoma"/>
            <family val="2"/>
          </rPr>
          <t>Check: Generally, D&amp;A and Capex should start to converge towards the end of the projection period</t>
        </r>
      </text>
    </comment>
    <comment ref="J55" authorId="0">
      <text>
        <r>
          <rPr>
            <sz val="9"/>
            <color indexed="81"/>
            <rFont val="Tahoma"/>
            <family val="2"/>
          </rPr>
          <t>Check date formulas - may have to edit depending on fiscal year end date</t>
        </r>
      </text>
    </comment>
  </commentList>
</comments>
</file>

<file path=xl/comments6.xml><?xml version="1.0" encoding="utf-8"?>
<comments xmlns="http://schemas.openxmlformats.org/spreadsheetml/2006/main">
  <authors>
    <author>Brett Strause</author>
  </authors>
  <commentList>
    <comment ref="B29" authorId="0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  <comment ref="B30" authorId="0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</commentList>
</comments>
</file>

<file path=xl/comments7.xml><?xml version="1.0" encoding="utf-8"?>
<comments xmlns="http://schemas.openxmlformats.org/spreadsheetml/2006/main">
  <authors>
    <author>Brett Strause</author>
  </authors>
  <commentList>
    <comment ref="B19" authorId="0">
      <text>
        <r>
          <rPr>
            <sz val="9"/>
            <color indexed="81"/>
            <rFont val="Tahoma"/>
            <family val="2"/>
          </rPr>
          <t>Net Income from Continuing Operations</t>
        </r>
      </text>
    </comment>
  </commentList>
</comments>
</file>

<file path=xl/comments8.xml><?xml version="1.0" encoding="utf-8"?>
<comments xmlns="http://schemas.openxmlformats.org/spreadsheetml/2006/main">
  <authors>
    <author>Brett Strause</author>
  </authors>
  <commentList>
    <comment ref="C57" authorId="0">
      <text>
        <r>
          <rPr>
            <sz val="9"/>
            <color indexed="81"/>
            <rFont val="Tahoma"/>
            <family val="2"/>
          </rPr>
          <t>Enter "0" for off
Enter "1" for on</t>
        </r>
      </text>
    </comment>
  </commentList>
</comments>
</file>

<file path=xl/comments9.xml><?xml version="1.0" encoding="utf-8"?>
<comments xmlns="http://schemas.openxmlformats.org/spreadsheetml/2006/main">
  <authors>
    <author>Brett Strause</author>
  </authors>
  <commentList>
    <comment ref="B16" authorId="0">
      <text>
        <r>
          <rPr>
            <sz val="9"/>
            <color indexed="81"/>
            <rFont val="Tahoma"/>
            <family val="2"/>
          </rPr>
          <t>Check: Generally, D&amp;A and Capex should start to converge towards the end of the projection period</t>
        </r>
      </text>
    </comment>
    <comment ref="B17" authorId="0">
      <text>
        <r>
          <rPr>
            <sz val="9"/>
            <color indexed="81"/>
            <rFont val="Tahoma"/>
            <family val="2"/>
          </rPr>
          <t>Check: Generally, D&amp;A and Capex should start to converge towards the end of the projection period</t>
        </r>
      </text>
    </comment>
    <comment ref="J55" authorId="0">
      <text>
        <r>
          <rPr>
            <sz val="9"/>
            <color indexed="81"/>
            <rFont val="Tahoma"/>
            <family val="2"/>
          </rPr>
          <t>Check date formulas - may have to edit depending on fiscal year end date</t>
        </r>
      </text>
    </comment>
  </commentList>
</comments>
</file>

<file path=xl/comments10.xml><?xml version="1.0" encoding="utf-8"?>
<comments xmlns="http://schemas.openxmlformats.org/spreadsheetml/2006/main">
  <authors>
    <author>Brett Strause</author>
    <author>Michael Stack</author>
  </authors>
  <commentList>
    <comment ref="B6" authorId="0">
      <text>
        <r>
          <rPr>
            <sz val="9"/>
            <color indexed="81"/>
            <rFont val="Tahoma"/>
            <family val="2"/>
          </rPr>
          <t>Historical Income Statement line items linked to values adjusted for non-recurrings</t>
        </r>
      </text>
    </comment>
    <comment ref="E164" authorId="0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  <comment ref="I197" authorId="0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J197" authorId="0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G207" authorId="1">
      <text>
        <r>
          <rPr>
            <sz val="8"/>
            <color indexed="81"/>
            <rFont val="Tahoma"/>
            <family val="2"/>
          </rPr>
          <t>ie - 0.25 = repo end Q1
      0.50 = repo end Q2
      0.75 = repo end Q3</t>
        </r>
      </text>
    </comment>
  </commentList>
</comments>
</file>

<file path=xl/comments11.xml><?xml version="1.0" encoding="utf-8"?>
<comments xmlns="http://schemas.openxmlformats.org/spreadsheetml/2006/main">
  <authors>
    <author>Brett Strause</author>
    <author>Michael Stack</author>
  </authors>
  <commentList>
    <comment ref="B6" authorId="0">
      <text>
        <r>
          <rPr>
            <sz val="9"/>
            <color indexed="81"/>
            <rFont val="Tahoma"/>
            <family val="2"/>
          </rPr>
          <t>Historical Income Statement line items linked to values adjusted for non-recurrings</t>
        </r>
      </text>
    </comment>
    <comment ref="K139" authorId="1">
      <text>
        <r>
          <rPr>
            <sz val="8"/>
            <color indexed="81"/>
            <rFont val="Tahoma"/>
            <family val="2"/>
          </rPr>
          <t>Enter value for this fiscal year for calendarization purposes</t>
        </r>
      </text>
    </comment>
    <comment ref="K140" authorId="1">
      <text>
        <r>
          <rPr>
            <sz val="8"/>
            <color indexed="81"/>
            <rFont val="Tahoma"/>
            <family val="2"/>
          </rPr>
          <t>Enter value for this fiscal year for calendarization purposes</t>
        </r>
      </text>
    </comment>
    <comment ref="K141" authorId="1">
      <text>
        <r>
          <rPr>
            <sz val="8"/>
            <color indexed="81"/>
            <rFont val="Tahoma"/>
            <family val="2"/>
          </rPr>
          <t>Enter value for this fiscal year for calendarization purposes</t>
        </r>
      </text>
    </comment>
    <comment ref="E164" authorId="0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  <comment ref="I197" authorId="0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J197" authorId="0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G207" authorId="1">
      <text>
        <r>
          <rPr>
            <sz val="8"/>
            <color indexed="81"/>
            <rFont val="Tahoma"/>
            <family val="2"/>
          </rPr>
          <t>ie - 0.25 = repo end Q1
      0.50 = repo end Q2
      0.75 = repo end Q3</t>
        </r>
      </text>
    </comment>
  </commentList>
</comments>
</file>

<file path=xl/comments12.xml><?xml version="1.0" encoding="utf-8"?>
<comments xmlns="http://schemas.openxmlformats.org/spreadsheetml/2006/main">
  <authors>
    <author>Brett Strause</author>
    <author>Michael Stack</author>
  </authors>
  <commentList>
    <comment ref="Y11" authorId="0">
      <text>
        <r>
          <rPr>
            <sz val="9"/>
            <color indexed="81"/>
            <rFont val="Tahoma"/>
            <family val="2"/>
          </rPr>
          <t>Round to the nearest [ ]</t>
        </r>
      </text>
    </comment>
    <comment ref="X12" authorId="1">
      <text>
        <r>
          <rPr>
            <sz val="9"/>
            <color indexed="81"/>
            <rFont val="Tahoma"/>
            <family val="2"/>
          </rPr>
          <t>Debt adjusted down on a pro rata basis to target a minimum % equity contribution</t>
        </r>
      </text>
    </comment>
    <comment ref="Y18" authorId="0">
      <text>
        <r>
          <rPr>
            <sz val="9"/>
            <color indexed="81"/>
            <rFont val="Tahoma"/>
            <family val="2"/>
          </rPr>
          <t>Excess from rounding debt is added to equity</t>
        </r>
      </text>
    </comment>
    <comment ref="B29" authorId="0">
      <text>
        <r>
          <rPr>
            <sz val="9"/>
            <color indexed="81"/>
            <rFont val="Tahoma"/>
            <family val="2"/>
          </rPr>
          <t>Change label / add footnote if any minority interest or preferred stock exists</t>
        </r>
      </text>
    </comment>
    <comment ref="I29" authorId="0">
      <text>
        <r>
          <rPr>
            <sz val="9"/>
            <color indexed="81"/>
            <rFont val="Tahoma"/>
            <family val="2"/>
          </rPr>
          <t>Note that this EBITDA includes any additional adjustments for leverage ratios</t>
        </r>
      </text>
    </comment>
    <comment ref="V32" authorId="0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  <comment ref="Q58" authorId="0">
      <text>
        <r>
          <rPr>
            <sz val="9"/>
            <color indexed="81"/>
            <rFont val="Tahoma"/>
            <family val="2"/>
          </rPr>
          <t>Defaults to standalone; hard code as necessary</t>
        </r>
      </text>
    </comment>
    <comment ref="Q59" authorId="0">
      <text>
        <r>
          <rPr>
            <sz val="9"/>
            <color indexed="81"/>
            <rFont val="Tahoma"/>
            <family val="2"/>
          </rPr>
          <t>Defaults to standalone; hard code as necessary</t>
        </r>
      </text>
    </comment>
    <comment ref="E291" authorId="0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</commentList>
</comments>
</file>

<file path=xl/comments13.xml><?xml version="1.0" encoding="utf-8"?>
<comments xmlns="http://schemas.openxmlformats.org/spreadsheetml/2006/main">
  <authors>
    <author>Brett Strause</author>
    <author>Michael Stack</author>
  </authors>
  <commentList>
    <comment ref="Y11" authorId="0">
      <text>
        <r>
          <rPr>
            <sz val="9"/>
            <color indexed="81"/>
            <rFont val="Tahoma"/>
            <family val="2"/>
          </rPr>
          <t>Round to the nearest [ ]</t>
        </r>
      </text>
    </comment>
    <comment ref="X12" authorId="1">
      <text>
        <r>
          <rPr>
            <sz val="9"/>
            <color indexed="81"/>
            <rFont val="Tahoma"/>
            <family val="2"/>
          </rPr>
          <t>Debt adjusted down on a pro rata basis to target a minimum % equity contribution</t>
        </r>
      </text>
    </comment>
    <comment ref="Y18" authorId="0">
      <text>
        <r>
          <rPr>
            <sz val="9"/>
            <color indexed="81"/>
            <rFont val="Tahoma"/>
            <family val="2"/>
          </rPr>
          <t>Excess from rounding debt is added to equity</t>
        </r>
      </text>
    </comment>
    <comment ref="B29" authorId="0">
      <text>
        <r>
          <rPr>
            <sz val="9"/>
            <color indexed="81"/>
            <rFont val="Tahoma"/>
            <family val="2"/>
          </rPr>
          <t>Change label / add footnote if any minority interest or preferred stock exists</t>
        </r>
      </text>
    </comment>
    <comment ref="I29" authorId="0">
      <text>
        <r>
          <rPr>
            <sz val="9"/>
            <color indexed="81"/>
            <rFont val="Tahoma"/>
            <family val="2"/>
          </rPr>
          <t>Note that this EBITDA includes any additional adjustments for leverage ratios</t>
        </r>
      </text>
    </comment>
    <comment ref="V32" authorId="0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  <comment ref="Q58" authorId="0">
      <text>
        <r>
          <rPr>
            <sz val="9"/>
            <color indexed="81"/>
            <rFont val="Tahoma"/>
            <family val="2"/>
          </rPr>
          <t>Defaults to standalone; hard code as necessary</t>
        </r>
      </text>
    </comment>
    <comment ref="Q59" authorId="0">
      <text>
        <r>
          <rPr>
            <sz val="9"/>
            <color indexed="81"/>
            <rFont val="Tahoma"/>
            <family val="2"/>
          </rPr>
          <t>Defaults to standalone; hard code as necessary</t>
        </r>
      </text>
    </comment>
    <comment ref="E291" authorId="0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</commentList>
</comments>
</file>

<file path=xl/comments14.xml><?xml version="1.0" encoding="utf-8"?>
<comments xmlns="http://schemas.openxmlformats.org/spreadsheetml/2006/main">
  <authors>
    <author>Brett Strause</author>
    <author>Michael Stack</author>
  </authors>
  <commentList>
    <comment ref="W22" authorId="0">
      <text>
        <r>
          <rPr>
            <sz val="9"/>
            <color indexed="81"/>
            <rFont val="Tahoma"/>
            <family val="2"/>
          </rPr>
          <t>Round to the nearest [ ]</t>
        </r>
      </text>
    </comment>
    <comment ref="W24" authorId="0">
      <text>
        <r>
          <rPr>
            <sz val="9"/>
            <color indexed="81"/>
            <rFont val="Tahoma"/>
            <family val="2"/>
          </rPr>
          <t>Excess from rounding debt is subtracted from cash</t>
        </r>
      </text>
    </comment>
    <comment ref="U38" authorId="0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  <comment ref="B68" authorId="0">
      <text>
        <r>
          <rPr>
            <sz val="9"/>
            <color indexed="81"/>
            <rFont val="Tahoma"/>
            <family val="2"/>
          </rPr>
          <t>Sanity check this footnote</t>
        </r>
      </text>
    </comment>
    <comment ref="F77" authorId="0">
      <text>
        <r>
          <rPr>
            <sz val="9"/>
            <color indexed="81"/>
            <rFont val="Tahoma"/>
            <family val="2"/>
          </rPr>
          <t>Intangibles Amort and Term must be reviewed for each analysis based on comparable transactions</t>
        </r>
      </text>
    </comment>
    <comment ref="F79" authorId="0">
      <text>
        <r>
          <rPr>
            <sz val="9"/>
            <color indexed="81"/>
            <rFont val="Tahoma"/>
            <family val="2"/>
          </rPr>
          <t>Intangibles Amort and Term must be reviewed for each analysis based on comparable transactions</t>
        </r>
      </text>
    </comment>
    <comment ref="Q80" authorId="0">
      <text>
        <r>
          <rPr>
            <sz val="9"/>
            <color indexed="81"/>
            <rFont val="Tahoma"/>
            <family val="2"/>
          </rPr>
          <t>Defaults to standalone; hard code as necessary</t>
        </r>
      </text>
    </comment>
    <comment ref="Q81" authorId="0">
      <text>
        <r>
          <rPr>
            <sz val="9"/>
            <color indexed="81"/>
            <rFont val="Tahoma"/>
            <family val="2"/>
          </rPr>
          <t>Defaults to standalone; hard code as necessary</t>
        </r>
      </text>
    </comment>
    <comment ref="L204" authorId="0">
      <text>
        <r>
          <rPr>
            <sz val="9"/>
            <color indexed="81"/>
            <rFont val="Tahoma"/>
            <family val="2"/>
          </rPr>
          <t>Pro forma interest expense</t>
        </r>
      </text>
    </comment>
    <comment ref="L208" authorId="0">
      <text>
        <r>
          <rPr>
            <sz val="9"/>
            <color indexed="81"/>
            <rFont val="Tahoma"/>
            <family val="2"/>
          </rPr>
          <t>Pro forma interest expense</t>
        </r>
      </text>
    </comment>
    <comment ref="E446" authorId="0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  <comment ref="I470" authorId="0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J470" authorId="0">
      <text>
        <r>
          <rPr>
            <sz val="9"/>
            <color indexed="81"/>
            <rFont val="Tahoma"/>
            <family val="2"/>
          </rPr>
          <t>Determine whether to use a FY+1 or FY+2 multiple and adjust calculation accordingly.</t>
        </r>
      </text>
    </comment>
    <comment ref="G482" authorId="1">
      <text>
        <r>
          <rPr>
            <b/>
            <sz val="8"/>
            <color indexed="81"/>
            <rFont val="Tahoma"/>
            <family val="2"/>
          </rPr>
          <t>Michael Stack:</t>
        </r>
        <r>
          <rPr>
            <sz val="8"/>
            <color indexed="81"/>
            <rFont val="Tahoma"/>
            <family val="2"/>
          </rPr>
          <t xml:space="preserve">
ie - 0.25 = repo end Q1
      0.50 = repo end Q2
      0.75 = repo end Q3</t>
        </r>
      </text>
    </comment>
  </commentList>
</comments>
</file>

<file path=xl/comments15.xml><?xml version="1.0" encoding="utf-8"?>
<comments xmlns="http://schemas.openxmlformats.org/spreadsheetml/2006/main">
  <authors>
    <author>Brett Strause</author>
  </authors>
  <commentList>
    <comment ref="B22" authorId="0">
      <text>
        <r>
          <rPr>
            <sz val="9"/>
            <color indexed="81"/>
            <rFont val="Tahoma"/>
            <family val="2"/>
          </rPr>
          <t xml:space="preserve">Positive if incremental tax savings </t>
        </r>
      </text>
    </comment>
  </commentList>
</comments>
</file>

<file path=xl/comments16.xml><?xml version="1.0" encoding="utf-8"?>
<comments xmlns="http://schemas.openxmlformats.org/spreadsheetml/2006/main">
  <authors>
    <author>Brett Strause</author>
  </authors>
  <commentList>
    <comment ref="B35" authorId="0">
      <text>
        <r>
          <rPr>
            <sz val="9"/>
            <color indexed="81"/>
            <rFont val="Tahoma"/>
            <family val="2"/>
          </rPr>
          <t>Sanity check this footnote</t>
        </r>
      </text>
    </comment>
  </commentList>
</comments>
</file>

<file path=xl/sharedStrings.xml><?xml version="1.0" encoding="utf-8"?>
<sst xmlns="http://schemas.openxmlformats.org/spreadsheetml/2006/main" count="2689" uniqueCount="712">
  <si>
    <t>Transaction Summary</t>
  </si>
  <si>
    <t>Transaction Structure</t>
  </si>
  <si>
    <t>Stand Alone</t>
  </si>
  <si>
    <t>Pro Forma Combined</t>
  </si>
  <si>
    <t>Financing:</t>
  </si>
  <si>
    <t>% Stock</t>
  </si>
  <si>
    <t>Accretion/(Dilution) %</t>
  </si>
  <si>
    <t>% Cash</t>
  </si>
  <si>
    <t>Accretion/(Dilution) $</t>
  </si>
  <si>
    <t>Sources of Funds</t>
  </si>
  <si>
    <t>Rate</t>
  </si>
  <si>
    <t>Amount</t>
  </si>
  <si>
    <t>Excess Cash</t>
  </si>
  <si>
    <t>Pro Forma Cost Savings/Synergies</t>
  </si>
  <si>
    <t>Total Sources of Funds</t>
  </si>
  <si>
    <t>Valuation Multiples</t>
  </si>
  <si>
    <t>Uses of Funds</t>
  </si>
  <si>
    <t>At</t>
  </si>
  <si>
    <t>Market</t>
  </si>
  <si>
    <t>Transaction</t>
  </si>
  <si>
    <t>Total Shares Outstanding</t>
  </si>
  <si>
    <t>Purchase Price of Equity</t>
  </si>
  <si>
    <t>Total Uses of Funds</t>
  </si>
  <si>
    <t>Enterprise Value</t>
  </si>
  <si>
    <t>Data</t>
  </si>
  <si>
    <t>Multiples</t>
  </si>
  <si>
    <t>Pro Forma Shares Outstanding</t>
  </si>
  <si>
    <t>LTM EBITDA Multiple</t>
  </si>
  <si>
    <t>Opening Balance Sheet</t>
  </si>
  <si>
    <t>Pro Forma</t>
  </si>
  <si>
    <t>Combined</t>
  </si>
  <si>
    <t>Projected</t>
  </si>
  <si>
    <t xml:space="preserve">Accounting </t>
  </si>
  <si>
    <t>Financing</t>
  </si>
  <si>
    <t>Balance</t>
  </si>
  <si>
    <t>Assets</t>
  </si>
  <si>
    <t>Adjustments</t>
  </si>
  <si>
    <t>Sheet</t>
  </si>
  <si>
    <t>Cash</t>
  </si>
  <si>
    <t>Accounts Receivable</t>
  </si>
  <si>
    <t>Inventory</t>
  </si>
  <si>
    <t>Prepaid Expenses and Other</t>
  </si>
  <si>
    <t>Total Current Assets</t>
  </si>
  <si>
    <t>Property, Plant &amp; Equipment</t>
  </si>
  <si>
    <t>Goodwill and Other Intangibles</t>
  </si>
  <si>
    <t>Goodwill Generated in Transaction</t>
  </si>
  <si>
    <t>TOTAL ASSETS</t>
  </si>
  <si>
    <t>Liabilities and Shareholders' Equity</t>
  </si>
  <si>
    <t>Accounts Payable</t>
  </si>
  <si>
    <t>Other</t>
  </si>
  <si>
    <t>Total Current Liabilities</t>
  </si>
  <si>
    <t>Short and Long-Term Debt</t>
  </si>
  <si>
    <t>Minority Interest</t>
  </si>
  <si>
    <t>Preferred Stock</t>
  </si>
  <si>
    <t>TOTAL LIABILITIES AND EQUITY</t>
  </si>
  <si>
    <t>Net Working Capital</t>
  </si>
  <si>
    <t>Summary of Pro Forma Combination Analysis</t>
  </si>
  <si>
    <t>Earnings Per Share</t>
  </si>
  <si>
    <t>Additional Cost Savings Needed:</t>
  </si>
  <si>
    <t>Selected Credit Ratios</t>
  </si>
  <si>
    <t>EBITDA / Net Interest Expense</t>
  </si>
  <si>
    <t>Total Debt / Total Capitalization</t>
  </si>
  <si>
    <t>Net Debt / Net Capitalization</t>
  </si>
  <si>
    <t>EBITDA</t>
  </si>
  <si>
    <t>EBIT</t>
  </si>
  <si>
    <t>Net Income</t>
  </si>
  <si>
    <t>Calculation of Combination Effects</t>
  </si>
  <si>
    <t>Total</t>
  </si>
  <si>
    <t>Calculation of Projected Gross Profit</t>
  </si>
  <si>
    <t>Calculation of Projected SG&amp;A</t>
  </si>
  <si>
    <t>Calculation of Projected Depreciation and Amortization</t>
  </si>
  <si>
    <t>Calculation of Projected Capital Expenditures</t>
  </si>
  <si>
    <t>Projected Combined</t>
  </si>
  <si>
    <t>Cost of Goods Sold</t>
  </si>
  <si>
    <t>Gross Margin</t>
  </si>
  <si>
    <t>Interest Expense, Net</t>
  </si>
  <si>
    <t>Pre-Tax Income</t>
  </si>
  <si>
    <t>Calculation of EBITDA</t>
  </si>
  <si>
    <t>Depreciation and Amortization</t>
  </si>
  <si>
    <t>Growth Rates</t>
  </si>
  <si>
    <t>Changes in Working Capital</t>
  </si>
  <si>
    <t>Stock Issues/(Repurchases)</t>
  </si>
  <si>
    <t>Borrowings/(Repayments) Under Revolver</t>
  </si>
  <si>
    <t>Cash at End of Period</t>
  </si>
  <si>
    <t>Revolver - Beginning Balance</t>
  </si>
  <si>
    <t>Revolver - Ending Balance</t>
  </si>
  <si>
    <t>Revolver</t>
  </si>
  <si>
    <t>Total Debt</t>
  </si>
  <si>
    <t>Total Capitalization</t>
  </si>
  <si>
    <t>Scheduled Principal Repayments</t>
  </si>
  <si>
    <t>Total Principal Repayments</t>
  </si>
  <si>
    <t>Calculation of Interest Expense</t>
  </si>
  <si>
    <t>Total Interest Expense</t>
  </si>
  <si>
    <t>Balance Sheet Ratios</t>
  </si>
  <si>
    <t>Working Capital</t>
  </si>
  <si>
    <t>Accounts Receivable - Collection Days</t>
  </si>
  <si>
    <t>Inventory as a % of COGS</t>
  </si>
  <si>
    <t>Inventory Turns</t>
  </si>
  <si>
    <t>Accounts Payable as a % of Inventory</t>
  </si>
  <si>
    <t>Accounts Payable - Holding Days</t>
  </si>
  <si>
    <t>Other Current Liabilities</t>
  </si>
  <si>
    <t>Premium</t>
  </si>
  <si>
    <t>Price per</t>
  </si>
  <si>
    <t xml:space="preserve">Exchange </t>
  </si>
  <si>
    <t>Price of</t>
  </si>
  <si>
    <t>Ratio</t>
  </si>
  <si>
    <t>Ownership</t>
  </si>
  <si>
    <t>Selected Inputs</t>
  </si>
  <si>
    <t>Acquiror</t>
  </si>
  <si>
    <t>Target</t>
  </si>
  <si>
    <t>Stock Price</t>
  </si>
  <si>
    <t>Options Outstanding</t>
  </si>
  <si>
    <t>Option Equivalent Shares</t>
  </si>
  <si>
    <t>LTM EPS</t>
  </si>
  <si>
    <t>LTM EBITDA</t>
  </si>
  <si>
    <t xml:space="preserve">LTM EBIT  </t>
  </si>
  <si>
    <t>LTM</t>
  </si>
  <si>
    <t>Gross Profit</t>
  </si>
  <si>
    <t>Shares Outstanding</t>
  </si>
  <si>
    <t>SG&amp;A Expenses</t>
  </si>
  <si>
    <t>Long-Term Debt</t>
  </si>
  <si>
    <t>Interest Expense</t>
  </si>
  <si>
    <t>Capital Expenditures</t>
  </si>
  <si>
    <t>Income Statement</t>
  </si>
  <si>
    <t>Balance Sheet</t>
  </si>
  <si>
    <t>Cash Flow Statement</t>
  </si>
  <si>
    <t>Selected Balance Sheet Assumptions</t>
  </si>
  <si>
    <t xml:space="preserve">--    </t>
  </si>
  <si>
    <t>(Amounts in Millions, Except Per Share Data)</t>
  </si>
  <si>
    <t>Today's Date</t>
  </si>
  <si>
    <t>Income Taxes</t>
  </si>
  <si>
    <t>Term Loan - A</t>
  </si>
  <si>
    <t>Term Loan - B</t>
  </si>
  <si>
    <t>Management Equity</t>
  </si>
  <si>
    <t xml:space="preserve"> </t>
  </si>
  <si>
    <t>Transaction Date</t>
  </si>
  <si>
    <t>% of</t>
  </si>
  <si>
    <t xml:space="preserve"> Total </t>
  </si>
  <si>
    <t>Subordinated Notes</t>
  </si>
  <si>
    <t>Outside Equity</t>
  </si>
  <si>
    <t>Accounting</t>
  </si>
  <si>
    <t xml:space="preserve">     Total Current Assets</t>
  </si>
  <si>
    <t xml:space="preserve">    Total Current Liabilities</t>
  </si>
  <si>
    <t>Capitalization</t>
  </si>
  <si>
    <t>Valuation Calculations</t>
  </si>
  <si>
    <t>Equity Value</t>
  </si>
  <si>
    <t>Assumed Purchase Price</t>
  </si>
  <si>
    <t>Purchase Price Per Share</t>
  </si>
  <si>
    <t>Transaction Multiples</t>
  </si>
  <si>
    <t xml:space="preserve">    TOTAL ASSETS</t>
  </si>
  <si>
    <t>Shareholders' Equity</t>
  </si>
  <si>
    <t>Short-Term Debt and Current Portion of Long-Term Debt</t>
  </si>
  <si>
    <t xml:space="preserve">    TOTAL LIABILITIES &amp; EQUITY</t>
  </si>
  <si>
    <t>Interest</t>
  </si>
  <si>
    <t>Depreciation</t>
  </si>
  <si>
    <t>--</t>
  </si>
  <si>
    <t>Cash Flow Before Investing Activities</t>
  </si>
  <si>
    <t>Cash Flow From Investing Activities</t>
  </si>
  <si>
    <t>Cash at Beginning of Period</t>
  </si>
  <si>
    <t>Total Enterprise Value Based on Trailing EBITDA Multiple of:</t>
  </si>
  <si>
    <t>Total Equity Value Based on Trailing EBITDA Multiple of:</t>
  </si>
  <si>
    <t>Assuming Year 4 Exit</t>
  </si>
  <si>
    <t>Cash Inflows/(Outflows) Based on EBITDA Exit Multiple of:</t>
  </si>
  <si>
    <t>Assuming Year 5 Exit</t>
  </si>
  <si>
    <t>IRR</t>
  </si>
  <si>
    <t>Enterprise Value as a Multiple of:</t>
  </si>
  <si>
    <t>%</t>
  </si>
  <si>
    <t>x</t>
  </si>
  <si>
    <t>Increment</t>
  </si>
  <si>
    <t>Tax Rate</t>
  </si>
  <si>
    <t>Total Debt / EBITDA</t>
  </si>
  <si>
    <t>Shares</t>
  </si>
  <si>
    <t>Diluted Equity Value</t>
  </si>
  <si>
    <t>Min. Cash</t>
  </si>
  <si>
    <t>per share</t>
  </si>
  <si>
    <t>Scheduled Debt Repayments</t>
  </si>
  <si>
    <t>LTM EBIT</t>
  </si>
  <si>
    <t>Diluted Shares</t>
  </si>
  <si>
    <t>Low</t>
  </si>
  <si>
    <t>High</t>
  </si>
  <si>
    <t>Diluted Shares Outstanding</t>
  </si>
  <si>
    <t>Selected Income Statement Assumptions</t>
  </si>
  <si>
    <t>Case</t>
  </si>
  <si>
    <t>CAGR</t>
  </si>
  <si>
    <t>Margins</t>
  </si>
  <si>
    <t>As of</t>
  </si>
  <si>
    <t>Operating Activities</t>
  </si>
  <si>
    <t>Change in Working Capital Accounts</t>
  </si>
  <si>
    <t>Investing Activities</t>
  </si>
  <si>
    <t>Financing Activities</t>
  </si>
  <si>
    <t>Net Income, As Reported</t>
  </si>
  <si>
    <t>Diluted Weighted Average Shares</t>
  </si>
  <si>
    <t>Other Expense, Net</t>
  </si>
  <si>
    <t>Diluted Weighted Average Shares Outstanding</t>
  </si>
  <si>
    <t xml:space="preserve">    Total Current Assets</t>
  </si>
  <si>
    <t xml:space="preserve">    TOTAL LIABILITIES AND EQUITY</t>
  </si>
  <si>
    <t>Net Cash Provided By (Used In) Operating Activities</t>
  </si>
  <si>
    <t>Net Cash Provided By (Used In) Investing Activities</t>
  </si>
  <si>
    <t>Net Cash Provided By (Used In) Financing Activities</t>
  </si>
  <si>
    <t>Net Increase/(Decrease) in Cash &amp; Cash Equivalents</t>
  </si>
  <si>
    <t>Cash &amp; Cash Equivalents</t>
  </si>
  <si>
    <t>Cash &amp; Cash Equivalents at Beginning of Period</t>
  </si>
  <si>
    <t>Cash &amp; Cash Equivalents at End of Period</t>
  </si>
  <si>
    <t>Stock Information</t>
  </si>
  <si>
    <t>Ticker Symbol</t>
  </si>
  <si>
    <t xml:space="preserve">As of </t>
  </si>
  <si>
    <t>Stock Exchange</t>
  </si>
  <si>
    <t>52-Week Stock Price</t>
  </si>
  <si>
    <t>(a)</t>
  </si>
  <si>
    <t>Annual Dividend</t>
  </si>
  <si>
    <t>Dividend Yield</t>
  </si>
  <si>
    <t>Dividend Payout Ratio</t>
  </si>
  <si>
    <t>Market Capitalization and Firm Value</t>
  </si>
  <si>
    <t>Valuation</t>
  </si>
  <si>
    <t>Percent of</t>
  </si>
  <si>
    <t>Shares Outstanding (b)</t>
  </si>
  <si>
    <t>Option Equivalent Shares (c)</t>
  </si>
  <si>
    <t>Public and Other</t>
  </si>
  <si>
    <t>Fiscal Year End</t>
  </si>
  <si>
    <t>P/E Ratios:</t>
  </si>
  <si>
    <t xml:space="preserve">Long-Term Debt Maturities </t>
  </si>
  <si>
    <t>Includes Capital Leases</t>
  </si>
  <si>
    <t xml:space="preserve">  Total</t>
  </si>
  <si>
    <t>Beneficial</t>
  </si>
  <si>
    <t>Other Insiders</t>
  </si>
  <si>
    <t>Transaction Effective Date</t>
  </si>
  <si>
    <t>Capitalization Summary and Calculation of Net Interest Expense</t>
  </si>
  <si>
    <t>Summary E.P.S. Accretion/(Dilution) Analysis</t>
  </si>
  <si>
    <t>Weighted Average Shares</t>
  </si>
  <si>
    <t>Incremental EBIT</t>
  </si>
  <si>
    <t>Incremental Net Income</t>
  </si>
  <si>
    <t>Pro Forma Combined Net Income</t>
  </si>
  <si>
    <t>Other Long-Term Assets</t>
  </si>
  <si>
    <t>Other Long-Term Liabilities</t>
  </si>
  <si>
    <t>Changes in Other Long-Term Assets</t>
  </si>
  <si>
    <t>Changes in Other Long-Term Liabilities</t>
  </si>
  <si>
    <t>(EBITDA - Capital Expenditures) / Net Interest Expense</t>
  </si>
  <si>
    <t>LTM Date</t>
  </si>
  <si>
    <t>Proxy Date</t>
  </si>
  <si>
    <t>Plus:  Total Debt</t>
  </si>
  <si>
    <t>Plus:  Minority Interest</t>
  </si>
  <si>
    <t>Plus:  Preferred Stock</t>
  </si>
  <si>
    <t>Less:  Cash &amp; Cash Equivalents</t>
  </si>
  <si>
    <t>Sensitivity to Purchase Price</t>
  </si>
  <si>
    <t xml:space="preserve">  -- % Growth</t>
  </si>
  <si>
    <t>Equity Value to Outside Equity</t>
  </si>
  <si>
    <t>Prepaid Expenses and Other Current Assets</t>
  </si>
  <si>
    <t>days</t>
  </si>
  <si>
    <t>Strike</t>
  </si>
  <si>
    <t>(c)</t>
  </si>
  <si>
    <t>(d)</t>
  </si>
  <si>
    <t>(e)</t>
  </si>
  <si>
    <t>(f)</t>
  </si>
  <si>
    <t>(g)</t>
  </si>
  <si>
    <t>Net Sales</t>
  </si>
  <si>
    <t>LTM Net Sales</t>
  </si>
  <si>
    <t>Net Working Capital as a % of Net Sales</t>
  </si>
  <si>
    <t>Accounts Receivable as a % of Net Sales</t>
  </si>
  <si>
    <t>Other Current Assets as a % of Net Sales</t>
  </si>
  <si>
    <t>Other Current Liabilities as a % of Net Sales</t>
  </si>
  <si>
    <t>Net Sales Growth</t>
  </si>
  <si>
    <t>LTM Net Sales Multiple</t>
  </si>
  <si>
    <t>Calculation of Projected Net Sales</t>
  </si>
  <si>
    <t>Net Working Capital as % of Net Sales</t>
  </si>
  <si>
    <t>Prepaid Expenses and Other Current Assets as a % of Net Sales</t>
  </si>
  <si>
    <t>(a) Reduces debt by total cash.</t>
  </si>
  <si>
    <t>(b) Write-off of goodwill.</t>
  </si>
  <si>
    <t>(b)</t>
  </si>
  <si>
    <t>Debt/</t>
  </si>
  <si>
    <t>(d) Excess cash used to finance transaction.</t>
  </si>
  <si>
    <t>(f) Equity issued to finance transaction.</t>
  </si>
  <si>
    <t>(a) Write-off of goodwill.</t>
  </si>
  <si>
    <t>(c) Write-off of target equity.</t>
  </si>
  <si>
    <t>(e) Debt used to finance transaction.</t>
  </si>
  <si>
    <t>Synergies</t>
  </si>
  <si>
    <t>Amortization Term (years)</t>
  </si>
  <si>
    <t>Annual Amortization of Intangibles</t>
  </si>
  <si>
    <t>New Amortization of Intangibles</t>
  </si>
  <si>
    <t>Credit Statistics</t>
  </si>
  <si>
    <t>Net Debt / EBITDA</t>
  </si>
  <si>
    <t>Leverage Statistics</t>
  </si>
  <si>
    <t>Pro</t>
  </si>
  <si>
    <t>Forma</t>
  </si>
  <si>
    <t>Stand Alone Credit Rating</t>
  </si>
  <si>
    <t>Number of Stores</t>
  </si>
  <si>
    <t>Same Store Sales</t>
  </si>
  <si>
    <t>Change in Net Working Capital</t>
  </si>
  <si>
    <t>Balance Sheet and Cash Flow Data</t>
  </si>
  <si>
    <t>Leverage and Interest Coverage Ratios</t>
  </si>
  <si>
    <t>(Amounts in Millions)</t>
  </si>
  <si>
    <t>Total Non-Recurring Items After Tax</t>
  </si>
  <si>
    <t>EBITDA Reconciliation</t>
  </si>
  <si>
    <t>Check</t>
  </si>
  <si>
    <t>Stand Alone and Pro Forma Combined Financial Information</t>
  </si>
  <si>
    <t>--  Premium to Current Price</t>
  </si>
  <si>
    <t>Price</t>
  </si>
  <si>
    <t>Financial and Store Information</t>
  </si>
  <si>
    <t>LTM Sales</t>
  </si>
  <si>
    <t xml:space="preserve">LTM Net Income </t>
  </si>
  <si>
    <t>Long-Term Proj. EPS Growth</t>
  </si>
  <si>
    <t>% of Sales</t>
  </si>
  <si>
    <t>Merger Check</t>
  </si>
  <si>
    <t>Incremental Income Before Taxes</t>
  </si>
  <si>
    <t>Incremental Net Interest Expense</t>
  </si>
  <si>
    <t>Adjustments to Net Income</t>
  </si>
  <si>
    <t>Rent Expense</t>
  </si>
  <si>
    <t>EBITDAR</t>
  </si>
  <si>
    <t>Stock Option Expense</t>
  </si>
  <si>
    <t>Annual</t>
  </si>
  <si>
    <t>Term Loan</t>
  </si>
  <si>
    <t>Diluted EPS</t>
  </si>
  <si>
    <t>Calculation of Shares Outstanding</t>
  </si>
  <si>
    <t>Projected Stock Price Repurchase at Premium</t>
  </si>
  <si>
    <t>Net Debt</t>
  </si>
  <si>
    <t>Avg. Exercise Price</t>
  </si>
  <si>
    <t>Calendarized Net Income</t>
  </si>
  <si>
    <t>Cash Flow From Financing Activities</t>
  </si>
  <si>
    <t>Source</t>
  </si>
  <si>
    <t>SG&amp;A Margin</t>
  </si>
  <si>
    <t>Case Name</t>
  </si>
  <si>
    <t>FY</t>
  </si>
  <si>
    <t>Projections, Leveraged Buyout, and Merger Anaylsis</t>
  </si>
  <si>
    <t>Cash Flow from Operating Activities</t>
  </si>
  <si>
    <t>Cash Flow from Investing Activities</t>
  </si>
  <si>
    <t>Cash Flow from Financing Activities</t>
  </si>
  <si>
    <t>TOTAL LIABILITIES &amp; EQUITY</t>
  </si>
  <si>
    <t>Tenor</t>
  </si>
  <si>
    <t>IRR Sensitivity Analysis</t>
  </si>
  <si>
    <t>Purchase Price per Share</t>
  </si>
  <si>
    <t>Year 4 Exit</t>
  </si>
  <si>
    <t>Year 5 Exit</t>
  </si>
  <si>
    <t>Amortization</t>
  </si>
  <si>
    <t>Goodwill</t>
  </si>
  <si>
    <t>Maturity</t>
  </si>
  <si>
    <t>Interest Rate</t>
  </si>
  <si>
    <t>Top 10 Institutions</t>
  </si>
  <si>
    <t>Revolver Beginning Balance</t>
  </si>
  <si>
    <t>Beginning Cash</t>
  </si>
  <si>
    <t>Free Cash Flow before Revolver</t>
  </si>
  <si>
    <t>Minimum Cash</t>
  </si>
  <si>
    <t>Revolver Ending Balance</t>
  </si>
  <si>
    <t>Borrowings / (Repayments)</t>
  </si>
  <si>
    <t>Borrowings / (Repayments) Under Revolver</t>
  </si>
  <si>
    <t>Interest Income</t>
  </si>
  <si>
    <t>Premium to Current Price</t>
  </si>
  <si>
    <t>Premium to 52 Week High</t>
  </si>
  <si>
    <t>Premium to 52 Week Low</t>
  </si>
  <si>
    <t>Total Equity</t>
  </si>
  <si>
    <t>Intangible Assets</t>
  </si>
  <si>
    <t>Identifiable Intangibles</t>
  </si>
  <si>
    <t>Book Value of Equity</t>
  </si>
  <si>
    <t>Tangible Book Value</t>
  </si>
  <si>
    <t>Identifiable Intangibles Adjustment</t>
  </si>
  <si>
    <t>Pro Forma Goodwill</t>
  </si>
  <si>
    <t>Less: Goodwill</t>
  </si>
  <si>
    <t>Existing Amortization of Intangibles</t>
  </si>
  <si>
    <t>Other Intangible Assets</t>
  </si>
  <si>
    <t>Calculation of Returns to Common Equity</t>
  </si>
  <si>
    <t>Optional Repayment of Debt</t>
  </si>
  <si>
    <t>Cash Flow After Revolver</t>
  </si>
  <si>
    <t>Optional Repayment of Term Loan</t>
  </si>
  <si>
    <t>5-Year Stock Price</t>
  </si>
  <si>
    <t>Depreciation &amp; Amortization</t>
  </si>
  <si>
    <t>Credit Rating</t>
  </si>
  <si>
    <t>S&amp;P</t>
  </si>
  <si>
    <t>Moody's</t>
  </si>
  <si>
    <t>[ ]</t>
  </si>
  <si>
    <t xml:space="preserve">Prepaid Expenses and Other </t>
  </si>
  <si>
    <t>Prepaid Expenses and Other as a % of Net Sales</t>
  </si>
  <si>
    <t>Transaction Assumptions</t>
  </si>
  <si>
    <t>Include Synergies (1=Y, 0=N)</t>
  </si>
  <si>
    <t>Goodwill &amp; Amortizable Intangibles</t>
  </si>
  <si>
    <t>Advisory Fees and Expenses</t>
  </si>
  <si>
    <t>Revolver Size</t>
  </si>
  <si>
    <t>Deferred Financing Fees</t>
  </si>
  <si>
    <t>Amortization of Deferred Financing Fees</t>
  </si>
  <si>
    <t>Allow Early Repayment on TL (1=Yes, 0=No)</t>
  </si>
  <si>
    <t>Phase-In</t>
  </si>
  <si>
    <t>Mandatory Amortization Schedule</t>
  </si>
  <si>
    <t>Fee %</t>
  </si>
  <si>
    <t>Fee $</t>
  </si>
  <si>
    <t>Financing Assumptions</t>
  </si>
  <si>
    <t>SG&amp;A Plug Calculation for Street EPS</t>
  </si>
  <si>
    <t>Model EPS</t>
  </si>
  <si>
    <t>Target EPS</t>
  </si>
  <si>
    <t>Other Expense (Income)</t>
  </si>
  <si>
    <t>SG&amp;A</t>
  </si>
  <si>
    <t>Revenue</t>
  </si>
  <si>
    <t>SG&amp;A % of Sales</t>
  </si>
  <si>
    <t>Balance Sheet Cash</t>
  </si>
  <si>
    <t>Adjustments to Interest Expense</t>
  </si>
  <si>
    <t>Stand Alone Interest Expense / (Income)</t>
  </si>
  <si>
    <t>Incremental Interest Expense / (Income)</t>
  </si>
  <si>
    <t>Pro Forma Combined Interest Expense / (Income)</t>
  </si>
  <si>
    <t>Stand Alone EPS</t>
  </si>
  <si>
    <t>Pro Forma Combined EPS</t>
  </si>
  <si>
    <t>FY-1</t>
  </si>
  <si>
    <t>FY+1</t>
  </si>
  <si>
    <t>Net Capitalization</t>
  </si>
  <si>
    <t>D&amp;A</t>
  </si>
  <si>
    <t>Date &amp; Calendarization Adjustments</t>
  </si>
  <si>
    <t>[ Source ]</t>
  </si>
  <si>
    <t>Adjusted Debt</t>
  </si>
  <si>
    <t>Adjusted Debt / EBITDAR</t>
  </si>
  <si>
    <t>FYE Date</t>
  </si>
  <si>
    <t>LTG Rate</t>
  </si>
  <si>
    <t>Restricted Stock Units</t>
  </si>
  <si>
    <t>(b) Assumes treasury stock method.</t>
  </si>
  <si>
    <t>Last FY</t>
  </si>
  <si>
    <t>Co. Name</t>
  </si>
  <si>
    <t>Effect of Exchange Rates on Cash &amp; Cash Equivalents</t>
  </si>
  <si>
    <t xml:space="preserve">Non-Recurring Items </t>
  </si>
  <si>
    <t>Enter Charges as Positive</t>
  </si>
  <si>
    <t>Returns to Common Equity - Year 5 Exit</t>
  </si>
  <si>
    <t>Repurchased Shares</t>
  </si>
  <si>
    <t>Ending Shares</t>
  </si>
  <si>
    <t>Timing</t>
  </si>
  <si>
    <t>Total Share Repurchases</t>
  </si>
  <si>
    <t>CAGR = Compounded Annual Growth Rate.</t>
  </si>
  <si>
    <t>Options &amp; Treasury Stock Method</t>
  </si>
  <si>
    <t>TSM</t>
  </si>
  <si>
    <t>Repurchase Premium</t>
  </si>
  <si>
    <t>[ t Case 2 ]</t>
  </si>
  <si>
    <t>[ a Case 2 ]</t>
  </si>
  <si>
    <t>[ a Case 3 ]</t>
  </si>
  <si>
    <t>[ a Case 4 ]</t>
  </si>
  <si>
    <t>[ a Case 5 ]</t>
  </si>
  <si>
    <t>[ t Case 3 ]</t>
  </si>
  <si>
    <t>[ t Case 4 ]</t>
  </si>
  <si>
    <t>[ t Case 5 ]</t>
  </si>
  <si>
    <t>(b) Goodwill and Intangibles generated in transaction.</t>
  </si>
  <si>
    <t>Net Change in Cash</t>
  </si>
  <si>
    <t>Project MODEL</t>
  </si>
  <si>
    <t>Beneficial Ownership by Category (e)</t>
  </si>
  <si>
    <t>PEG Ratios:</t>
  </si>
  <si>
    <t>Adjusted for Non-Recurring Items</t>
  </si>
  <si>
    <t>Adjusted EBITDA</t>
  </si>
  <si>
    <t>Plus: Income (Loss) from Disc. Operations, Net of Tax</t>
  </si>
  <si>
    <t>Total Non-Recurrings Before Tax</t>
  </si>
  <si>
    <t>Net Income From Continuing Operations</t>
  </si>
  <si>
    <t>Income (Loss) from Disc. Operations, Net of Tax</t>
  </si>
  <si>
    <t>Minority Interest. Net of Tax</t>
  </si>
  <si>
    <t>Less: NI Attributable to Minority Interest, Net of Tax</t>
  </si>
  <si>
    <t>Short-Term Debt and Curr. Portion of Long-Term Debt</t>
  </si>
  <si>
    <t>COGS</t>
  </si>
  <si>
    <t>Total Change in Working Capital Accounts</t>
  </si>
  <si>
    <t>Adjusted EBITDAR</t>
  </si>
  <si>
    <t>Additional Adjustments for Leverage Ratios</t>
  </si>
  <si>
    <t>Stock-Based Compensation</t>
  </si>
  <si>
    <t>Capitalization and Leverage Statistics</t>
  </si>
  <si>
    <t>Additional EBITDA Adjustments for Leverage Ratios</t>
  </si>
  <si>
    <t>Total Adjustments</t>
  </si>
  <si>
    <t>Undrawn Revolver Fee</t>
  </si>
  <si>
    <t>LIBOR Curve</t>
  </si>
  <si>
    <t>Beginning</t>
  </si>
  <si>
    <t>Middle</t>
  </si>
  <si>
    <t>End</t>
  </si>
  <si>
    <t>Average</t>
  </si>
  <si>
    <t>Effective Interest Rates</t>
  </si>
  <si>
    <t>Senior Notes</t>
  </si>
  <si>
    <t>LIBOR Rates</t>
  </si>
  <si>
    <t>Margin</t>
  </si>
  <si>
    <t>Floor</t>
  </si>
  <si>
    <t>LIBOR</t>
  </si>
  <si>
    <t>L</t>
  </si>
  <si>
    <t>F</t>
  </si>
  <si>
    <t>Fixed /</t>
  </si>
  <si>
    <t>Fixed Rate</t>
  </si>
  <si>
    <t>Interest Rate Calculation</t>
  </si>
  <si>
    <t>Total Share Repurchases (Enter as Positive)</t>
  </si>
  <si>
    <t>Shares Issued</t>
  </si>
  <si>
    <t>Beginning Basic Shares Outstanding</t>
  </si>
  <si>
    <t>Beginning Diluted Shares Outstanding</t>
  </si>
  <si>
    <t>Basic Weighted Average Shares</t>
  </si>
  <si>
    <t>Street Consensus Projections</t>
  </si>
  <si>
    <t>OID</t>
  </si>
  <si>
    <t>Pro Forma Leverage</t>
  </si>
  <si>
    <t>Adj. Debt/</t>
  </si>
  <si>
    <t>Annual Synergies</t>
  </si>
  <si>
    <t>Total Synergies</t>
  </si>
  <si>
    <t>OID %</t>
  </si>
  <si>
    <t>OID $</t>
  </si>
  <si>
    <t>Accretion / (Dilution) Sensitivity</t>
  </si>
  <si>
    <t>Purchase</t>
  </si>
  <si>
    <t>Share</t>
  </si>
  <si>
    <t>Synergy Sensitivity</t>
  </si>
  <si>
    <t>[ ] Stand Alone</t>
  </si>
  <si>
    <t>Additional Pre-Tax Synergies /</t>
  </si>
  <si>
    <t>(Cushion) Needed for 0.0% Accretion</t>
  </si>
  <si>
    <t>(Cushion) Needed for 5.0% Accretion</t>
  </si>
  <si>
    <t>(Cushion) Needed for 10.0% Accretion</t>
  </si>
  <si>
    <t>to Current</t>
  </si>
  <si>
    <t>Inputs</t>
  </si>
  <si>
    <t>Purchase Price</t>
  </si>
  <si>
    <t>1-Way Purchase Price Sensitivity Tables</t>
  </si>
  <si>
    <t>Historical</t>
  </si>
  <si>
    <t>Consensus Street Estimates</t>
  </si>
  <si>
    <t>Additional Excess Cash to Fund Costs at Close</t>
  </si>
  <si>
    <t>Subtotal Sources of Funds</t>
  </si>
  <si>
    <t>Subtotal Uses of Funds</t>
  </si>
  <si>
    <t>Sr. Secured Debt / EBITDA</t>
  </si>
  <si>
    <t>Shares Sold Short</t>
  </si>
  <si>
    <t>Short Int. as % of Shares Out.</t>
  </si>
  <si>
    <t>Taxes</t>
  </si>
  <si>
    <t>Income Tax Rate</t>
  </si>
  <si>
    <t>Gross Margin %</t>
  </si>
  <si>
    <t>"Adjusted" Display</t>
  </si>
  <si>
    <t xml:space="preserve"> Excl. Non-Recurring Items</t>
  </si>
  <si>
    <t>Off</t>
  </si>
  <si>
    <t>On</t>
  </si>
  <si>
    <t>Dividends</t>
  </si>
  <si>
    <t>Blended Income Tax Rate</t>
  </si>
  <si>
    <t>Calculation of Projected Other Expenses (Above EBIT)</t>
  </si>
  <si>
    <t>Sweep of Excess Free Cash Flow</t>
  </si>
  <si>
    <t>(h) Deferred Financing Fees amortized over life of debt.</t>
  </si>
  <si>
    <t>(i) Debt used to finance transaction.</t>
  </si>
  <si>
    <t>(c) Write-up of incremental Intangibles.</t>
  </si>
  <si>
    <t>(d) Goodwill generated in transaction.</t>
  </si>
  <si>
    <t>Deferred Tax Liability</t>
  </si>
  <si>
    <t>(e) Deferred Tax Liability created due to write-up of Intangibles.</t>
  </si>
  <si>
    <t>(f) Write-off of target equity.</t>
  </si>
  <si>
    <t>(g) Cash used to finance transaction.</t>
  </si>
  <si>
    <t>(h)</t>
  </si>
  <si>
    <t>(i)</t>
  </si>
  <si>
    <t>(j)</t>
  </si>
  <si>
    <t>(j) Equity used to finance transaction.</t>
  </si>
  <si>
    <t>Change in Deferred Tax Liability</t>
  </si>
  <si>
    <t>Amortization of Deferred Financing Fees and OID</t>
  </si>
  <si>
    <t>Reconciliation of Book and Cash Taxes</t>
  </si>
  <si>
    <t>Book Pre-Tax Income</t>
  </si>
  <si>
    <t>Cash Pre-Tax Income</t>
  </si>
  <si>
    <t>Book Taxes</t>
  </si>
  <si>
    <t>Less: Cash Taxes</t>
  </si>
  <si>
    <t>Plus: Amortization of Intangibles (from Transaction)</t>
  </si>
  <si>
    <t>(b) Assumes Treasury Stock Method.</t>
  </si>
  <si>
    <t>One-Time Costs</t>
  </si>
  <si>
    <t>FY+2</t>
  </si>
  <si>
    <t>Projected Stock Price at Forward P/E Multiple:</t>
  </si>
  <si>
    <t>Projected Stock Price at Current Forward P/E Multiple:</t>
  </si>
  <si>
    <t>Less: Non-Recurring Items, Net of Tax</t>
  </si>
  <si>
    <t>Diluted EPS, As Reported</t>
  </si>
  <si>
    <t>Less: Taxes on Incremental Income at Blended Rate</t>
  </si>
  <si>
    <t>Less: Incremental Acquiror Taxes (Change in Blended Rate)</t>
  </si>
  <si>
    <t>Sanity Check the Interest Expense</t>
  </si>
  <si>
    <t>Stand Alone Weighted-Average Shares Outstanding</t>
  </si>
  <si>
    <t>Accretion / Dilution ($)</t>
  </si>
  <si>
    <t>Accretion / Dilution (%)</t>
  </si>
  <si>
    <t>Merger Model</t>
  </si>
  <si>
    <t>Acq Proj Model</t>
  </si>
  <si>
    <t>Accretion / Dilution</t>
  </si>
  <si>
    <t>Sr. Secured Debt Outstanding</t>
  </si>
  <si>
    <t>% of Original Sr. Secured Debt</t>
  </si>
  <si>
    <t>Sources Inputs</t>
  </si>
  <si>
    <t>Initial</t>
  </si>
  <si>
    <t>Adjusted</t>
  </si>
  <si>
    <t>Target Total Equity % of Total Sources</t>
  </si>
  <si>
    <t>Target Equity</t>
  </si>
  <si>
    <t>Current Equity</t>
  </si>
  <si>
    <t>Gap to be Reconciled</t>
  </si>
  <si>
    <t>Total Equity Threshold</t>
  </si>
  <si>
    <t>Rounded</t>
  </si>
  <si>
    <t>Leverage</t>
  </si>
  <si>
    <t>Interest Rates</t>
  </si>
  <si>
    <t>Interest Rate Inputs</t>
  </si>
  <si>
    <t>Original Issue Discount</t>
  </si>
  <si>
    <t>OID Amortization Schedule</t>
  </si>
  <si>
    <t>Financing Fee Amortization Schedule</t>
  </si>
  <si>
    <t>Other Investing Activities</t>
  </si>
  <si>
    <t xml:space="preserve">Depreciation </t>
  </si>
  <si>
    <t>Amortization (including Intangibles from Transaction)</t>
  </si>
  <si>
    <t>Amortization of OID</t>
  </si>
  <si>
    <t>Amortization of Existing Intangibles</t>
  </si>
  <si>
    <t>Amortization of New Intangibles</t>
  </si>
  <si>
    <t>&lt;-- Footnote any further adjustments to</t>
  </si>
  <si>
    <t xml:space="preserve">      EBITDA for leverage ratios</t>
  </si>
  <si>
    <t>&lt;-- Adjusted Debt Multiple</t>
  </si>
  <si>
    <t>Exit Multiple</t>
  </si>
  <si>
    <t>2-Way IRR Sensitivity Tables</t>
  </si>
  <si>
    <t>Ticker</t>
  </si>
  <si>
    <t>Exchange</t>
  </si>
  <si>
    <t>Equity</t>
  </si>
  <si>
    <t>Subtotal Sources</t>
  </si>
  <si>
    <t>Add'l Excess Cash</t>
  </si>
  <si>
    <t>Total Sources</t>
  </si>
  <si>
    <t>Row / Column formulas to paste values above</t>
  </si>
  <si>
    <t>Plus: LTM Debt</t>
  </si>
  <si>
    <t>Less: LTM Cash</t>
  </si>
  <si>
    <t>EV / Net Sales</t>
  </si>
  <si>
    <t>EV / EBITDA</t>
  </si>
  <si>
    <t>EV / EBIT</t>
  </si>
  <si>
    <t>LTM Mult.</t>
  </si>
  <si>
    <t>&lt;-- Choose which leverage statistics to show</t>
  </si>
  <si>
    <t>Leverage Profile</t>
  </si>
  <si>
    <t>Pro Forma Weighted-Average Shares Outstanding</t>
  </si>
  <si>
    <t>Less: Gross Profit Reduction from Lost Net Sales</t>
  </si>
  <si>
    <t>Less: Cost Savings/Synergies (SG&amp;A)</t>
  </si>
  <si>
    <t>Less: SG&amp;A Reduction from Lost Net Sales</t>
  </si>
  <si>
    <t>Less: Cost Savings/Synergies (Other Expenses)</t>
  </si>
  <si>
    <t>Plus: New Amortization of Intangibles</t>
  </si>
  <si>
    <t>Financial Information</t>
  </si>
  <si>
    <t>(b) Assumes 8.0x rent methodology.</t>
  </si>
  <si>
    <t>Shares Outstanding (c)</t>
  </si>
  <si>
    <t>Option Equivalent Shares (d)</t>
  </si>
  <si>
    <t>Average Daily Volume (3 Mo.)</t>
  </si>
  <si>
    <t>Plus: LTM Net Debt (d)</t>
  </si>
  <si>
    <t>Plus: Net Debt (a)</t>
  </si>
  <si>
    <t>GAAP Financials</t>
  </si>
  <si>
    <t>(Adjusted) Margins</t>
  </si>
  <si>
    <t>(Adjusted) Growth Rates</t>
  </si>
  <si>
    <t>Non-Recurrings Affecting COGS</t>
  </si>
  <si>
    <t>Non-Recurrings Affecting SG&amp;A</t>
  </si>
  <si>
    <t>Non-Recurrings Affecting Other Above EBIT</t>
  </si>
  <si>
    <t>Non-Recurrings Affecting Other Below EBIT</t>
  </si>
  <si>
    <t>Tax Effect of Non-Recurrings</t>
  </si>
  <si>
    <t>(a) Adjusted to exclude unusual and extraordinary items.</t>
  </si>
  <si>
    <t>Income Statement Data (a)</t>
  </si>
  <si>
    <t>Free Cash Flow (b)</t>
  </si>
  <si>
    <t>Operating</t>
  </si>
  <si>
    <t>Net Income / EPS</t>
  </si>
  <si>
    <t xml:space="preserve">Adj. </t>
  </si>
  <si>
    <t>Capex</t>
  </si>
  <si>
    <t>EBITDA / Interest, Net</t>
  </si>
  <si>
    <t>(EBITDA - Capex) / Interest, Net</t>
  </si>
  <si>
    <t>&lt;-- Includes Min. Int. and Pref. Stock -- For EV calculations only -- Not for leverage calculations</t>
  </si>
  <si>
    <t>Mgmt. Promote</t>
  </si>
  <si>
    <t>Debt /</t>
  </si>
  <si>
    <t>Free Cash Flow Calculation</t>
  </si>
  <si>
    <t>Option 1:</t>
  </si>
  <si>
    <t>Defined as Cash Flow from Operating Activities less Capital Expenditures.</t>
  </si>
  <si>
    <t>Cash Flow from Operations</t>
  </si>
  <si>
    <t xml:space="preserve">Free Cash Flow </t>
  </si>
  <si>
    <t>Option 2:</t>
  </si>
  <si>
    <t>Defined as Tax-effected EBIT plus Depreciation and Amortization less Change in Net Working Capital less Capital Expenditures.</t>
  </si>
  <si>
    <t>GAAP EBIT</t>
  </si>
  <si>
    <t>Tax-Effected EBIT</t>
  </si>
  <si>
    <t>Change in NWC</t>
  </si>
  <si>
    <t>Long-Term EPS Growth (a)</t>
  </si>
  <si>
    <t xml:space="preserve">  Shares Date</t>
  </si>
  <si>
    <t>Status Quo Share Repurchases</t>
  </si>
  <si>
    <t>Adjustment to Status Quo Share Repurchases</t>
  </si>
  <si>
    <r>
      <t xml:space="preserve">Total Non-Recurrings </t>
    </r>
    <r>
      <rPr>
        <u/>
        <sz val="10"/>
        <rFont val="Arial Narrow"/>
        <family val="2"/>
      </rPr>
      <t>Above</t>
    </r>
    <r>
      <rPr>
        <sz val="10"/>
        <rFont val="Arial Narrow"/>
        <family val="2"/>
      </rPr>
      <t xml:space="preserve"> EBIT</t>
    </r>
  </si>
  <si>
    <r>
      <t xml:space="preserve">Total Non-Recurrings </t>
    </r>
    <r>
      <rPr>
        <u/>
        <sz val="10"/>
        <rFont val="Arial Narrow"/>
        <family val="2"/>
      </rPr>
      <t>Below</t>
    </r>
    <r>
      <rPr>
        <sz val="10"/>
        <rFont val="Arial Narrow"/>
        <family val="2"/>
      </rPr>
      <t xml:space="preserve"> EBIT</t>
    </r>
  </si>
  <si>
    <t>Merger Analysis Outputs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</si>
  <si>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</si>
  <si>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</si>
  <si>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</si>
  <si>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</si>
  <si>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</si>
  <si>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</si>
  <si>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</si>
  <si>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</si>
  <si>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</si>
  <si>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</si>
  <si>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Leveraged Buyout Model</t>
  </si>
  <si>
    <t>Acquirer Standalone Model</t>
  </si>
  <si>
    <t>Target Standalone Model</t>
  </si>
  <si>
    <t>Financial, LBO and Merger Model</t>
  </si>
  <si>
    <t>COLEMAN CO.</t>
  </si>
  <si>
    <t>COLE</t>
  </si>
  <si>
    <t>NASDAQ</t>
  </si>
  <si>
    <t>SG ENTERPRISES</t>
  </si>
  <si>
    <t>BBB</t>
  </si>
  <si>
    <t>Baa2</t>
  </si>
  <si>
    <t>Inventory Adjustment</t>
  </si>
  <si>
    <t>Severance Costs</t>
  </si>
  <si>
    <t>Stock Based Compensation</t>
  </si>
  <si>
    <t>Principal payments of capital lease obligation</t>
  </si>
  <si>
    <t>Proceeds from exercise of stock options</t>
  </si>
  <si>
    <t>Shareholder A</t>
  </si>
  <si>
    <t>Wall street consensus</t>
  </si>
  <si>
    <t>Research Provider</t>
  </si>
  <si>
    <t>Principal Repayments</t>
  </si>
  <si>
    <t>BB</t>
  </si>
  <si>
    <t>Baa3</t>
  </si>
  <si>
    <t>Shareholder B</t>
  </si>
  <si>
    <t>Base</t>
  </si>
  <si>
    <t>Multiple</t>
  </si>
  <si>
    <t>Disc. Rate</t>
  </si>
  <si>
    <t>Perp Rate</t>
  </si>
  <si>
    <t>% Growth</t>
  </si>
  <si>
    <t>% of Net Sales</t>
  </si>
  <si>
    <t>Taxes @</t>
  </si>
  <si>
    <t xml:space="preserve">Depreciation &amp; Amortization </t>
  </si>
  <si>
    <t xml:space="preserve">Capital Expenditures </t>
  </si>
  <si>
    <t xml:space="preserve">Change in Net Working Capital </t>
  </si>
  <si>
    <t>Free Cash Flow</t>
  </si>
  <si>
    <t>Growth in Free Cash Flow</t>
  </si>
  <si>
    <t>Terminal Value / EBITDA Multiple</t>
  </si>
  <si>
    <t>Discount Rate</t>
  </si>
  <si>
    <t>X</t>
  </si>
  <si>
    <t>Present Value of Free Cash Flow</t>
  </si>
  <si>
    <t>Present Value of Terminal Value</t>
  </si>
  <si>
    <t>Total Enterprise Value</t>
  </si>
  <si>
    <t>Total Equity Value</t>
  </si>
  <si>
    <t>Total Equity Value Per Share</t>
  </si>
  <si>
    <t>Terminal Value as a % of Total Value</t>
  </si>
  <si>
    <t>Implied Perpetuity Growth Rate</t>
  </si>
  <si>
    <t>Perpetuity Growth Rate</t>
  </si>
  <si>
    <t>Implied Terminal Value / EBITDA</t>
  </si>
  <si>
    <t>Shares for Exit Multiples</t>
  </si>
  <si>
    <t>Shares for Perpetuity Growth Rate</t>
  </si>
  <si>
    <t>Discounting Methodology</t>
  </si>
  <si>
    <t>Discount to:</t>
  </si>
  <si>
    <t># Periods for:</t>
  </si>
  <si>
    <t>End-of-Year Convention</t>
  </si>
  <si>
    <t>PV of FCF</t>
  </si>
  <si>
    <t>Mid-Year Convention</t>
  </si>
  <si>
    <t>PV of TV</t>
  </si>
  <si>
    <t>Calculation for Treasury Stock Method -- Exit Multiples</t>
  </si>
  <si>
    <t>Options</t>
  </si>
  <si>
    <t>Treasury Stock Method</t>
  </si>
  <si>
    <t>Calculation for Treasury Stock Method -- Perpetuity Growth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</si>
</sst>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2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0.0%_);[Red]\(0.0%\)"/>
    <numFmt numFmtId="165" formatCode="0.0%"/>
    <numFmt numFmtId="166" formatCode="0.000\ \x"/>
    <numFmt numFmtId="167" formatCode="&quot;$&quot;#,##0.0_);[Red]\(&quot;$&quot;#,##0.0\)"/>
    <numFmt numFmtId="168" formatCode="#,##0.0_);[Red]\(#,##0.0\)"/>
    <numFmt numFmtId="169" formatCode="0.0\ \x"/>
    <numFmt numFmtId="170" formatCode="0_);[Red]\(0\)"/>
    <numFmt numFmtId="171" formatCode=";;;"/>
    <numFmt numFmtId="172" formatCode="0.0%\ ;\(0.0%\)"/>
    <numFmt numFmtId="173" formatCode="#,##0.0;[Red]\(#,##0.0\)"/>
    <numFmt numFmtId="174" formatCode="0.00_);\(0.00\)"/>
    <numFmt numFmtId="175" formatCode="&quot;$&quot;#,##0.0_);\(&quot;$&quot;#,##0.0\)"/>
    <numFmt numFmtId="176" formatCode="#,##0.0_);\(#,##0.0\)"/>
    <numFmt numFmtId="177" formatCode="0.0%_);\(0.0%\)"/>
    <numFmt numFmtId="178" formatCode="0.00%_);\(0.00%\)"/>
    <numFmt numFmtId="179" formatCode="#,##0.000\ ;\(#,##0.000\)"/>
    <numFmt numFmtId="180" formatCode="0.0%;\(0.0%\)"/>
    <numFmt numFmtId="181" formatCode="_(* #,##0.0\ \ _);_(* \(#,##0.0\ \ \ ;_(* &quot;-&quot;??_);_(@_)"/>
    <numFmt numFmtId="182" formatCode="#,##0.0\ "/>
    <numFmt numFmtId="183" formatCode="_$&quot;$&quot;#,##0.00_);[Red]_$\(&quot;$&quot;#,##0.00\);_$&quot;$&quot;0.00_);_$@_)"/>
    <numFmt numFmtId="184" formatCode="_(&quot;$&quot;* #,##0.0_);_(&quot;$&quot;* \(#,##0.0\);_(&quot;$&quot;* &quot;-&quot;?_);_(@_)"/>
    <numFmt numFmtId="185" formatCode="mmmm\ d\,\ yyyy"/>
    <numFmt numFmtId="186" formatCode="_(* #,##0.0_%_);_(* \(#,##0.0_%\);_(* &quot; - &quot;_%_);_(@_)"/>
    <numFmt numFmtId="187" formatCode="_(* #,##0.0%_);_(* \(#,##0.0%\);_(* &quot; - &quot;\%_);_(@_)"/>
    <numFmt numFmtId="188" formatCode="_(* #,##0_);_(* \(#,##0\);_(* &quot; - &quot;_);_(@_)"/>
    <numFmt numFmtId="189" formatCode="_(* #,##0.0_);_(* \(#,##0.0\);_(* &quot; - &quot;_);_(@_)"/>
    <numFmt numFmtId="190" formatCode="_(* #,##0.00_);_(* \(#,##0.00\);_(* &quot; - &quot;_);_(@_)"/>
    <numFmt numFmtId="191" formatCode="_(* #,##0.000_);_(* \(#,##0.000\);_(* &quot; - &quot;_);_(@_)"/>
    <numFmt numFmtId="192" formatCode="#,##0;\(#,##0\);&quot;-&quot;"/>
    <numFmt numFmtId="193" formatCode="mmmm\ d\,"/>
    <numFmt numFmtId="194" formatCode="0.0\ \x;\(0.0\ \x\)"/>
    <numFmt numFmtId="195" formatCode="[White]General;[White]General;[White]General;[White]General"/>
    <numFmt numFmtId="196" formatCode="&quot;x&quot;;&quot;x&quot;;&quot;x&quot;;&quot;x&quot;"/>
    <numFmt numFmtId="197" formatCode="0.00_)"/>
    <numFmt numFmtId="198" formatCode="0000"/>
    <numFmt numFmtId="199" formatCode="000000"/>
    <numFmt numFmtId="200" formatCode="hh:mm:ss"/>
    <numFmt numFmtId="201" formatCode="&quot;$&quot;#,##0;&quot;$&quot;\(#,##0"/>
    <numFmt numFmtId="202" formatCode="0.000_);\(0.000\)"/>
    <numFmt numFmtId="203" formatCode="#,##0;\(#,##0"/>
    <numFmt numFmtId="204" formatCode="&quot;$&quot;#,##0.00;&quot;$&quot;\(#,##0.00"/>
    <numFmt numFmtId="205" formatCode="0.00%;\(0.00%\)"/>
    <numFmt numFmtId="206" formatCode="#,##0.0_);\(#,##0.0\);&quot;-&quot;_);@_)"/>
    <numFmt numFmtId="207" formatCode="&quot;$&quot;#,##0.00_);\(&quot;$&quot;#,##0.00\);&quot;-&quot;_);@_)"/>
    <numFmt numFmtId="208" formatCode="&quot;$&quot;#,##0.0_);\(&quot;$&quot;#,##0.0\);&quot;--&quot;_);@_)"/>
    <numFmt numFmtId="209" formatCode="&quot;$&quot;#,##0.00_);\(&quot;$&quot;#,##0.00\);&quot;--&quot;_);@_)"/>
    <numFmt numFmtId="210" formatCode="#,##0.0_);\(#,##0.0\);&quot;--&quot;_);@_)"/>
    <numFmt numFmtId="211" formatCode="0.0%_);\(0.0%\);&quot;--&quot;_%_)"/>
    <numFmt numFmtId="212" formatCode="#,##0.00_);\(#,##0.00\);&quot;--&quot;_);@_)"/>
    <numFmt numFmtId="213" formatCode="#,##0.0%_);\(#,##0.0%\);&quot;-&quot;_%_);@_%_)"/>
    <numFmt numFmtId="214" formatCode="m/d/yy;@"/>
    <numFmt numFmtId="215" formatCode="#,##0_);\(#,##0\);&quot;--&quot;_);@_)"/>
    <numFmt numFmtId="216" formatCode="[$-409]mmm\-yy;@"/>
    <numFmt numFmtId="217" formatCode="#,##0.0%_);\(#,##0.0%\);&quot;--&quot;_%_);@_%_)"/>
    <numFmt numFmtId="218" formatCode="0.0\ \x_);\(0.0\ \x\);&quot;-&quot;_ _x_);@_ _x_)"/>
    <numFmt numFmtId="219" formatCode="m/d/yy\ h:mm;@"/>
    <numFmt numFmtId="220" formatCode="0000&quot;A&quot;_)"/>
    <numFmt numFmtId="221" formatCode="0000&quot;E&quot;_)"/>
    <numFmt numFmtId="222" formatCode="0000&quot;P&quot;_)"/>
    <numFmt numFmtId="223" formatCode="#,##0.00%_);\(#,##0.00%\);&quot;--&quot;_%_);@_%_)"/>
    <numFmt numFmtId="224" formatCode="#,##0.0_);\(#,##0.0\);&quot;--&quot;_)"/>
    <numFmt numFmtId="225" formatCode="0000&quot;E&quot;"/>
    <numFmt numFmtId="226" formatCode="0000&quot;PF&quot;"/>
    <numFmt numFmtId="227" formatCode="0000&quot;P&quot;"/>
    <numFmt numFmtId="228" formatCode="0.0000000"/>
    <numFmt numFmtId="229" formatCode="0.0\ \x_);\(0.0\ \x\);&quot;--&quot;_ _x_);@_ _x_)"/>
    <numFmt numFmtId="230" formatCode="0.000"/>
    <numFmt numFmtId="231" formatCode="0000&quot;A&quot;"/>
    <numFmt numFmtId="232" formatCode="#,##0%_);\(#,##0%\);&quot;--&quot;_%_);@_%_)"/>
    <numFmt numFmtId="233" formatCode="mmm\-yy_)"/>
    <numFmt numFmtId="234" formatCode="#,##0.00000000000000"/>
    <numFmt numFmtId="235" formatCode="#,##0.000000000000000"/>
    <numFmt numFmtId="236" formatCode="0.000\ \x_);\(0.000\ \x\);&quot;--&quot;_ _x_);@_ _x_)"/>
    <numFmt numFmtId="237" formatCode="0000_)"/>
    <numFmt numFmtId="238" formatCode="0.00000000000000"/>
    <numFmt numFmtId="239" formatCode="#,##0.0"/>
    <numFmt numFmtId="240" formatCode="0&quot; bps&quot;"/>
    <numFmt numFmtId="241" formatCode="#,##0.0&quot;%&quot;_);\(#,##0.0&quot;%&quot;\)"/>
    <numFmt numFmtId="242" formatCode="#,##0.0&quot;%&quot;_);\(#,##0.0&quot;%&quot;\);&quot;--&quot;_%_);@_%_)"/>
    <numFmt numFmtId="243" formatCode="#,##0.0_%_);\(#,##0.0\)_%;&quot;--&quot;_%_);@_%_)"/>
    <numFmt numFmtId="244" formatCode="#,##0.000_ _x_);\(#,##0.000\)_ _x;&quot;--&quot;_ _x_);@_ _x_)"/>
    <numFmt numFmtId="245" formatCode="#,##0.0_ _x_);\(#,##0.0\)_ _x;&quot;--&quot;_ _x_);@_ _x_)"/>
    <numFmt numFmtId="246" formatCode="&quot;$&quot;#,##0.00_%_);\(&quot;$&quot;#,##0.00\)_%;&quot;--&quot;_%_);@_%_)"/>
    <numFmt numFmtId="247" formatCode="&quot;$&quot;#,##0_);\(&quot;$&quot;#,##0\);&quot;--&quot;_);@_)"/>
    <numFmt numFmtId="248" formatCode="#,##0.00000_);\(#,##0.00000\);&quot;--&quot;_);@_)"/>
    <numFmt numFmtId="249" formatCode="_-* #,##0.00_-;\-* #,##0.00_-;_-* &quot;-&quot;??_-;_-@_-"/>
    <numFmt numFmtId="250" formatCode="#,##0.0000_);\(#,##0.0000\)"/>
    <numFmt numFmtId="251" formatCode="0.00\ \x_);\(0.00\ \x\);&quot;--&quot;_ _x_);@_ _x_)"/>
  </numFmts>
  <fonts count="157"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0"/>
      <color indexed="12"/>
      <name val="Times New Roman"/>
      <family val="1"/>
    </font>
    <font>
      <b/>
      <sz val="16"/>
      <name val="Arial"/>
      <family val="2"/>
    </font>
    <font>
      <sz val="8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i/>
      <sz val="9"/>
      <name val="Times New Roman"/>
      <family val="1"/>
    </font>
    <font>
      <sz val="9"/>
      <name val="Times New Roman"/>
      <family val="1"/>
    </font>
    <font>
      <b/>
      <u val="singleAccounting"/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u val="double"/>
      <sz val="8"/>
      <color indexed="8"/>
      <name val="Arial"/>
      <family val="2"/>
    </font>
    <font>
      <sz val="8"/>
      <color indexed="8"/>
      <name val="Arial"/>
      <family val="2"/>
    </font>
    <font>
      <b/>
      <sz val="9"/>
      <color indexed="10"/>
      <name val="Wingdings"/>
      <charset val="2"/>
    </font>
    <font>
      <sz val="8"/>
      <color indexed="9"/>
      <name val="Arial"/>
      <family val="2"/>
    </font>
    <font>
      <sz val="8"/>
      <color indexed="9"/>
      <name val="Geneva"/>
      <family val="2"/>
    </font>
    <font>
      <sz val="12"/>
      <color indexed="9"/>
      <name val="Arial"/>
      <family val="2"/>
    </font>
    <font>
      <sz val="8"/>
      <name val="Helv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i/>
      <sz val="16"/>
      <color indexed="9"/>
      <name val="Helvetica"/>
      <family val="2"/>
    </font>
    <font>
      <b/>
      <sz val="10"/>
      <color indexed="9"/>
      <name val="MS Sans Serif"/>
      <family val="2"/>
    </font>
    <font>
      <sz val="11"/>
      <name val="Times New Roman"/>
      <family val="1"/>
    </font>
    <font>
      <b/>
      <sz val="8"/>
      <color indexed="9"/>
      <name val="Times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sz val="10"/>
      <color indexed="12"/>
      <name val="Arial Narrow"/>
      <family val="2"/>
    </font>
    <font>
      <sz val="10"/>
      <color indexed="11"/>
      <name val="Arial Narrow"/>
      <family val="2"/>
    </font>
    <font>
      <sz val="10"/>
      <name val="Arial Narrow"/>
      <family val="2"/>
    </font>
    <font>
      <sz val="28"/>
      <color rgb="FF00B050"/>
      <name val="Arial Narrow"/>
      <family val="2"/>
    </font>
    <font>
      <b/>
      <sz val="16"/>
      <name val="Arial Narrow"/>
      <family val="2"/>
    </font>
    <font>
      <b/>
      <sz val="10"/>
      <color indexed="12"/>
      <name val="Arial Narrow"/>
      <family val="2"/>
    </font>
    <font>
      <b/>
      <sz val="12"/>
      <color indexed="9"/>
      <name val="Arial Narrow"/>
      <family val="2"/>
    </font>
    <font>
      <b/>
      <sz val="10"/>
      <color indexed="9"/>
      <name val="Arial Narrow"/>
      <family val="2"/>
    </font>
    <font>
      <b/>
      <sz val="10"/>
      <name val="Arial Narrow"/>
      <family val="2"/>
    </font>
    <font>
      <i/>
      <sz val="10"/>
      <name val="Arial Narrow"/>
      <family val="2"/>
    </font>
    <font>
      <u/>
      <sz val="10"/>
      <name val="Arial Narrow"/>
      <family val="2"/>
    </font>
    <font>
      <sz val="10"/>
      <color rgb="FF00B050"/>
      <name val="Arial Narrow"/>
      <family val="2"/>
    </font>
    <font>
      <sz val="10"/>
      <color indexed="8"/>
      <name val="Arial Narrow"/>
      <family val="2"/>
    </font>
    <font>
      <sz val="8"/>
      <name val="Arial Narrow"/>
      <family val="2"/>
    </font>
    <font>
      <sz val="8.25"/>
      <name val="Arial Narrow"/>
      <family val="2"/>
    </font>
    <font>
      <sz val="8.25"/>
      <color indexed="12"/>
      <name val="Arial Narrow"/>
      <family val="2"/>
    </font>
    <font>
      <sz val="18"/>
      <color rgb="FF00B050"/>
      <name val="Arial Narrow"/>
      <family val="2"/>
    </font>
    <font>
      <b/>
      <sz val="14"/>
      <color theme="0"/>
      <name val="Arial Narrow"/>
      <family val="2"/>
    </font>
    <font>
      <sz val="10"/>
      <color theme="0"/>
      <name val="Arial Narrow"/>
      <family val="2"/>
    </font>
    <font>
      <sz val="7"/>
      <color theme="0"/>
      <name val="Arial Narrow"/>
      <family val="2"/>
    </font>
    <font>
      <i/>
      <sz val="10"/>
      <color indexed="12"/>
      <name val="Arial Narrow"/>
      <family val="2"/>
    </font>
    <font>
      <sz val="10"/>
      <color indexed="14"/>
      <name val="Arial Narrow"/>
      <family val="2"/>
    </font>
    <font>
      <sz val="8"/>
      <color rgb="FF00B050"/>
      <name val="Arial Narrow"/>
      <family val="2"/>
    </font>
    <font>
      <sz val="8"/>
      <color indexed="12"/>
      <name val="Arial Narrow"/>
      <family val="2"/>
    </font>
    <font>
      <b/>
      <sz val="10"/>
      <color rgb="FFC00000"/>
      <name val="Arial Narrow"/>
      <family val="2"/>
    </font>
    <font>
      <i/>
      <sz val="8"/>
      <name val="Arial Narrow"/>
      <family val="2"/>
    </font>
    <font>
      <b/>
      <sz val="10"/>
      <color theme="1"/>
      <name val="Arial Narrow"/>
      <family val="2"/>
    </font>
    <font>
      <b/>
      <sz val="16"/>
      <color theme="0"/>
      <name val="Arial Narrow"/>
      <family val="2"/>
    </font>
    <font>
      <b/>
      <sz val="20"/>
      <color theme="0"/>
      <name val="Arial Narrow"/>
      <family val="2"/>
    </font>
    <font>
      <b/>
      <sz val="10"/>
      <color theme="0"/>
      <name val="Arial Narrow"/>
      <family val="2"/>
    </font>
    <font>
      <i/>
      <sz val="10"/>
      <color rgb="FF00B050"/>
      <name val="Arial Narrow"/>
      <family val="2"/>
    </font>
    <font>
      <b/>
      <sz val="10"/>
      <color indexed="8"/>
      <name val="Arial Narrow"/>
      <family val="2"/>
    </font>
    <font>
      <sz val="10"/>
      <color indexed="9"/>
      <name val="Arial Narrow"/>
      <family val="2"/>
    </font>
    <font>
      <b/>
      <sz val="12"/>
      <name val="Arial Narrow"/>
      <family val="2"/>
    </font>
    <font>
      <b/>
      <i/>
      <sz val="10"/>
      <name val="Arial Narrow"/>
      <family val="2"/>
    </font>
    <font>
      <i/>
      <sz val="10"/>
      <color indexed="10"/>
      <name val="Arial Narrow"/>
      <family val="2"/>
    </font>
    <font>
      <b/>
      <sz val="14"/>
      <name val="Arial Narrow"/>
      <family val="2"/>
    </font>
    <font>
      <sz val="14"/>
      <name val="Arial Narrow"/>
      <family val="2"/>
    </font>
    <font>
      <sz val="14"/>
      <color theme="0"/>
      <name val="Arial Narrow"/>
      <family val="2"/>
    </font>
    <font>
      <b/>
      <u/>
      <sz val="10"/>
      <name val="Arial Narrow"/>
      <family val="2"/>
    </font>
    <font>
      <u/>
      <sz val="10"/>
      <color indexed="14"/>
      <name val="Arial Narrow"/>
      <family val="2"/>
    </font>
    <font>
      <sz val="14"/>
      <color theme="1"/>
      <name val="Arial Narrow"/>
      <family val="2"/>
    </font>
    <font>
      <i/>
      <sz val="10"/>
      <color indexed="14"/>
      <name val="Arial Narrow"/>
      <family val="2"/>
    </font>
    <font>
      <b/>
      <sz val="12"/>
      <color theme="0"/>
      <name val="Arial Narrow"/>
      <family val="2"/>
    </font>
    <font>
      <sz val="10"/>
      <color theme="1"/>
      <name val="Arial Narrow"/>
      <family val="2"/>
    </font>
    <font>
      <b/>
      <i/>
      <u/>
      <sz val="10"/>
      <name val="Arial Narrow"/>
      <family val="2"/>
    </font>
    <font>
      <b/>
      <sz val="10"/>
      <color rgb="FF00B050"/>
      <name val="Arial Narrow"/>
      <family val="2"/>
    </font>
    <font>
      <i/>
      <sz val="7"/>
      <color rgb="FF00B050"/>
      <name val="Arial Narrow"/>
      <family val="2"/>
    </font>
    <font>
      <sz val="18"/>
      <color indexed="14"/>
      <name val="Arial Narrow"/>
      <family val="2"/>
    </font>
    <font>
      <b/>
      <sz val="12"/>
      <color indexed="14"/>
      <name val="Arial Narrow"/>
      <family val="2"/>
    </font>
    <font>
      <b/>
      <sz val="12"/>
      <color rgb="FF00B050"/>
      <name val="Arial Narrow"/>
      <family val="2"/>
    </font>
    <font>
      <i/>
      <sz val="8"/>
      <color indexed="10"/>
      <name val="Arial Narrow"/>
      <family val="2"/>
    </font>
    <font>
      <i/>
      <sz val="8"/>
      <color indexed="12"/>
      <name val="Arial Narrow"/>
      <family val="2"/>
    </font>
    <font>
      <sz val="12"/>
      <color rgb="FF00B050"/>
      <name val="Arial Narrow"/>
      <family val="2"/>
    </font>
    <font>
      <sz val="12"/>
      <color indexed="14"/>
      <name val="Arial Narrow"/>
      <family val="2"/>
    </font>
    <font>
      <b/>
      <sz val="11"/>
      <color theme="1"/>
      <name val="Arial Narrow"/>
      <family val="2"/>
    </font>
    <font>
      <b/>
      <sz val="12"/>
      <color theme="1"/>
      <name val="Arial Narrow"/>
      <family val="2"/>
    </font>
    <font>
      <b/>
      <sz val="10"/>
      <color indexed="14"/>
      <name val="Arial Narrow"/>
      <family val="2"/>
    </font>
    <font>
      <b/>
      <sz val="10"/>
      <color indexed="10"/>
      <name val="Arial Narrow"/>
      <family val="2"/>
    </font>
    <font>
      <b/>
      <sz val="12"/>
      <color indexed="10"/>
      <name val="Arial Narrow"/>
      <family val="2"/>
    </font>
    <font>
      <sz val="10"/>
      <color indexed="10"/>
      <name val="Arial Narrow"/>
      <family val="2"/>
    </font>
    <font>
      <b/>
      <i/>
      <sz val="10"/>
      <color indexed="10"/>
      <name val="Arial Narrow"/>
      <family val="2"/>
    </font>
    <font>
      <b/>
      <u/>
      <sz val="14"/>
      <color indexed="14"/>
      <name val="Arial Narrow"/>
      <family val="2"/>
    </font>
    <font>
      <b/>
      <sz val="12"/>
      <color rgb="FFFFFFFF"/>
      <name val="Arial Narrow"/>
      <family val="2"/>
    </font>
    <font>
      <sz val="10"/>
      <color rgb="FFFF00FF"/>
      <name val="Arial Narrow"/>
      <family val="2"/>
    </font>
    <font>
      <b/>
      <sz val="10"/>
      <color rgb="FFFF00FF"/>
      <name val="Arial Narrow"/>
      <family val="2"/>
    </font>
    <font>
      <b/>
      <i/>
      <sz val="10"/>
      <color indexed="14"/>
      <name val="Arial Narrow"/>
      <family val="2"/>
    </font>
    <font>
      <u/>
      <sz val="10"/>
      <color rgb="FF00B050"/>
      <name val="Arial Narrow"/>
      <family val="2"/>
    </font>
    <font>
      <sz val="9"/>
      <color rgb="FF00B050"/>
      <name val="Arial Narrow"/>
      <family val="2"/>
    </font>
    <font>
      <sz val="10"/>
      <color indexed="13"/>
      <name val="Arial Narrow"/>
      <family val="2"/>
    </font>
    <font>
      <b/>
      <i/>
      <sz val="18"/>
      <color rgb="FFFF0000"/>
      <name val="Arial Narrow"/>
      <family val="2"/>
    </font>
    <font>
      <sz val="12"/>
      <name val="Arial Narrow"/>
      <family val="2"/>
    </font>
    <font>
      <b/>
      <u/>
      <sz val="10"/>
      <color rgb="FF00B050"/>
      <name val="Arial Narrow"/>
      <family val="2"/>
    </font>
    <font>
      <u/>
      <sz val="10"/>
      <color indexed="12"/>
      <name val="Arial Narrow"/>
      <family val="2"/>
    </font>
    <font>
      <u val="double"/>
      <sz val="10"/>
      <name val="Arial Narrow"/>
      <family val="2"/>
    </font>
    <font>
      <b/>
      <sz val="10"/>
      <color indexed="17"/>
      <name val="Arial Narrow"/>
      <family val="2"/>
    </font>
    <font>
      <b/>
      <u/>
      <sz val="12"/>
      <name val="Arial Narrow"/>
      <family val="2"/>
    </font>
    <font>
      <i/>
      <sz val="8"/>
      <color indexed="14"/>
      <name val="Arial Narrow"/>
      <family val="2"/>
    </font>
    <font>
      <sz val="14"/>
      <color rgb="FF00B050"/>
      <name val="Arial Narrow"/>
      <family val="2"/>
    </font>
    <font>
      <sz val="16"/>
      <color rgb="FF00B050"/>
      <name val="Arial Narrow"/>
      <family val="2"/>
    </font>
    <font>
      <sz val="7"/>
      <color rgb="FF00B050"/>
      <name val="Arial Narrow"/>
      <family val="2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u/>
      <sz val="10"/>
      <color theme="10"/>
      <name val="Arial"/>
      <family val="2"/>
    </font>
    <font>
      <u/>
      <sz val="10"/>
      <color rgb="FF132E57"/>
      <name val="Arial"/>
      <family val="2"/>
    </font>
    <font>
      <u/>
      <sz val="10"/>
      <color theme="1"/>
      <name val="Arial"/>
      <family val="2"/>
    </font>
    <font>
      <sz val="11"/>
      <color theme="0"/>
      <name val="Arial Narrow"/>
      <family val="2"/>
    </font>
    <font>
      <sz val="10"/>
      <color indexed="8"/>
      <name val="Arial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sz val="10"/>
      <color indexed="11"/>
      <name val="Arial"/>
      <family val="2"/>
    </font>
    <font>
      <sz val="12"/>
      <name val="Arial"/>
      <family val="2"/>
    </font>
    <font>
      <sz val="10"/>
      <color indexed="14"/>
      <name val="Arial"/>
      <family val="2"/>
    </font>
    <font>
      <sz val="18"/>
      <color indexed="14"/>
      <name val="Arial"/>
      <family val="2"/>
    </font>
    <font>
      <sz val="14"/>
      <name val="Arial"/>
      <family val="2"/>
    </font>
    <font>
      <b/>
      <i/>
      <sz val="14"/>
      <name val="Arial"/>
      <family val="2"/>
    </font>
    <font>
      <b/>
      <sz val="12"/>
      <color indexed="14"/>
      <name val="Arial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sz val="10"/>
      <color indexed="12"/>
      <name val="Arial"/>
      <family val="2"/>
    </font>
    <font>
      <i/>
      <sz val="10"/>
      <name val="Arial"/>
      <family val="2"/>
    </font>
    <font>
      <i/>
      <sz val="10"/>
      <color indexed="12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indexed="12"/>
      <name val="Arial"/>
      <family val="2"/>
    </font>
    <font>
      <sz val="18"/>
      <color rgb="FF00B050"/>
      <name val="Arial"/>
      <family val="2"/>
    </font>
    <font>
      <i/>
      <sz val="10"/>
      <color rgb="FF00B050"/>
      <name val="Arial"/>
      <family val="2"/>
    </font>
    <font>
      <b/>
      <i/>
      <sz val="10"/>
      <color rgb="FF00B050"/>
      <name val="Arial"/>
      <family val="2"/>
    </font>
    <font>
      <b/>
      <sz val="12"/>
      <color rgb="FF00B050"/>
      <name val="Arial"/>
      <family val="2"/>
    </font>
    <font>
      <sz val="10"/>
      <color rgb="FF00B050"/>
      <name val="Arial"/>
      <family val="2"/>
    </font>
    <font>
      <u/>
      <sz val="10"/>
      <color rgb="FF00B050"/>
      <name val="Arial"/>
      <family val="2"/>
    </font>
    <font>
      <sz val="8"/>
      <color rgb="FF00B05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rgb="FFED9423"/>
        <bgColor indexed="64"/>
      </patternFill>
    </fill>
    <fill>
      <patternFill patternType="solid">
        <fgColor rgb="FFED942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9423"/>
        <bgColor rgb="FF000000"/>
      </patternFill>
    </fill>
    <fill>
      <patternFill patternType="solid">
        <fgColor rgb="FFE6E7E8"/>
        <bgColor rgb="FF000000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56">
    <border>
      <left/>
      <right/>
      <top/>
      <bottom/>
      <diagonal/>
    </border>
    <border>
      <left/>
      <right style="thin">
        <color indexed="18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9"/>
      </left>
      <right/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55"/>
      </right>
      <top style="thin">
        <color indexed="64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ck">
        <color indexed="9"/>
      </left>
      <right/>
      <top/>
      <bottom/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ck">
        <color theme="0"/>
      </right>
      <top style="thin">
        <color indexed="64"/>
      </top>
      <bottom/>
      <diagonal/>
    </border>
    <border>
      <left style="thick">
        <color theme="0"/>
      </left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ck">
        <color theme="0"/>
      </left>
      <right style="thick">
        <color theme="0"/>
      </right>
      <top style="thin">
        <color auto="1"/>
      </top>
      <bottom/>
      <diagonal/>
    </border>
    <border>
      <left style="thick">
        <color theme="0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ck">
        <color rgb="FFFFFFFF"/>
      </right>
      <top style="thin">
        <color indexed="64"/>
      </top>
      <bottom/>
      <diagonal/>
    </border>
    <border>
      <left/>
      <right style="thick">
        <color rgb="FF376092"/>
      </right>
      <top style="thin">
        <color indexed="9"/>
      </top>
      <bottom/>
      <diagonal/>
    </border>
    <border>
      <left style="thick">
        <color theme="0"/>
      </left>
      <right/>
      <top style="thin">
        <color auto="1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 style="thin">
        <color indexed="64"/>
      </top>
      <bottom/>
      <diagonal/>
    </border>
    <border>
      <left style="thick">
        <color indexed="9"/>
      </left>
      <right/>
      <top style="thin">
        <color indexed="64"/>
      </top>
      <bottom/>
      <diagonal/>
    </border>
  </borders>
  <cellStyleXfs count="92">
    <xf numFmtId="0" fontId="0" fillId="0" borderId="0" applyNumberFormat="0" applyFont="0" applyFill="0" applyBorder="0" applyAlignment="0" applyProtection="0"/>
    <xf numFmtId="175" fontId="7" fillId="0" borderId="0">
      <alignment horizontal="right"/>
    </xf>
    <xf numFmtId="7" fontId="7" fillId="0" borderId="0">
      <alignment horizontal="right"/>
    </xf>
    <xf numFmtId="0" fontId="3" fillId="0" borderId="0" applyNumberFormat="0" applyFont="0" applyFill="0" applyBorder="0" applyAlignment="0" applyProtection="0"/>
    <xf numFmtId="198" fontId="18" fillId="0" borderId="0">
      <alignment horizontal="left"/>
    </xf>
    <xf numFmtId="199" fontId="19" fillId="0" borderId="0">
      <alignment horizontal="left"/>
    </xf>
    <xf numFmtId="181" fontId="3" fillId="0" borderId="1" applyFont="0" applyFill="0" applyBorder="0" applyAlignment="0" applyProtection="0"/>
    <xf numFmtId="182" fontId="3" fillId="0" borderId="0" applyFont="0" applyFill="0" applyBorder="0" applyAlignment="0" applyProtection="0">
      <alignment horizontal="center"/>
    </xf>
    <xf numFmtId="200" fontId="20" fillId="0" borderId="0"/>
    <xf numFmtId="183" fontId="3" fillId="0" borderId="0"/>
    <xf numFmtId="0" fontId="7" fillId="0" borderId="2" applyBorder="0">
      <alignment horizontal="centerContinuous"/>
    </xf>
    <xf numFmtId="43" fontId="2" fillId="0" borderId="0" applyFont="0" applyFill="0" applyBorder="0" applyAlignment="0" applyProtection="0"/>
    <xf numFmtId="168" fontId="3" fillId="0" borderId="0" applyFill="0" applyBorder="0" applyAlignment="0" applyProtection="0"/>
    <xf numFmtId="170" fontId="3" fillId="0" borderId="0" applyFont="0" applyFill="0" applyBorder="0" applyAlignment="0" applyProtection="0">
      <protection locked="0"/>
    </xf>
    <xf numFmtId="184" fontId="8" fillId="0" borderId="0"/>
    <xf numFmtId="201" fontId="21" fillId="0" borderId="0" applyFill="0" applyBorder="0">
      <alignment horizontal="right"/>
    </xf>
    <xf numFmtId="174" fontId="21" fillId="0" borderId="0" applyFill="0" applyBorder="0">
      <alignment horizontal="right"/>
    </xf>
    <xf numFmtId="204" fontId="21" fillId="0" borderId="2" applyFill="0" applyBorder="0">
      <alignment horizontal="right"/>
    </xf>
    <xf numFmtId="185" fontId="7" fillId="0" borderId="3">
      <alignment horizontal="centerContinuous"/>
    </xf>
    <xf numFmtId="167" fontId="8" fillId="0" borderId="0"/>
    <xf numFmtId="7" fontId="3" fillId="0" borderId="4" applyFont="0" applyFill="0" applyBorder="0" applyAlignment="0" applyProtection="0"/>
    <xf numFmtId="166" fontId="7" fillId="0" borderId="5"/>
    <xf numFmtId="186" fontId="9" fillId="0" borderId="0">
      <alignment horizontal="right" vertical="top"/>
    </xf>
    <xf numFmtId="187" fontId="10" fillId="0" borderId="0">
      <alignment horizontal="right" vertical="top"/>
    </xf>
    <xf numFmtId="187" fontId="9" fillId="0" borderId="0">
      <alignment horizontal="right" vertical="top"/>
    </xf>
    <xf numFmtId="188" fontId="3" fillId="0" borderId="0" applyFill="0" applyBorder="0">
      <alignment horizontal="right" vertical="top"/>
    </xf>
    <xf numFmtId="189" fontId="3" fillId="0" borderId="0" applyFill="0" applyBorder="0">
      <alignment horizontal="right" vertical="top"/>
    </xf>
    <xf numFmtId="190" fontId="3" fillId="0" borderId="0" applyFill="0" applyBorder="0">
      <alignment horizontal="right" vertical="top"/>
    </xf>
    <xf numFmtId="191" fontId="3" fillId="0" borderId="0" applyFill="0" applyBorder="0">
      <alignment horizontal="right" vertical="top"/>
    </xf>
    <xf numFmtId="0" fontId="11" fillId="0" borderId="0">
      <alignment horizontal="center" wrapText="1"/>
    </xf>
    <xf numFmtId="192" fontId="12" fillId="0" borderId="0" applyFill="0" applyBorder="0">
      <alignment vertical="top"/>
    </xf>
    <xf numFmtId="192" fontId="13" fillId="0" borderId="0" applyFill="0" applyBorder="0" applyProtection="0">
      <alignment vertical="top"/>
    </xf>
    <xf numFmtId="192" fontId="14" fillId="0" borderId="0">
      <alignment vertical="top"/>
    </xf>
    <xf numFmtId="41" fontId="3" fillId="0" borderId="0" applyFill="0" applyBorder="0" applyAlignment="0" applyProtection="0">
      <alignment horizontal="right" vertical="top"/>
    </xf>
    <xf numFmtId="192" fontId="5" fillId="0" borderId="0"/>
    <xf numFmtId="0" fontId="3" fillId="0" borderId="0" applyFill="0" applyBorder="0">
      <alignment horizontal="left" vertical="top"/>
    </xf>
    <xf numFmtId="0" fontId="18" fillId="2" borderId="0"/>
    <xf numFmtId="0" fontId="22" fillId="0" borderId="0">
      <alignment horizontal="right"/>
    </xf>
    <xf numFmtId="0" fontId="23" fillId="0" borderId="6"/>
    <xf numFmtId="0" fontId="23" fillId="0" borderId="4">
      <alignment horizontal="left" vertical="center"/>
    </xf>
    <xf numFmtId="176" fontId="4" fillId="0" borderId="0" applyFill="0" applyBorder="0" applyAlignment="0" applyProtection="0"/>
    <xf numFmtId="0" fontId="18" fillId="3" borderId="0"/>
    <xf numFmtId="37" fontId="4" fillId="0" borderId="0"/>
    <xf numFmtId="193" fontId="7" fillId="0" borderId="0"/>
    <xf numFmtId="194" fontId="7" fillId="0" borderId="0"/>
    <xf numFmtId="197" fontId="24" fillId="0" borderId="0"/>
    <xf numFmtId="0" fontId="3" fillId="0" borderId="0"/>
    <xf numFmtId="0" fontId="2" fillId="0" borderId="0"/>
    <xf numFmtId="203" fontId="21" fillId="0" borderId="0" applyFill="0" applyBorder="0">
      <alignment horizontal="right"/>
    </xf>
    <xf numFmtId="202" fontId="21" fillId="0" borderId="0" applyFill="0">
      <alignment horizontal="right"/>
    </xf>
    <xf numFmtId="174" fontId="21" fillId="0" borderId="0" applyFill="0" applyBorder="0">
      <alignment horizontal="right"/>
    </xf>
    <xf numFmtId="165" fontId="20" fillId="0" borderId="0"/>
    <xf numFmtId="10" fontId="20" fillId="0" borderId="0"/>
    <xf numFmtId="0" fontId="20" fillId="0" borderId="0"/>
    <xf numFmtId="15" fontId="20" fillId="0" borderId="0"/>
    <xf numFmtId="4" fontId="20" fillId="0" borderId="0"/>
    <xf numFmtId="0" fontId="25" fillId="0" borderId="7">
      <alignment horizontal="center"/>
    </xf>
    <xf numFmtId="3" fontId="20" fillId="0" borderId="0"/>
    <xf numFmtId="0" fontId="20" fillId="0" borderId="0"/>
    <xf numFmtId="176" fontId="7" fillId="0" borderId="0">
      <alignment horizontal="right"/>
    </xf>
    <xf numFmtId="14" fontId="7" fillId="0" borderId="3">
      <alignment horizontal="centerContinuous"/>
    </xf>
    <xf numFmtId="0" fontId="26" fillId="0" borderId="0">
      <alignment horizontal="left"/>
    </xf>
    <xf numFmtId="0" fontId="13" fillId="0" borderId="0">
      <alignment horizontal="centerContinuous"/>
    </xf>
    <xf numFmtId="0" fontId="27" fillId="0" borderId="0"/>
    <xf numFmtId="0" fontId="15" fillId="0" borderId="0">
      <alignment horizontal="fill"/>
    </xf>
    <xf numFmtId="0" fontId="16" fillId="0" borderId="0"/>
    <xf numFmtId="195" fontId="16" fillId="0" borderId="0"/>
    <xf numFmtId="196" fontId="17" fillId="4" borderId="0">
      <alignment horizontal="center"/>
    </xf>
    <xf numFmtId="9" fontId="3" fillId="0" borderId="0" applyFont="0" applyFill="0" applyBorder="0" applyAlignment="0" applyProtection="0"/>
    <xf numFmtId="0" fontId="32" fillId="0" borderId="0"/>
    <xf numFmtId="0" fontId="1" fillId="0" borderId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20" fillId="0" borderId="0" applyAlignment="0"/>
    <xf numFmtId="0" fontId="121" fillId="0" borderId="0" applyAlignment="0"/>
    <xf numFmtId="0" fontId="122" fillId="17" borderId="0" applyAlignment="0"/>
    <xf numFmtId="249" fontId="1" fillId="0" borderId="0" applyFont="0" applyFill="0" applyBorder="0" applyAlignment="0" applyProtection="0"/>
    <xf numFmtId="43" fontId="114" fillId="0" borderId="0" applyFont="0" applyFill="0" applyBorder="0" applyAlignment="0" applyProtection="0"/>
    <xf numFmtId="0" fontId="123" fillId="0" borderId="0" applyAlignment="0"/>
    <xf numFmtId="0" fontId="124" fillId="18" borderId="0" applyAlignment="0"/>
    <xf numFmtId="0" fontId="125" fillId="19" borderId="0" applyAlignment="0"/>
    <xf numFmtId="0" fontId="126" fillId="0" borderId="0" applyAlignment="0"/>
    <xf numFmtId="0" fontId="114" fillId="0" borderId="0"/>
    <xf numFmtId="9" fontId="1" fillId="0" borderId="0" applyFont="0" applyFill="0" applyBorder="0" applyAlignment="0" applyProtection="0"/>
    <xf numFmtId="9" fontId="114" fillId="0" borderId="0" applyFont="0" applyFill="0" applyBorder="0" applyAlignment="0" applyProtection="0"/>
    <xf numFmtId="0" fontId="127" fillId="8" borderId="0" applyAlignment="0"/>
    <xf numFmtId="0" fontId="128" fillId="0" borderId="0" applyAlignment="0"/>
    <xf numFmtId="0" fontId="129" fillId="0" borderId="0" applyAlignment="0"/>
    <xf numFmtId="0" fontId="130" fillId="0" borderId="0" applyAlignment="0"/>
    <xf numFmtId="0" fontId="131" fillId="0" borderId="0" applyAlignment="0"/>
    <xf numFmtId="0" fontId="16" fillId="0" borderId="0" applyAlignment="0"/>
    <xf numFmtId="0" fontId="132" fillId="0" borderId="0" applyAlignment="0"/>
  </cellStyleXfs>
  <cellXfs count="1488">
    <xf numFmtId="0" fontId="0" fillId="0" borderId="0" xfId="0"/>
    <xf numFmtId="0" fontId="33" fillId="0" borderId="0" xfId="3" applyFont="1"/>
    <xf numFmtId="0" fontId="34" fillId="0" borderId="0" xfId="3" applyFont="1" applyBorder="1"/>
    <xf numFmtId="0" fontId="35" fillId="0" borderId="0" xfId="3" applyFont="1"/>
    <xf numFmtId="0" fontId="35" fillId="0" borderId="0" xfId="3" applyFont="1" applyBorder="1"/>
    <xf numFmtId="0" fontId="36" fillId="0" borderId="0" xfId="3" applyFont="1"/>
    <xf numFmtId="0" fontId="35" fillId="0" borderId="7" xfId="3" applyFont="1" applyBorder="1" applyAlignment="1">
      <alignment horizontal="centerContinuous"/>
    </xf>
    <xf numFmtId="0" fontId="35" fillId="0" borderId="0" xfId="3" applyFont="1" applyBorder="1" applyAlignment="1">
      <alignment horizontal="centerContinuous"/>
    </xf>
    <xf numFmtId="0" fontId="35" fillId="0" borderId="0" xfId="3" applyFont="1" applyAlignment="1">
      <alignment horizontal="centerContinuous"/>
    </xf>
    <xf numFmtId="0" fontId="34" fillId="0" borderId="0" xfId="3" applyFont="1" applyFill="1"/>
    <xf numFmtId="0" fontId="35" fillId="0" borderId="0" xfId="3" applyFont="1" applyFill="1"/>
    <xf numFmtId="0" fontId="35" fillId="0" borderId="0" xfId="3" applyFont="1" applyFill="1" applyAlignment="1"/>
    <xf numFmtId="214" fontId="33" fillId="0" borderId="0" xfId="3" applyNumberFormat="1" applyFont="1" applyFill="1" applyBorder="1" applyAlignment="1">
      <alignment horizontal="right"/>
    </xf>
    <xf numFmtId="14" fontId="38" fillId="0" borderId="0" xfId="3" applyNumberFormat="1" applyFont="1" applyFill="1" applyAlignment="1"/>
    <xf numFmtId="4" fontId="33" fillId="0" borderId="0" xfId="3" applyNumberFormat="1" applyFont="1" applyFill="1" applyAlignment="1">
      <alignment horizontal="right"/>
    </xf>
    <xf numFmtId="210" fontId="35" fillId="0" borderId="0" xfId="3" quotePrefix="1" applyNumberFormat="1" applyFont="1" applyFill="1"/>
    <xf numFmtId="210" fontId="35" fillId="0" borderId="0" xfId="3" applyNumberFormat="1" applyFont="1" applyFill="1" applyAlignment="1"/>
    <xf numFmtId="0" fontId="35" fillId="0" borderId="0" xfId="3" applyFont="1" applyFill="1" applyBorder="1"/>
    <xf numFmtId="0" fontId="35" fillId="0" borderId="0" xfId="3" applyFont="1" applyFill="1" applyBorder="1" applyAlignment="1"/>
    <xf numFmtId="210" fontId="35" fillId="0" borderId="0" xfId="3" applyNumberFormat="1" applyFont="1" applyFill="1" applyBorder="1"/>
    <xf numFmtId="0" fontId="40" fillId="9" borderId="0" xfId="3" applyFont="1" applyFill="1" applyBorder="1" applyAlignment="1">
      <alignment horizontal="centerContinuous"/>
    </xf>
    <xf numFmtId="0" fontId="41" fillId="0" borderId="28" xfId="3" applyFont="1" applyFill="1" applyBorder="1" applyAlignment="1"/>
    <xf numFmtId="0" fontId="41" fillId="0" borderId="0" xfId="3" applyFont="1" applyFill="1" applyBorder="1" applyAlignment="1"/>
    <xf numFmtId="0" fontId="33" fillId="0" borderId="0" xfId="3" applyFont="1" applyFill="1" applyBorder="1"/>
    <xf numFmtId="209" fontId="38" fillId="0" borderId="0" xfId="3" applyNumberFormat="1" applyFont="1" applyFill="1" applyBorder="1" applyAlignment="1">
      <alignment horizontal="right"/>
    </xf>
    <xf numFmtId="0" fontId="35" fillId="0" borderId="28" xfId="3" applyFont="1" applyFill="1" applyBorder="1" applyAlignment="1"/>
    <xf numFmtId="0" fontId="35" fillId="0" borderId="2" xfId="3" applyFont="1" applyFill="1" applyBorder="1" applyAlignment="1">
      <alignment horizontal="centerContinuous"/>
    </xf>
    <xf numFmtId="0" fontId="35" fillId="0" borderId="0" xfId="3" applyFont="1" applyFill="1" applyBorder="1" applyAlignment="1">
      <alignment horizontal="center"/>
    </xf>
    <xf numFmtId="198" fontId="33" fillId="0" borderId="0" xfId="3" applyNumberFormat="1" applyFont="1" applyFill="1" applyBorder="1" applyAlignment="1">
      <alignment horizontal="right"/>
    </xf>
    <xf numFmtId="210" fontId="33" fillId="0" borderId="50" xfId="3" applyNumberFormat="1" applyFont="1" applyFill="1" applyBorder="1" applyAlignment="1">
      <alignment horizontal="right"/>
    </xf>
    <xf numFmtId="210" fontId="33" fillId="0" borderId="43" xfId="3" applyNumberFormat="1" applyFont="1" applyFill="1" applyBorder="1" applyAlignment="1">
      <alignment horizontal="right"/>
    </xf>
    <xf numFmtId="237" fontId="33" fillId="0" borderId="0" xfId="3" applyNumberFormat="1" applyFont="1" applyFill="1" applyBorder="1" applyAlignment="1">
      <alignment horizontal="right"/>
    </xf>
    <xf numFmtId="210" fontId="35" fillId="0" borderId="0" xfId="3" applyNumberFormat="1" applyFont="1" applyFill="1" applyBorder="1" applyAlignment="1">
      <alignment horizontal="right"/>
    </xf>
    <xf numFmtId="209" fontId="35" fillId="0" borderId="0" xfId="3" applyNumberFormat="1" applyFont="1" applyFill="1" applyBorder="1" applyAlignment="1">
      <alignment horizontal="right"/>
    </xf>
    <xf numFmtId="210" fontId="35" fillId="0" borderId="8" xfId="3" applyNumberFormat="1" applyFont="1" applyFill="1" applyBorder="1" applyAlignment="1">
      <alignment horizontal="right"/>
    </xf>
    <xf numFmtId="210" fontId="33" fillId="0" borderId="0" xfId="3" applyNumberFormat="1" applyFont="1" applyFill="1" applyBorder="1" applyAlignment="1">
      <alignment horizontal="right"/>
    </xf>
    <xf numFmtId="217" fontId="33" fillId="0" borderId="0" xfId="3" applyNumberFormat="1" applyFont="1" applyFill="1" applyBorder="1" applyAlignment="1">
      <alignment horizontal="right"/>
    </xf>
    <xf numFmtId="210" fontId="33" fillId="0" borderId="0" xfId="3" applyNumberFormat="1" applyFont="1" applyFill="1" applyBorder="1"/>
    <xf numFmtId="0" fontId="38" fillId="0" borderId="0" xfId="3" applyFont="1" applyFill="1" applyBorder="1"/>
    <xf numFmtId="211" fontId="38" fillId="0" borderId="0" xfId="3" applyNumberFormat="1" applyFont="1" applyFill="1" applyBorder="1" applyAlignment="1">
      <alignment horizontal="right"/>
    </xf>
    <xf numFmtId="210" fontId="35" fillId="0" borderId="0" xfId="3" applyNumberFormat="1" applyFont="1" applyFill="1"/>
    <xf numFmtId="0" fontId="35" fillId="0" borderId="8" xfId="3" applyFont="1" applyFill="1" applyBorder="1" applyAlignment="1">
      <alignment horizontal="center"/>
    </xf>
    <xf numFmtId="210" fontId="33" fillId="0" borderId="26" xfId="3" applyNumberFormat="1" applyFont="1" applyFill="1" applyBorder="1" applyAlignment="1" applyProtection="1">
      <alignment horizontal="right" indent="2"/>
      <protection locked="0"/>
    </xf>
    <xf numFmtId="209" fontId="33" fillId="0" borderId="25" xfId="3" applyNumberFormat="1" applyFont="1" applyFill="1" applyBorder="1" applyAlignment="1" applyProtection="1">
      <alignment horizontal="right" indent="1"/>
      <protection locked="0"/>
    </xf>
    <xf numFmtId="212" fontId="35" fillId="0" borderId="25" xfId="11" applyNumberFormat="1" applyFont="1" applyFill="1" applyBorder="1" applyAlignment="1" applyProtection="1">
      <alignment horizontal="right" indent="1"/>
      <protection locked="0"/>
    </xf>
    <xf numFmtId="209" fontId="35" fillId="0" borderId="24" xfId="11" applyNumberFormat="1" applyFont="1" applyFill="1" applyBorder="1" applyAlignment="1" applyProtection="1">
      <alignment horizontal="right" indent="1"/>
      <protection locked="0"/>
    </xf>
    <xf numFmtId="210" fontId="33" fillId="0" borderId="0" xfId="3" applyNumberFormat="1" applyFont="1" applyFill="1" applyBorder="1" applyAlignment="1" applyProtection="1">
      <alignment horizontal="right" indent="2"/>
      <protection locked="0"/>
    </xf>
    <xf numFmtId="212" fontId="33" fillId="0" borderId="0" xfId="3" applyNumberFormat="1" applyFont="1" applyFill="1" applyBorder="1" applyAlignment="1" applyProtection="1">
      <alignment horizontal="right" indent="1"/>
      <protection locked="0"/>
    </xf>
    <xf numFmtId="212" fontId="35" fillId="0" borderId="0" xfId="11" applyNumberFormat="1" applyFont="1" applyFill="1" applyBorder="1" applyAlignment="1" applyProtection="1">
      <alignment horizontal="right" indent="1"/>
      <protection locked="0"/>
    </xf>
    <xf numFmtId="43" fontId="35" fillId="0" borderId="28" xfId="11" applyFont="1" applyFill="1" applyBorder="1" applyAlignment="1" applyProtection="1">
      <protection locked="0"/>
    </xf>
    <xf numFmtId="43" fontId="35" fillId="0" borderId="0" xfId="11" applyFont="1" applyFill="1" applyBorder="1" applyAlignment="1" applyProtection="1">
      <protection locked="0"/>
    </xf>
    <xf numFmtId="210" fontId="35" fillId="0" borderId="26" xfId="3" applyNumberFormat="1" applyFont="1" applyFill="1" applyBorder="1" applyAlignment="1" applyProtection="1">
      <alignment horizontal="right" indent="2"/>
      <protection locked="0"/>
    </xf>
    <xf numFmtId="209" fontId="35" fillId="0" borderId="25" xfId="3" applyNumberFormat="1" applyFont="1" applyFill="1" applyBorder="1" applyAlignment="1" applyProtection="1">
      <alignment horizontal="right" indent="1"/>
      <protection locked="0"/>
    </xf>
    <xf numFmtId="0" fontId="35" fillId="0" borderId="0" xfId="3" applyFont="1" applyFill="1" applyBorder="1" applyAlignment="1">
      <alignment horizontal="left"/>
    </xf>
    <xf numFmtId="0" fontId="35" fillId="0" borderId="0" xfId="3" applyFont="1" applyFill="1" applyBorder="1" applyAlignment="1">
      <alignment horizontal="centerContinuous"/>
    </xf>
    <xf numFmtId="0" fontId="43" fillId="0" borderId="0" xfId="3" applyFont="1" applyFill="1" applyBorder="1" applyAlignment="1">
      <alignment horizontal="left"/>
    </xf>
    <xf numFmtId="216" fontId="35" fillId="0" borderId="4" xfId="3" applyNumberFormat="1" applyFont="1" applyFill="1" applyBorder="1" applyAlignment="1">
      <alignment horizontal="center"/>
    </xf>
    <xf numFmtId="216" fontId="35" fillId="0" borderId="0" xfId="3" applyNumberFormat="1" applyFont="1" applyFill="1" applyBorder="1" applyAlignment="1">
      <alignment horizontal="center"/>
    </xf>
    <xf numFmtId="0" fontId="35" fillId="0" borderId="28" xfId="3" applyFont="1" applyFill="1" applyBorder="1"/>
    <xf numFmtId="208" fontId="33" fillId="0" borderId="0" xfId="3" applyNumberFormat="1" applyFont="1" applyFill="1" applyBorder="1"/>
    <xf numFmtId="208" fontId="33" fillId="0" borderId="0" xfId="3" applyNumberFormat="1" applyFont="1" applyFill="1" applyBorder="1" applyAlignment="1"/>
    <xf numFmtId="176" fontId="35" fillId="0" borderId="0" xfId="3" applyNumberFormat="1" applyFont="1" applyFill="1" applyBorder="1"/>
    <xf numFmtId="217" fontId="33" fillId="0" borderId="0" xfId="3" applyNumberFormat="1" applyFont="1" applyFill="1" applyBorder="1"/>
    <xf numFmtId="210" fontId="33" fillId="0" borderId="0" xfId="3" applyNumberFormat="1" applyFont="1" applyFill="1" applyBorder="1" applyAlignment="1"/>
    <xf numFmtId="167" fontId="35" fillId="0" borderId="0" xfId="3" applyNumberFormat="1" applyFont="1" applyFill="1" applyBorder="1"/>
    <xf numFmtId="208" fontId="35" fillId="0" borderId="0" xfId="3" applyNumberFormat="1" applyFont="1" applyFill="1" applyBorder="1"/>
    <xf numFmtId="209" fontId="33" fillId="0" borderId="0" xfId="3" applyNumberFormat="1" applyFont="1" applyFill="1" applyBorder="1"/>
    <xf numFmtId="209" fontId="35" fillId="0" borderId="0" xfId="3" applyNumberFormat="1" applyFont="1" applyFill="1" applyBorder="1"/>
    <xf numFmtId="210" fontId="35" fillId="0" borderId="0" xfId="3" applyNumberFormat="1" applyFont="1" applyBorder="1"/>
    <xf numFmtId="208" fontId="33" fillId="0" borderId="0" xfId="3" applyNumberFormat="1" applyFont="1" applyBorder="1" applyAlignment="1">
      <alignment horizontal="right"/>
    </xf>
    <xf numFmtId="0" fontId="41" fillId="0" borderId="16" xfId="3" applyFont="1" applyFill="1" applyBorder="1"/>
    <xf numFmtId="0" fontId="35" fillId="0" borderId="8" xfId="3" applyFont="1" applyFill="1" applyBorder="1"/>
    <xf numFmtId="0" fontId="35" fillId="0" borderId="9" xfId="3" applyFont="1" applyFill="1" applyBorder="1"/>
    <xf numFmtId="0" fontId="42" fillId="0" borderId="0" xfId="3" applyFont="1" applyFill="1" applyBorder="1"/>
    <xf numFmtId="0" fontId="35" fillId="0" borderId="16" xfId="3" applyFont="1" applyFill="1" applyBorder="1"/>
    <xf numFmtId="215" fontId="35" fillId="0" borderId="9" xfId="3" applyNumberFormat="1" applyFont="1" applyFill="1" applyBorder="1"/>
    <xf numFmtId="0" fontId="35" fillId="0" borderId="8" xfId="3" applyFont="1" applyFill="1" applyBorder="1" applyAlignment="1">
      <alignment horizontal="centerContinuous"/>
    </xf>
    <xf numFmtId="0" fontId="35" fillId="0" borderId="11" xfId="3" applyFont="1" applyFill="1" applyBorder="1"/>
    <xf numFmtId="215" fontId="35" fillId="0" borderId="10" xfId="3" applyNumberFormat="1" applyFont="1" applyFill="1" applyBorder="1"/>
    <xf numFmtId="208" fontId="44" fillId="0" borderId="40" xfId="3" applyNumberFormat="1" applyFont="1" applyFill="1" applyBorder="1"/>
    <xf numFmtId="209" fontId="35" fillId="0" borderId="40" xfId="3" applyNumberFormat="1" applyFont="1" applyFill="1" applyBorder="1"/>
    <xf numFmtId="232" fontId="45" fillId="0" borderId="9" xfId="3" applyNumberFormat="1" applyFont="1" applyFill="1" applyBorder="1" applyAlignment="1">
      <alignment horizontal="right" indent="1"/>
    </xf>
    <xf numFmtId="232" fontId="45" fillId="0" borderId="10" xfId="3" applyNumberFormat="1" applyFont="1" applyFill="1" applyBorder="1" applyAlignment="1">
      <alignment horizontal="right" indent="1"/>
    </xf>
    <xf numFmtId="209" fontId="44" fillId="0" borderId="40" xfId="3" applyNumberFormat="1" applyFont="1" applyFill="1" applyBorder="1"/>
    <xf numFmtId="0" fontId="35" fillId="0" borderId="3" xfId="3" applyFont="1" applyFill="1" applyBorder="1"/>
    <xf numFmtId="0" fontId="35" fillId="0" borderId="2" xfId="3" applyFont="1" applyFill="1" applyBorder="1"/>
    <xf numFmtId="232" fontId="45" fillId="0" borderId="15" xfId="3" applyNumberFormat="1" applyFont="1" applyFill="1" applyBorder="1" applyAlignment="1">
      <alignment horizontal="right" indent="1"/>
    </xf>
    <xf numFmtId="206" fontId="46" fillId="0" borderId="0" xfId="3" applyNumberFormat="1" applyFont="1" applyFill="1" applyBorder="1"/>
    <xf numFmtId="207" fontId="47" fillId="0" borderId="0" xfId="3" applyNumberFormat="1" applyFont="1" applyFill="1" applyBorder="1"/>
    <xf numFmtId="179" fontId="48" fillId="0" borderId="0" xfId="3" applyNumberFormat="1" applyFont="1" applyFill="1" applyBorder="1"/>
    <xf numFmtId="179" fontId="48" fillId="0" borderId="0" xfId="3" applyNumberFormat="1" applyFont="1" applyFill="1" applyBorder="1" applyAlignment="1"/>
    <xf numFmtId="4" fontId="35" fillId="0" borderId="0" xfId="3" applyNumberFormat="1" applyFont="1" applyFill="1" applyBorder="1"/>
    <xf numFmtId="8" fontId="33" fillId="0" borderId="0" xfId="3" applyNumberFormat="1" applyFont="1" applyFill="1" applyBorder="1"/>
    <xf numFmtId="176" fontId="35" fillId="0" borderId="0" xfId="3" applyNumberFormat="1" applyFont="1" applyFill="1" applyBorder="1" applyAlignment="1"/>
    <xf numFmtId="176" fontId="33" fillId="0" borderId="0" xfId="3" applyNumberFormat="1" applyFont="1" applyFill="1" applyBorder="1"/>
    <xf numFmtId="233" fontId="44" fillId="0" borderId="0" xfId="3" applyNumberFormat="1" applyFont="1" applyAlignment="1">
      <alignment horizontal="right"/>
    </xf>
    <xf numFmtId="0" fontId="35" fillId="0" borderId="0" xfId="0" applyFont="1"/>
    <xf numFmtId="0" fontId="49" fillId="0" borderId="0" xfId="3" applyFont="1" applyFill="1" applyBorder="1"/>
    <xf numFmtId="0" fontId="50" fillId="10" borderId="7" xfId="3" applyFont="1" applyFill="1" applyBorder="1" applyAlignment="1">
      <alignment horizontal="left"/>
    </xf>
    <xf numFmtId="0" fontId="51" fillId="10" borderId="7" xfId="3" applyFont="1" applyFill="1" applyBorder="1" applyAlignment="1">
      <alignment horizontal="centerContinuous"/>
    </xf>
    <xf numFmtId="0" fontId="53" fillId="0" borderId="0" xfId="3" applyFont="1" applyAlignment="1">
      <alignment horizontal="left"/>
    </xf>
    <xf numFmtId="0" fontId="35" fillId="0" borderId="0" xfId="3" applyFont="1" applyAlignment="1">
      <alignment vertical="center"/>
    </xf>
    <xf numFmtId="0" fontId="35" fillId="0" borderId="0" xfId="3" quotePrefix="1" applyFont="1" applyAlignment="1">
      <alignment horizontal="left"/>
    </xf>
    <xf numFmtId="210" fontId="44" fillId="0" borderId="0" xfId="3" applyNumberFormat="1" applyFont="1" applyAlignment="1">
      <alignment horizontal="right"/>
    </xf>
    <xf numFmtId="0" fontId="35" fillId="0" borderId="0" xfId="3" applyFont="1" applyAlignment="1">
      <alignment horizontal="center"/>
    </xf>
    <xf numFmtId="216" fontId="35" fillId="0" borderId="0" xfId="3" applyNumberFormat="1" applyFont="1" applyBorder="1" applyAlignment="1">
      <alignment horizontal="center"/>
    </xf>
    <xf numFmtId="216" fontId="44" fillId="0" borderId="2" xfId="3" applyNumberFormat="1" applyFont="1" applyBorder="1" applyAlignment="1">
      <alignment horizontal="centerContinuous"/>
    </xf>
    <xf numFmtId="14" fontId="44" fillId="0" borderId="0" xfId="3" applyNumberFormat="1" applyFont="1" applyAlignment="1">
      <alignment horizontal="left"/>
    </xf>
    <xf numFmtId="209" fontId="44" fillId="0" borderId="0" xfId="3" applyNumberFormat="1" applyFont="1"/>
    <xf numFmtId="0" fontId="44" fillId="0" borderId="0" xfId="3" applyFont="1"/>
    <xf numFmtId="229" fontId="44" fillId="0" borderId="0" xfId="3" applyNumberFormat="1" applyFont="1" applyFill="1" applyAlignment="1">
      <alignment horizontal="right"/>
    </xf>
    <xf numFmtId="169" fontId="35" fillId="0" borderId="0" xfId="3" applyNumberFormat="1" applyFont="1" applyBorder="1" applyAlignment="1">
      <alignment horizontal="right"/>
    </xf>
    <xf numFmtId="229" fontId="35" fillId="0" borderId="0" xfId="3" applyNumberFormat="1" applyFont="1" applyBorder="1" applyAlignment="1">
      <alignment horizontal="right"/>
    </xf>
    <xf numFmtId="208" fontId="44" fillId="0" borderId="0" xfId="3" applyNumberFormat="1" applyFont="1"/>
    <xf numFmtId="229" fontId="44" fillId="0" borderId="0" xfId="3" applyNumberFormat="1" applyFont="1" applyBorder="1" applyAlignment="1">
      <alignment horizontal="right"/>
    </xf>
    <xf numFmtId="210" fontId="44" fillId="0" borderId="0" xfId="3" applyNumberFormat="1" applyFont="1"/>
    <xf numFmtId="214" fontId="33" fillId="0" borderId="0" xfId="3" applyNumberFormat="1" applyFont="1" applyAlignment="1">
      <alignment horizontal="left"/>
    </xf>
    <xf numFmtId="209" fontId="33" fillId="0" borderId="0" xfId="3" applyNumberFormat="1" applyFont="1"/>
    <xf numFmtId="0" fontId="35" fillId="0" borderId="0" xfId="3" applyFont="1" applyAlignment="1">
      <alignment vertical="top"/>
    </xf>
    <xf numFmtId="214" fontId="33" fillId="0" borderId="0" xfId="3" applyNumberFormat="1" applyFont="1" applyAlignment="1">
      <alignment horizontal="left" vertical="top"/>
    </xf>
    <xf numFmtId="212" fontId="33" fillId="0" borderId="0" xfId="3" applyNumberFormat="1" applyFont="1" applyAlignment="1">
      <alignment vertical="top"/>
    </xf>
    <xf numFmtId="168" fontId="44" fillId="0" borderId="0" xfId="3" applyNumberFormat="1" applyFont="1"/>
    <xf numFmtId="214" fontId="33" fillId="0" borderId="0" xfId="3" applyNumberFormat="1" applyFont="1"/>
    <xf numFmtId="8" fontId="35" fillId="0" borderId="0" xfId="3" applyNumberFormat="1" applyFont="1"/>
    <xf numFmtId="209" fontId="44" fillId="0" borderId="0" xfId="3" applyNumberFormat="1" applyFont="1" applyAlignment="1">
      <alignment horizontal="right"/>
    </xf>
    <xf numFmtId="217" fontId="44" fillId="0" borderId="0" xfId="3" applyNumberFormat="1" applyFont="1" applyFill="1" applyAlignment="1">
      <alignment horizontal="right"/>
    </xf>
    <xf numFmtId="212" fontId="44" fillId="0" borderId="0" xfId="3" applyNumberFormat="1" applyFont="1"/>
    <xf numFmtId="217" fontId="44" fillId="0" borderId="0" xfId="3" applyNumberFormat="1" applyFont="1" applyAlignment="1">
      <alignment vertical="top"/>
    </xf>
    <xf numFmtId="210" fontId="33" fillId="0" borderId="0" xfId="3" applyNumberFormat="1" applyFont="1" applyAlignment="1">
      <alignment horizontal="right"/>
    </xf>
    <xf numFmtId="210" fontId="33" fillId="0" borderId="0" xfId="3" applyNumberFormat="1" applyFont="1" applyAlignment="1">
      <alignment vertical="top"/>
    </xf>
    <xf numFmtId="210" fontId="54" fillId="0" borderId="0" xfId="3" applyNumberFormat="1" applyFont="1" applyAlignment="1">
      <alignment vertical="top"/>
    </xf>
    <xf numFmtId="217" fontId="35" fillId="0" borderId="0" xfId="3" applyNumberFormat="1" applyFont="1" applyAlignment="1">
      <alignment vertical="top"/>
    </xf>
    <xf numFmtId="217" fontId="45" fillId="0" borderId="0" xfId="3" applyNumberFormat="1" applyFont="1" applyAlignment="1">
      <alignment horizontal="right"/>
    </xf>
    <xf numFmtId="210" fontId="45" fillId="0" borderId="0" xfId="3" applyNumberFormat="1" applyFont="1" applyAlignment="1">
      <alignment horizontal="right"/>
    </xf>
    <xf numFmtId="14" fontId="33" fillId="0" borderId="0" xfId="3" applyNumberFormat="1" applyFont="1" applyAlignment="1">
      <alignment horizontal="left"/>
    </xf>
    <xf numFmtId="39" fontId="33" fillId="0" borderId="0" xfId="3" applyNumberFormat="1" applyFont="1" applyAlignment="1">
      <alignment vertical="top"/>
    </xf>
    <xf numFmtId="176" fontId="45" fillId="0" borderId="0" xfId="3" applyNumberFormat="1" applyFont="1" applyAlignment="1">
      <alignment horizontal="right"/>
    </xf>
    <xf numFmtId="14" fontId="44" fillId="0" borderId="0" xfId="3" applyNumberFormat="1" applyFont="1"/>
    <xf numFmtId="209" fontId="35" fillId="0" borderId="0" xfId="3" applyNumberFormat="1" applyFont="1"/>
    <xf numFmtId="0" fontId="43" fillId="0" borderId="0" xfId="3" applyFont="1"/>
    <xf numFmtId="210" fontId="44" fillId="0" borderId="0" xfId="3" applyNumberFormat="1" applyFont="1" applyBorder="1"/>
    <xf numFmtId="217" fontId="35" fillId="0" borderId="0" xfId="3" applyNumberFormat="1" applyFont="1"/>
    <xf numFmtId="0" fontId="35" fillId="0" borderId="0" xfId="3" applyFont="1" applyBorder="1" applyAlignment="1">
      <alignment horizontal="center"/>
    </xf>
    <xf numFmtId="210" fontId="44" fillId="0" borderId="2" xfId="3" applyNumberFormat="1" applyFont="1" applyBorder="1"/>
    <xf numFmtId="229" fontId="35" fillId="0" borderId="0" xfId="3" applyNumberFormat="1" applyFont="1" applyAlignment="1">
      <alignment horizontal="right"/>
    </xf>
    <xf numFmtId="0" fontId="35" fillId="0" borderId="0" xfId="3" quotePrefix="1" applyFont="1" applyAlignment="1">
      <alignment horizontal="left" indent="1"/>
    </xf>
    <xf numFmtId="208" fontId="35" fillId="0" borderId="0" xfId="3" applyNumberFormat="1" applyFont="1" applyBorder="1"/>
    <xf numFmtId="210" fontId="54" fillId="0" borderId="0" xfId="3" applyNumberFormat="1" applyFont="1" applyBorder="1"/>
    <xf numFmtId="229" fontId="35" fillId="0" borderId="0" xfId="3" applyNumberFormat="1" applyFont="1"/>
    <xf numFmtId="0" fontId="41" fillId="0" borderId="0" xfId="3" applyFont="1" applyBorder="1" applyAlignment="1"/>
    <xf numFmtId="217" fontId="35" fillId="0" borderId="0" xfId="3" applyNumberFormat="1" applyFont="1" applyBorder="1"/>
    <xf numFmtId="0" fontId="35" fillId="0" borderId="0" xfId="3" applyFont="1" applyAlignment="1">
      <alignment horizontal="left" indent="1"/>
    </xf>
    <xf numFmtId="210" fontId="35" fillId="0" borderId="37" xfId="3" applyNumberFormat="1" applyFont="1" applyBorder="1"/>
    <xf numFmtId="208" fontId="35" fillId="0" borderId="0" xfId="3" applyNumberFormat="1" applyFont="1"/>
    <xf numFmtId="229" fontId="35" fillId="0" borderId="0" xfId="3" applyNumberFormat="1" applyFont="1" applyBorder="1" applyAlignment="1"/>
    <xf numFmtId="0" fontId="55" fillId="0" borderId="40" xfId="3" applyFont="1" applyBorder="1"/>
    <xf numFmtId="0" fontId="35" fillId="0" borderId="8" xfId="3" applyFont="1" applyBorder="1"/>
    <xf numFmtId="0" fontId="56" fillId="0" borderId="0" xfId="3" applyFont="1"/>
    <xf numFmtId="0" fontId="55" fillId="0" borderId="0" xfId="3" applyFont="1"/>
    <xf numFmtId="0" fontId="55" fillId="0" borderId="0" xfId="3" quotePrefix="1" applyFont="1" applyAlignment="1">
      <alignment horizontal="left"/>
    </xf>
    <xf numFmtId="0" fontId="35" fillId="0" borderId="0" xfId="3" applyFont="1" applyAlignment="1">
      <alignment horizontal="left"/>
    </xf>
    <xf numFmtId="210" fontId="35" fillId="0" borderId="0" xfId="3" applyNumberFormat="1" applyFont="1"/>
    <xf numFmtId="0" fontId="57" fillId="0" borderId="0" xfId="3" applyFont="1"/>
    <xf numFmtId="0" fontId="58" fillId="0" borderId="0" xfId="3" applyFont="1" applyAlignment="1">
      <alignment horizontal="left"/>
    </xf>
    <xf numFmtId="8" fontId="54" fillId="0" borderId="0" xfId="3" applyNumberFormat="1" applyFont="1"/>
    <xf numFmtId="40" fontId="33" fillId="0" borderId="0" xfId="3" applyNumberFormat="1" applyFont="1"/>
    <xf numFmtId="0" fontId="59" fillId="11" borderId="0" xfId="3" applyFont="1" applyFill="1" applyBorder="1" applyAlignment="1">
      <alignment horizontal="left"/>
    </xf>
    <xf numFmtId="0" fontId="42" fillId="11" borderId="0" xfId="3" applyFont="1" applyFill="1"/>
    <xf numFmtId="0" fontId="35" fillId="11" borderId="0" xfId="3" applyFont="1" applyFill="1"/>
    <xf numFmtId="0" fontId="39" fillId="12" borderId="0" xfId="3" applyFont="1" applyFill="1" applyBorder="1" applyAlignment="1">
      <alignment horizontal="left"/>
    </xf>
    <xf numFmtId="0" fontId="39" fillId="13" borderId="0" xfId="3" applyFont="1" applyFill="1" applyBorder="1" applyAlignment="1">
      <alignment horizontal="left"/>
    </xf>
    <xf numFmtId="0" fontId="40" fillId="13" borderId="0" xfId="3" applyFont="1" applyFill="1" applyBorder="1" applyAlignment="1">
      <alignment horizontal="centerContinuous"/>
    </xf>
    <xf numFmtId="0" fontId="35" fillId="11" borderId="0" xfId="3" applyFont="1" applyFill="1" applyBorder="1" applyAlignment="1">
      <alignment horizontal="centerContinuous"/>
    </xf>
    <xf numFmtId="0" fontId="61" fillId="10" borderId="7" xfId="3" applyFont="1" applyFill="1" applyBorder="1" applyAlignment="1">
      <alignment horizontal="left"/>
    </xf>
    <xf numFmtId="0" fontId="62" fillId="10" borderId="7" xfId="3" applyFont="1" applyFill="1" applyBorder="1" applyAlignment="1">
      <alignment horizontal="centerContinuous"/>
    </xf>
    <xf numFmtId="216" fontId="54" fillId="0" borderId="0" xfId="3" applyNumberFormat="1" applyFont="1" applyBorder="1" applyAlignment="1">
      <alignment horizontal="center"/>
    </xf>
    <xf numFmtId="0" fontId="63" fillId="0" borderId="0" xfId="3" applyFont="1" applyAlignment="1">
      <alignment horizontal="left"/>
    </xf>
    <xf numFmtId="9" fontId="35" fillId="0" borderId="0" xfId="3" applyNumberFormat="1" applyFont="1" applyAlignment="1">
      <alignment horizontal="center"/>
    </xf>
    <xf numFmtId="0" fontId="41" fillId="0" borderId="2" xfId="3" applyFont="1" applyFill="1" applyBorder="1" applyAlignment="1">
      <alignment horizontal="centerContinuous"/>
    </xf>
    <xf numFmtId="0" fontId="35" fillId="0" borderId="0" xfId="3" applyFont="1" applyAlignment="1"/>
    <xf numFmtId="0" fontId="44" fillId="0" borderId="0" xfId="3" applyFont="1" applyBorder="1" applyAlignment="1">
      <alignment horizontal="centerContinuous"/>
    </xf>
    <xf numFmtId="216" fontId="44" fillId="0" borderId="0" xfId="3" applyNumberFormat="1" applyFont="1" applyBorder="1" applyAlignment="1">
      <alignment horizontal="center"/>
    </xf>
    <xf numFmtId="208" fontId="33" fillId="0" borderId="41" xfId="3" applyNumberFormat="1" applyFont="1" applyBorder="1"/>
    <xf numFmtId="208" fontId="33" fillId="0" borderId="39" xfId="3" applyNumberFormat="1" applyFont="1" applyBorder="1"/>
    <xf numFmtId="208" fontId="33" fillId="0" borderId="43" xfId="3" applyNumberFormat="1" applyFont="1" applyBorder="1"/>
    <xf numFmtId="208" fontId="33" fillId="0" borderId="0" xfId="3" applyNumberFormat="1" applyFont="1"/>
    <xf numFmtId="208" fontId="45" fillId="0" borderId="50" xfId="3" applyNumberFormat="1" applyFont="1" applyBorder="1"/>
    <xf numFmtId="208" fontId="45" fillId="0" borderId="43" xfId="3" applyNumberFormat="1" applyFont="1" applyBorder="1"/>
    <xf numFmtId="167" fontId="33" fillId="0" borderId="0" xfId="3" applyNumberFormat="1" applyFont="1"/>
    <xf numFmtId="217" fontId="35" fillId="0" borderId="8" xfId="3" applyNumberFormat="1" applyFont="1" applyBorder="1" applyAlignment="1">
      <alignment horizontal="right"/>
    </xf>
    <xf numFmtId="210" fontId="33" fillId="0" borderId="0" xfId="3" applyNumberFormat="1" applyFont="1" applyBorder="1"/>
    <xf numFmtId="210" fontId="45" fillId="0" borderId="0" xfId="3" applyNumberFormat="1" applyFont="1" applyBorder="1"/>
    <xf numFmtId="168" fontId="33" fillId="0" borderId="0" xfId="3" applyNumberFormat="1" applyFont="1" applyBorder="1"/>
    <xf numFmtId="217" fontId="35" fillId="0" borderId="0" xfId="3" applyNumberFormat="1" applyFont="1" applyBorder="1" applyAlignment="1">
      <alignment horizontal="right"/>
    </xf>
    <xf numFmtId="210" fontId="45" fillId="0" borderId="37" xfId="3" applyNumberFormat="1" applyFont="1" applyBorder="1"/>
    <xf numFmtId="210" fontId="45" fillId="0" borderId="39" xfId="3" applyNumberFormat="1" applyFont="1" applyBorder="1"/>
    <xf numFmtId="210" fontId="45" fillId="0" borderId="38" xfId="3" applyNumberFormat="1" applyFont="1" applyBorder="1"/>
    <xf numFmtId="210" fontId="45" fillId="0" borderId="0" xfId="3" applyNumberFormat="1" applyFont="1"/>
    <xf numFmtId="210" fontId="45" fillId="0" borderId="8" xfId="3" applyNumberFormat="1" applyFont="1" applyBorder="1"/>
    <xf numFmtId="168" fontId="45" fillId="0" borderId="0" xfId="3" applyNumberFormat="1" applyFont="1"/>
    <xf numFmtId="217" fontId="35" fillId="0" borderId="0" xfId="3" applyNumberFormat="1" applyFont="1" applyAlignment="1">
      <alignment horizontal="right"/>
    </xf>
    <xf numFmtId="210" fontId="33" fillId="0" borderId="0" xfId="3" applyNumberFormat="1" applyFont="1"/>
    <xf numFmtId="168" fontId="45" fillId="0" borderId="0" xfId="3" applyNumberFormat="1" applyFont="1" applyBorder="1"/>
    <xf numFmtId="0" fontId="45" fillId="0" borderId="0" xfId="3" applyFont="1" applyBorder="1"/>
    <xf numFmtId="0" fontId="41" fillId="0" borderId="0" xfId="3" quotePrefix="1" applyFont="1" applyAlignment="1">
      <alignment horizontal="left"/>
    </xf>
    <xf numFmtId="0" fontId="41" fillId="0" borderId="0" xfId="3" applyFont="1"/>
    <xf numFmtId="210" fontId="64" fillId="0" borderId="37" xfId="3" applyNumberFormat="1" applyFont="1" applyBorder="1"/>
    <xf numFmtId="210" fontId="64" fillId="0" borderId="0" xfId="3" applyNumberFormat="1" applyFont="1"/>
    <xf numFmtId="168" fontId="64" fillId="0" borderId="0" xfId="3" applyNumberFormat="1" applyFont="1"/>
    <xf numFmtId="217" fontId="41" fillId="0" borderId="0" xfId="3" applyNumberFormat="1" applyFont="1" applyAlignment="1">
      <alignment horizontal="right"/>
    </xf>
    <xf numFmtId="0" fontId="64" fillId="0" borderId="0" xfId="3" applyFont="1" applyBorder="1"/>
    <xf numFmtId="0" fontId="41" fillId="0" borderId="0" xfId="3" applyFont="1" applyBorder="1"/>
    <xf numFmtId="208" fontId="45" fillId="0" borderId="0" xfId="3" applyNumberFormat="1" applyFont="1" applyBorder="1"/>
    <xf numFmtId="208" fontId="45" fillId="0" borderId="0" xfId="3" applyNumberFormat="1" applyFont="1"/>
    <xf numFmtId="167" fontId="45" fillId="0" borderId="0" xfId="3" applyNumberFormat="1" applyFont="1"/>
    <xf numFmtId="173" fontId="35" fillId="0" borderId="0" xfId="3" applyNumberFormat="1" applyFont="1" applyAlignment="1">
      <alignment horizontal="left"/>
    </xf>
    <xf numFmtId="173" fontId="35" fillId="0" borderId="0" xfId="3" applyNumberFormat="1" applyFont="1"/>
    <xf numFmtId="210" fontId="54" fillId="0" borderId="0" xfId="3" applyNumberFormat="1" applyFont="1"/>
    <xf numFmtId="168" fontId="35" fillId="0" borderId="0" xfId="3" applyNumberFormat="1" applyFont="1"/>
    <xf numFmtId="173" fontId="35" fillId="0" borderId="0" xfId="3" applyNumberFormat="1" applyFont="1" applyBorder="1"/>
    <xf numFmtId="0" fontId="41" fillId="0" borderId="0" xfId="3" applyFont="1" applyAlignment="1">
      <alignment horizontal="left"/>
    </xf>
    <xf numFmtId="209" fontId="64" fillId="0" borderId="41" xfId="3" applyNumberFormat="1" applyFont="1" applyBorder="1"/>
    <xf numFmtId="209" fontId="64" fillId="0" borderId="42" xfId="3" applyNumberFormat="1" applyFont="1" applyBorder="1"/>
    <xf numFmtId="209" fontId="64" fillId="0" borderId="43" xfId="3" applyNumberFormat="1" applyFont="1" applyBorder="1"/>
    <xf numFmtId="209" fontId="64" fillId="0" borderId="0" xfId="3" applyNumberFormat="1" applyFont="1"/>
    <xf numFmtId="209" fontId="64" fillId="0" borderId="40" xfId="3" applyNumberFormat="1" applyFont="1" applyBorder="1"/>
    <xf numFmtId="8" fontId="64" fillId="0" borderId="0" xfId="3" applyNumberFormat="1" applyFont="1"/>
    <xf numFmtId="209" fontId="45" fillId="0" borderId="0" xfId="3" applyNumberFormat="1" applyFont="1"/>
    <xf numFmtId="8" fontId="45" fillId="0" borderId="0" xfId="3" applyNumberFormat="1" applyFont="1"/>
    <xf numFmtId="215" fontId="33" fillId="0" borderId="0" xfId="3" applyNumberFormat="1" applyFont="1"/>
    <xf numFmtId="215" fontId="45" fillId="0" borderId="0" xfId="3" applyNumberFormat="1" applyFont="1"/>
    <xf numFmtId="215" fontId="35" fillId="0" borderId="0" xfId="3" applyNumberFormat="1" applyFont="1"/>
    <xf numFmtId="177" fontId="35" fillId="0" borderId="0" xfId="3" applyNumberFormat="1" applyFont="1" applyAlignment="1">
      <alignment horizontal="right"/>
    </xf>
    <xf numFmtId="213" fontId="35" fillId="0" borderId="0" xfId="3" applyNumberFormat="1" applyFont="1" applyAlignment="1">
      <alignment horizontal="right"/>
    </xf>
    <xf numFmtId="0" fontId="35" fillId="0" borderId="0" xfId="3" applyFont="1" applyBorder="1" applyAlignment="1">
      <alignment horizontal="left"/>
    </xf>
    <xf numFmtId="0" fontId="44" fillId="0" borderId="0" xfId="3" applyFont="1" applyBorder="1"/>
    <xf numFmtId="168" fontId="35" fillId="0" borderId="0" xfId="3" applyNumberFormat="1" applyFont="1" applyBorder="1"/>
    <xf numFmtId="213" fontId="35" fillId="0" borderId="0" xfId="3" applyNumberFormat="1" applyFont="1" applyBorder="1" applyAlignment="1">
      <alignment horizontal="right"/>
    </xf>
    <xf numFmtId="208" fontId="45" fillId="0" borderId="37" xfId="3" applyNumberFormat="1" applyFont="1" applyBorder="1"/>
    <xf numFmtId="208" fontId="45" fillId="0" borderId="39" xfId="3" applyNumberFormat="1" applyFont="1" applyBorder="1"/>
    <xf numFmtId="208" fontId="45" fillId="0" borderId="38" xfId="3" applyNumberFormat="1" applyFont="1" applyBorder="1"/>
    <xf numFmtId="208" fontId="45" fillId="0" borderId="8" xfId="3" applyNumberFormat="1" applyFont="1" applyBorder="1"/>
    <xf numFmtId="217" fontId="45" fillId="0" borderId="0" xfId="3" applyNumberFormat="1" applyFont="1"/>
    <xf numFmtId="172" fontId="35" fillId="0" borderId="0" xfId="3" applyNumberFormat="1" applyFont="1" applyAlignment="1">
      <alignment horizontal="right"/>
    </xf>
    <xf numFmtId="176" fontId="45" fillId="0" borderId="0" xfId="3" applyNumberFormat="1" applyFont="1"/>
    <xf numFmtId="217" fontId="33" fillId="0" borderId="0" xfId="3" quotePrefix="1" applyNumberFormat="1" applyFont="1" applyAlignment="1">
      <alignment horizontal="right"/>
    </xf>
    <xf numFmtId="176" fontId="45" fillId="0" borderId="0" xfId="3" applyNumberFormat="1" applyFont="1" applyAlignment="1">
      <alignment horizontal="left"/>
    </xf>
    <xf numFmtId="217" fontId="45" fillId="0" borderId="0" xfId="3" quotePrefix="1" applyNumberFormat="1" applyFont="1" applyAlignment="1">
      <alignment horizontal="right"/>
    </xf>
    <xf numFmtId="174" fontId="65" fillId="0" borderId="0" xfId="3" applyNumberFormat="1" applyFont="1" applyBorder="1"/>
    <xf numFmtId="0" fontId="35" fillId="0" borderId="0" xfId="3" applyFont="1" applyBorder="1" applyAlignment="1">
      <alignment horizontal="right"/>
    </xf>
    <xf numFmtId="0" fontId="55" fillId="0" borderId="8" xfId="3" applyFont="1" applyBorder="1"/>
    <xf numFmtId="0" fontId="35" fillId="0" borderId="40" xfId="3" applyFont="1" applyBorder="1"/>
    <xf numFmtId="0" fontId="35" fillId="0" borderId="8" xfId="3" applyFont="1" applyBorder="1" applyAlignment="1">
      <alignment horizontal="right"/>
    </xf>
    <xf numFmtId="0" fontId="35" fillId="0" borderId="0" xfId="3" applyFont="1" applyAlignment="1">
      <alignment horizontal="right"/>
    </xf>
    <xf numFmtId="0" fontId="66" fillId="0" borderId="7" xfId="3" applyFont="1" applyBorder="1" applyAlignment="1">
      <alignment horizontal="left"/>
    </xf>
    <xf numFmtId="0" fontId="41" fillId="0" borderId="0" xfId="3" applyFont="1" applyFill="1" applyBorder="1" applyAlignment="1">
      <alignment horizontal="centerContinuous"/>
    </xf>
    <xf numFmtId="0" fontId="67" fillId="0" borderId="0" xfId="3" applyFont="1" applyFill="1"/>
    <xf numFmtId="0" fontId="41" fillId="0" borderId="0" xfId="3" applyFont="1" applyFill="1"/>
    <xf numFmtId="216" fontId="41" fillId="0" borderId="2" xfId="3" applyNumberFormat="1" applyFont="1" applyFill="1" applyBorder="1" applyAlignment="1">
      <alignment horizontal="center"/>
    </xf>
    <xf numFmtId="216" fontId="41" fillId="0" borderId="0" xfId="3" applyNumberFormat="1" applyFont="1" applyFill="1" applyBorder="1" applyAlignment="1">
      <alignment horizontal="center"/>
    </xf>
    <xf numFmtId="210" fontId="35" fillId="0" borderId="8" xfId="3" applyNumberFormat="1" applyFont="1" applyBorder="1"/>
    <xf numFmtId="176" fontId="33" fillId="0" borderId="0" xfId="3" applyNumberFormat="1" applyFont="1"/>
    <xf numFmtId="176" fontId="33" fillId="0" borderId="0" xfId="3" applyNumberFormat="1" applyFont="1" applyBorder="1"/>
    <xf numFmtId="0" fontId="42" fillId="0" borderId="0" xfId="3" applyFont="1"/>
    <xf numFmtId="217" fontId="53" fillId="0" borderId="0" xfId="3" applyNumberFormat="1" applyFont="1"/>
    <xf numFmtId="217" fontId="42" fillId="0" borderId="0" xfId="3" applyNumberFormat="1" applyFont="1"/>
    <xf numFmtId="217" fontId="53" fillId="0" borderId="0" xfId="3" applyNumberFormat="1" applyFont="1" applyBorder="1"/>
    <xf numFmtId="0" fontId="42" fillId="0" borderId="0" xfId="3" applyFont="1" applyBorder="1"/>
    <xf numFmtId="210" fontId="35" fillId="0" borderId="2" xfId="3" applyNumberFormat="1" applyFont="1" applyBorder="1"/>
    <xf numFmtId="0" fontId="68" fillId="0" borderId="0" xfId="3" applyFont="1"/>
    <xf numFmtId="208" fontId="68" fillId="0" borderId="0" xfId="3" applyNumberFormat="1" applyFont="1"/>
    <xf numFmtId="0" fontId="41" fillId="11" borderId="2" xfId="3" applyFont="1" applyFill="1" applyBorder="1" applyAlignment="1">
      <alignment horizontal="centerContinuous"/>
    </xf>
    <xf numFmtId="0" fontId="51" fillId="10" borderId="0" xfId="3" applyFont="1" applyFill="1" applyBorder="1" applyAlignment="1">
      <alignment horizontal="centerContinuous"/>
    </xf>
    <xf numFmtId="0" fontId="62" fillId="10" borderId="0" xfId="3" applyFont="1" applyFill="1" applyBorder="1" applyAlignment="1">
      <alignment horizontal="centerContinuous"/>
    </xf>
    <xf numFmtId="0" fontId="43" fillId="0" borderId="0" xfId="3" applyFont="1" applyFill="1"/>
    <xf numFmtId="0" fontId="41" fillId="11" borderId="0" xfId="3" applyFont="1" applyFill="1"/>
    <xf numFmtId="0" fontId="70" fillId="0" borderId="0" xfId="3" applyFont="1" applyBorder="1"/>
    <xf numFmtId="0" fontId="70" fillId="0" borderId="7" xfId="3" applyFont="1" applyBorder="1" applyAlignment="1">
      <alignment horizontal="centerContinuous"/>
    </xf>
    <xf numFmtId="0" fontId="70" fillId="0" borderId="0" xfId="3" applyFont="1" applyBorder="1" applyAlignment="1">
      <alignment horizontal="centerContinuous"/>
    </xf>
    <xf numFmtId="0" fontId="35" fillId="0" borderId="0" xfId="3" applyFont="1" applyBorder="1" applyAlignment="1"/>
    <xf numFmtId="0" fontId="59" fillId="11" borderId="2" xfId="3" applyFont="1" applyFill="1" applyBorder="1" applyAlignment="1">
      <alignment horizontal="centerContinuous"/>
    </xf>
    <xf numFmtId="0" fontId="44" fillId="0" borderId="8" xfId="3" applyFont="1" applyFill="1" applyBorder="1" applyAlignment="1">
      <alignment horizontal="centerContinuous"/>
    </xf>
    <xf numFmtId="0" fontId="44" fillId="0" borderId="0" xfId="3" applyFont="1" applyFill="1" applyBorder="1"/>
    <xf numFmtId="216" fontId="44" fillId="0" borderId="0" xfId="3" applyNumberFormat="1" applyFont="1" applyFill="1" applyBorder="1" applyAlignment="1">
      <alignment horizontal="centerContinuous"/>
    </xf>
    <xf numFmtId="216" fontId="35" fillId="0" borderId="2" xfId="3" applyNumberFormat="1" applyFont="1" applyFill="1" applyBorder="1" applyAlignment="1">
      <alignment horizontal="centerContinuous"/>
    </xf>
    <xf numFmtId="0" fontId="72" fillId="0" borderId="0" xfId="3" applyFont="1"/>
    <xf numFmtId="0" fontId="35" fillId="0" borderId="41" xfId="3" applyFont="1" applyBorder="1"/>
    <xf numFmtId="0" fontId="35" fillId="0" borderId="39" xfId="3" applyFont="1" applyBorder="1"/>
    <xf numFmtId="0" fontId="35" fillId="0" borderId="43" xfId="3" applyFont="1" applyBorder="1"/>
    <xf numFmtId="0" fontId="35" fillId="0" borderId="41" xfId="3" applyFont="1" applyBorder="1" applyAlignment="1">
      <alignment horizontal="centerContinuous"/>
    </xf>
    <xf numFmtId="0" fontId="35" fillId="0" borderId="43" xfId="3" applyFont="1" applyBorder="1" applyAlignment="1">
      <alignment horizontal="centerContinuous"/>
    </xf>
    <xf numFmtId="0" fontId="73" fillId="0" borderId="0" xfId="3" applyFont="1" applyBorder="1" applyAlignment="1">
      <alignment horizontal="centerContinuous"/>
    </xf>
    <xf numFmtId="208" fontId="33" fillId="0" borderId="0" xfId="3" applyNumberFormat="1" applyFont="1" applyBorder="1"/>
    <xf numFmtId="167" fontId="54" fillId="0" borderId="0" xfId="3" applyNumberFormat="1" applyFont="1" applyBorder="1"/>
    <xf numFmtId="167" fontId="35" fillId="0" borderId="0" xfId="3" applyNumberFormat="1" applyFont="1" applyBorder="1"/>
    <xf numFmtId="168" fontId="54" fillId="0" borderId="0" xfId="3" applyNumberFormat="1" applyFont="1" applyBorder="1"/>
    <xf numFmtId="210" fontId="33" fillId="0" borderId="2" xfId="3" applyNumberFormat="1" applyFont="1" applyBorder="1"/>
    <xf numFmtId="208" fontId="35" fillId="0" borderId="12" xfId="3" applyNumberFormat="1" applyFont="1" applyBorder="1"/>
    <xf numFmtId="175" fontId="35" fillId="0" borderId="0" xfId="3" applyNumberFormat="1" applyFont="1"/>
    <xf numFmtId="175" fontId="35" fillId="0" borderId="0" xfId="3" applyNumberFormat="1" applyFont="1" applyBorder="1"/>
    <xf numFmtId="0" fontId="58" fillId="0" borderId="8" xfId="3" applyFont="1" applyBorder="1"/>
    <xf numFmtId="0" fontId="58" fillId="0" borderId="40" xfId="3" applyFont="1" applyBorder="1"/>
    <xf numFmtId="164" fontId="58" fillId="0" borderId="8" xfId="3" applyNumberFormat="1" applyFont="1" applyBorder="1"/>
    <xf numFmtId="164" fontId="35" fillId="0" borderId="0" xfId="3" applyNumberFormat="1" applyFont="1" applyBorder="1"/>
    <xf numFmtId="164" fontId="58" fillId="0" borderId="0" xfId="3" applyNumberFormat="1" applyFont="1" applyBorder="1"/>
    <xf numFmtId="0" fontId="35" fillId="0" borderId="0" xfId="3" applyNumberFormat="1" applyFont="1"/>
    <xf numFmtId="229" fontId="35" fillId="0" borderId="40" xfId="3" applyNumberFormat="1" applyFont="1" applyBorder="1" applyAlignment="1">
      <alignment horizontal="right"/>
    </xf>
    <xf numFmtId="229" fontId="35" fillId="0" borderId="0" xfId="3" applyNumberFormat="1" applyFont="1" applyBorder="1"/>
    <xf numFmtId="229" fontId="33" fillId="0" borderId="0" xfId="3" applyNumberFormat="1" applyFont="1" applyBorder="1"/>
    <xf numFmtId="229" fontId="35" fillId="0" borderId="8" xfId="3" applyNumberFormat="1" applyFont="1" applyBorder="1"/>
    <xf numFmtId="176" fontId="35" fillId="0" borderId="0" xfId="3" applyNumberFormat="1" applyFont="1"/>
    <xf numFmtId="0" fontId="45" fillId="0" borderId="0" xfId="47" applyFont="1"/>
    <xf numFmtId="0" fontId="45" fillId="0" borderId="0" xfId="47" applyFont="1" applyBorder="1"/>
    <xf numFmtId="0" fontId="74" fillId="0" borderId="0" xfId="3" applyFont="1" applyBorder="1"/>
    <xf numFmtId="0" fontId="63" fillId="0" borderId="0" xfId="47" applyFont="1"/>
    <xf numFmtId="0" fontId="75" fillId="0" borderId="0" xfId="47" applyFont="1"/>
    <xf numFmtId="0" fontId="45" fillId="0" borderId="0" xfId="47" applyFont="1" applyFill="1" applyBorder="1"/>
    <xf numFmtId="0" fontId="45" fillId="0" borderId="0" xfId="47" applyFont="1" applyFill="1"/>
    <xf numFmtId="0" fontId="44" fillId="0" borderId="2" xfId="3" applyFont="1" applyFill="1" applyBorder="1" applyAlignment="1">
      <alignment horizontal="centerContinuous"/>
    </xf>
    <xf numFmtId="0" fontId="44" fillId="0" borderId="0" xfId="3" applyFont="1" applyFill="1"/>
    <xf numFmtId="216" fontId="44" fillId="0" borderId="2" xfId="3" applyNumberFormat="1" applyFont="1" applyFill="1" applyBorder="1" applyAlignment="1">
      <alignment horizontal="centerContinuous"/>
    </xf>
    <xf numFmtId="208" fontId="54" fillId="0" borderId="0" xfId="47" applyNumberFormat="1" applyFont="1" applyFill="1"/>
    <xf numFmtId="208" fontId="44" fillId="0" borderId="0" xfId="47" applyNumberFormat="1" applyFont="1" applyFill="1"/>
    <xf numFmtId="0" fontId="35" fillId="0" borderId="0" xfId="3" applyFont="1" applyFill="1" applyAlignment="1">
      <alignment horizontal="left" indent="1"/>
    </xf>
    <xf numFmtId="210" fontId="35" fillId="0" borderId="0" xfId="47" applyNumberFormat="1" applyFont="1" applyFill="1"/>
    <xf numFmtId="176" fontId="45" fillId="0" borderId="0" xfId="47" applyNumberFormat="1" applyFont="1" applyFill="1"/>
    <xf numFmtId="210" fontId="45" fillId="0" borderId="0" xfId="47" applyNumberFormat="1" applyFont="1" applyFill="1"/>
    <xf numFmtId="210" fontId="44" fillId="0" borderId="0" xfId="47" applyNumberFormat="1" applyFont="1" applyFill="1"/>
    <xf numFmtId="175" fontId="45" fillId="0" borderId="0" xfId="47" applyNumberFormat="1" applyFont="1" applyFill="1"/>
    <xf numFmtId="176" fontId="54" fillId="0" borderId="0" xfId="47" applyNumberFormat="1" applyFont="1" applyFill="1"/>
    <xf numFmtId="0" fontId="45" fillId="0" borderId="0" xfId="47" applyFont="1" applyFill="1" applyAlignment="1">
      <alignment horizontal="left" indent="1"/>
    </xf>
    <xf numFmtId="0" fontId="55" fillId="0" borderId="8" xfId="47" applyFont="1" applyBorder="1"/>
    <xf numFmtId="0" fontId="45" fillId="0" borderId="8" xfId="47" applyFont="1" applyBorder="1"/>
    <xf numFmtId="208" fontId="54" fillId="0" borderId="0" xfId="47" applyNumberFormat="1" applyFont="1"/>
    <xf numFmtId="208" fontId="44" fillId="0" borderId="0" xfId="47" applyNumberFormat="1" applyFont="1"/>
    <xf numFmtId="0" fontId="75" fillId="0" borderId="0" xfId="3" applyFont="1" applyAlignment="1">
      <alignment horizontal="left"/>
    </xf>
    <xf numFmtId="0" fontId="43" fillId="0" borderId="0" xfId="3" applyFont="1" applyBorder="1"/>
    <xf numFmtId="220" fontId="35" fillId="0" borderId="0" xfId="3" applyNumberFormat="1" applyFont="1" applyFill="1" applyBorder="1" applyAlignment="1">
      <alignment horizontal="center"/>
    </xf>
    <xf numFmtId="221" fontId="35" fillId="0" borderId="0" xfId="3" applyNumberFormat="1" applyFont="1" applyFill="1" applyBorder="1" applyAlignment="1">
      <alignment horizontal="center"/>
    </xf>
    <xf numFmtId="216" fontId="35" fillId="0" borderId="2" xfId="3" applyNumberFormat="1" applyFont="1" applyBorder="1" applyAlignment="1">
      <alignment horizontal="center"/>
    </xf>
    <xf numFmtId="0" fontId="35" fillId="0" borderId="4" xfId="3" applyFont="1" applyBorder="1" applyAlignment="1">
      <alignment horizontal="center"/>
    </xf>
    <xf numFmtId="222" fontId="35" fillId="0" borderId="0" xfId="3" applyNumberFormat="1" applyFont="1" applyFill="1" applyBorder="1" applyAlignment="1">
      <alignment horizontal="center"/>
    </xf>
    <xf numFmtId="208" fontId="44" fillId="0" borderId="8" xfId="3" applyNumberFormat="1" applyFont="1" applyBorder="1"/>
    <xf numFmtId="210" fontId="35" fillId="0" borderId="0" xfId="3" applyNumberFormat="1" applyFont="1" applyAlignment="1">
      <alignment horizontal="right"/>
    </xf>
    <xf numFmtId="208" fontId="35" fillId="0" borderId="8" xfId="3" applyNumberFormat="1" applyFont="1" applyBorder="1"/>
    <xf numFmtId="8" fontId="44" fillId="0" borderId="0" xfId="3" applyNumberFormat="1" applyFont="1"/>
    <xf numFmtId="215" fontId="44" fillId="0" borderId="0" xfId="3" applyNumberFormat="1" applyFont="1" applyAlignment="1">
      <alignment horizontal="right"/>
    </xf>
    <xf numFmtId="37" fontId="44" fillId="0" borderId="0" xfId="3" applyNumberFormat="1" applyFont="1"/>
    <xf numFmtId="37" fontId="54" fillId="0" borderId="0" xfId="3" applyNumberFormat="1" applyFont="1"/>
    <xf numFmtId="215" fontId="35" fillId="0" borderId="0" xfId="3" applyNumberFormat="1" applyFont="1" applyAlignment="1">
      <alignment horizontal="right"/>
    </xf>
    <xf numFmtId="37" fontId="54" fillId="0" borderId="0" xfId="3" applyNumberFormat="1" applyFont="1" applyBorder="1"/>
    <xf numFmtId="176" fontId="35" fillId="0" borderId="0" xfId="3" applyNumberFormat="1" applyFont="1" applyBorder="1"/>
    <xf numFmtId="208" fontId="44" fillId="0" borderId="0" xfId="3" applyNumberFormat="1" applyFont="1" applyAlignment="1">
      <alignment horizontal="right"/>
    </xf>
    <xf numFmtId="208" fontId="35" fillId="0" borderId="0" xfId="3" applyNumberFormat="1" applyFont="1" applyAlignment="1">
      <alignment horizontal="right"/>
    </xf>
    <xf numFmtId="175" fontId="44" fillId="0" borderId="0" xfId="3" applyNumberFormat="1" applyFont="1"/>
    <xf numFmtId="176" fontId="44" fillId="0" borderId="0" xfId="3" applyNumberFormat="1" applyFont="1"/>
    <xf numFmtId="210" fontId="35" fillId="0" borderId="0" xfId="3" quotePrefix="1" applyNumberFormat="1" applyFont="1" applyAlignment="1">
      <alignment horizontal="right"/>
    </xf>
    <xf numFmtId="210" fontId="54" fillId="0" borderId="0" xfId="3" applyNumberFormat="1" applyFont="1" applyAlignment="1">
      <alignment horizontal="right"/>
    </xf>
    <xf numFmtId="210" fontId="77" fillId="0" borderId="0" xfId="3" applyNumberFormat="1" applyFont="1" applyAlignment="1">
      <alignment horizontal="right"/>
    </xf>
    <xf numFmtId="0" fontId="56" fillId="0" borderId="40" xfId="3" applyFont="1" applyBorder="1"/>
    <xf numFmtId="0" fontId="46" fillId="0" borderId="0" xfId="3" applyFont="1" applyBorder="1"/>
    <xf numFmtId="0" fontId="55" fillId="0" borderId="0" xfId="3" applyFont="1" applyBorder="1"/>
    <xf numFmtId="0" fontId="78" fillId="0" borderId="0" xfId="3" applyFont="1" applyBorder="1"/>
    <xf numFmtId="0" fontId="35" fillId="0" borderId="2" xfId="3" applyFont="1" applyBorder="1" applyAlignment="1">
      <alignment horizontal="centerContinuous"/>
    </xf>
    <xf numFmtId="0" fontId="35" fillId="0" borderId="2" xfId="3" applyFont="1" applyBorder="1" applyAlignment="1">
      <alignment horizontal="center"/>
    </xf>
    <xf numFmtId="37" fontId="38" fillId="0" borderId="5" xfId="3" applyNumberFormat="1" applyFont="1" applyBorder="1" applyAlignment="1">
      <alignment horizontal="center"/>
    </xf>
    <xf numFmtId="217" fontId="35" fillId="0" borderId="5" xfId="3" applyNumberFormat="1" applyFont="1" applyBorder="1"/>
    <xf numFmtId="217" fontId="35" fillId="0" borderId="18" xfId="3" applyNumberFormat="1" applyFont="1" applyFill="1" applyBorder="1"/>
    <xf numFmtId="217" fontId="35" fillId="0" borderId="4" xfId="3" applyNumberFormat="1" applyFont="1" applyFill="1" applyBorder="1"/>
    <xf numFmtId="0" fontId="35" fillId="0" borderId="17" xfId="3" applyFont="1" applyBorder="1"/>
    <xf numFmtId="210" fontId="35" fillId="0" borderId="5" xfId="0" applyNumberFormat="1" applyFont="1" applyBorder="1" applyAlignment="1">
      <alignment horizontal="left"/>
    </xf>
    <xf numFmtId="37" fontId="56" fillId="0" borderId="0" xfId="3" applyNumberFormat="1" applyFont="1" applyBorder="1" applyAlignment="1">
      <alignment horizontal="center"/>
    </xf>
    <xf numFmtId="217" fontId="33" fillId="0" borderId="0" xfId="3" applyNumberFormat="1" applyFont="1"/>
    <xf numFmtId="215" fontId="56" fillId="0" borderId="0" xfId="3" applyNumberFormat="1" applyFont="1" applyAlignment="1">
      <alignment horizontal="center"/>
    </xf>
    <xf numFmtId="208" fontId="35" fillId="0" borderId="18" xfId="3" applyNumberFormat="1" applyFont="1" applyBorder="1"/>
    <xf numFmtId="0" fontId="35" fillId="0" borderId="4" xfId="3" applyFont="1" applyBorder="1"/>
    <xf numFmtId="208" fontId="35" fillId="0" borderId="4" xfId="3" applyNumberFormat="1" applyFont="1" applyBorder="1"/>
    <xf numFmtId="0" fontId="35" fillId="0" borderId="4" xfId="0" applyFont="1" applyBorder="1"/>
    <xf numFmtId="208" fontId="35" fillId="0" borderId="17" xfId="3" applyNumberFormat="1" applyFont="1" applyBorder="1"/>
    <xf numFmtId="0" fontId="43" fillId="0" borderId="0" xfId="3" applyFont="1" applyAlignment="1">
      <alignment horizontal="left"/>
    </xf>
    <xf numFmtId="176" fontId="35" fillId="0" borderId="0" xfId="3" applyNumberFormat="1" applyFont="1" applyAlignment="1">
      <alignment horizontal="left" indent="1"/>
    </xf>
    <xf numFmtId="208" fontId="35" fillId="0" borderId="40" xfId="3" applyNumberFormat="1" applyFont="1" applyBorder="1"/>
    <xf numFmtId="7" fontId="35" fillId="0" borderId="0" xfId="3" applyNumberFormat="1" applyFont="1"/>
    <xf numFmtId="217" fontId="44" fillId="0" borderId="0" xfId="3" applyNumberFormat="1" applyFont="1"/>
    <xf numFmtId="0" fontId="50" fillId="10" borderId="0" xfId="3" applyFont="1" applyFill="1" applyBorder="1" applyAlignment="1">
      <alignment horizontal="left"/>
    </xf>
    <xf numFmtId="0" fontId="60" fillId="10" borderId="0" xfId="3" applyFont="1" applyFill="1" applyBorder="1" applyAlignment="1"/>
    <xf numFmtId="219" fontId="52" fillId="10" borderId="0" xfId="3" applyNumberFormat="1" applyFont="1" applyFill="1" applyBorder="1" applyAlignment="1"/>
    <xf numFmtId="0" fontId="63" fillId="14" borderId="0" xfId="3" applyFont="1" applyFill="1"/>
    <xf numFmtId="0" fontId="63" fillId="14" borderId="0" xfId="3" applyFont="1" applyFill="1" applyAlignment="1"/>
    <xf numFmtId="0" fontId="80" fillId="14" borderId="0" xfId="3" applyFont="1" applyFill="1" applyAlignment="1">
      <alignment horizontal="right"/>
    </xf>
    <xf numFmtId="0" fontId="61" fillId="10" borderId="0" xfId="3" applyFont="1" applyFill="1" applyBorder="1" applyAlignment="1">
      <alignment horizontal="left"/>
    </xf>
    <xf numFmtId="0" fontId="51" fillId="10" borderId="0" xfId="0" applyFont="1" applyFill="1" applyBorder="1"/>
    <xf numFmtId="0" fontId="50" fillId="10" borderId="0" xfId="3" applyFont="1" applyFill="1" applyBorder="1" applyAlignment="1">
      <alignment horizontal="centerContinuous"/>
    </xf>
    <xf numFmtId="0" fontId="71" fillId="10" borderId="0" xfId="3" applyFont="1" applyFill="1" applyBorder="1" applyAlignment="1">
      <alignment horizontal="centerContinuous"/>
    </xf>
    <xf numFmtId="0" fontId="71" fillId="10" borderId="0" xfId="3" applyFont="1" applyFill="1" applyBorder="1"/>
    <xf numFmtId="0" fontId="71" fillId="10" borderId="7" xfId="3" applyFont="1" applyFill="1" applyBorder="1" applyAlignment="1">
      <alignment horizontal="centerContinuous"/>
    </xf>
    <xf numFmtId="0" fontId="76" fillId="10" borderId="0" xfId="3" applyFont="1" applyFill="1" applyBorder="1" applyAlignment="1">
      <alignment horizontal="right"/>
    </xf>
    <xf numFmtId="0" fontId="81" fillId="0" borderId="0" xfId="3" applyFont="1" applyFill="1" applyBorder="1"/>
    <xf numFmtId="0" fontId="82" fillId="0" borderId="0" xfId="3" applyFont="1" applyBorder="1" applyAlignment="1">
      <alignment horizontal="right"/>
    </xf>
    <xf numFmtId="0" fontId="83" fillId="0" borderId="0" xfId="3" applyFont="1" applyBorder="1" applyAlignment="1">
      <alignment horizontal="right"/>
    </xf>
    <xf numFmtId="0" fontId="76" fillId="10" borderId="7" xfId="3" applyFont="1" applyFill="1" applyBorder="1" applyAlignment="1">
      <alignment horizontal="right"/>
    </xf>
    <xf numFmtId="0" fontId="71" fillId="10" borderId="7" xfId="3" applyFont="1" applyFill="1" applyBorder="1"/>
    <xf numFmtId="0" fontId="66" fillId="0" borderId="0" xfId="3" applyFont="1" applyBorder="1" applyAlignment="1">
      <alignment horizontal="right"/>
    </xf>
    <xf numFmtId="225" fontId="44" fillId="0" borderId="2" xfId="3" applyNumberFormat="1" applyFont="1" applyBorder="1" applyAlignment="1">
      <alignment horizontal="centerContinuous"/>
    </xf>
    <xf numFmtId="225" fontId="35" fillId="0" borderId="2" xfId="3" applyNumberFormat="1" applyFont="1" applyBorder="1" applyAlignment="1">
      <alignment horizontal="centerContinuous"/>
    </xf>
    <xf numFmtId="167" fontId="54" fillId="0" borderId="0" xfId="3" applyNumberFormat="1" applyFont="1"/>
    <xf numFmtId="208" fontId="44" fillId="0" borderId="26" xfId="3" applyNumberFormat="1" applyFont="1" applyBorder="1"/>
    <xf numFmtId="210" fontId="41" fillId="0" borderId="24" xfId="3" applyNumberFormat="1" applyFont="1" applyBorder="1"/>
    <xf numFmtId="210" fontId="44" fillId="0" borderId="0" xfId="3" applyNumberFormat="1" applyFont="1" applyFill="1"/>
    <xf numFmtId="210" fontId="41" fillId="0" borderId="0" xfId="3" applyNumberFormat="1" applyFont="1" applyFill="1"/>
    <xf numFmtId="210" fontId="41" fillId="0" borderId="0" xfId="3" applyNumberFormat="1" applyFont="1"/>
    <xf numFmtId="208" fontId="44" fillId="0" borderId="0" xfId="3" applyNumberFormat="1" applyFont="1" applyBorder="1"/>
    <xf numFmtId="210" fontId="41" fillId="0" borderId="0" xfId="3" applyNumberFormat="1" applyFont="1" applyBorder="1"/>
    <xf numFmtId="208" fontId="77" fillId="0" borderId="8" xfId="3" applyNumberFormat="1" applyFont="1" applyBorder="1"/>
    <xf numFmtId="0" fontId="55" fillId="0" borderId="8" xfId="3" applyFont="1" applyBorder="1" applyAlignment="1">
      <alignment horizontal="left"/>
    </xf>
    <xf numFmtId="0" fontId="54" fillId="0" borderId="0" xfId="3" applyFont="1"/>
    <xf numFmtId="0" fontId="44" fillId="0" borderId="2" xfId="3" applyFont="1" applyBorder="1" applyAlignment="1">
      <alignment horizontal="centerContinuous"/>
    </xf>
    <xf numFmtId="167" fontId="44" fillId="0" borderId="0" xfId="3" applyNumberFormat="1" applyFont="1"/>
    <xf numFmtId="0" fontId="84" fillId="0" borderId="0" xfId="3" applyFont="1" applyBorder="1"/>
    <xf numFmtId="0" fontId="85" fillId="0" borderId="0" xfId="3" applyFont="1" applyFill="1" applyBorder="1" applyAlignment="1">
      <alignment horizontal="left"/>
    </xf>
    <xf numFmtId="0" fontId="43" fillId="0" borderId="0" xfId="3" applyFont="1" applyFill="1" applyAlignment="1">
      <alignment horizontal="centerContinuous"/>
    </xf>
    <xf numFmtId="0" fontId="35" fillId="0" borderId="0" xfId="3" applyFont="1" applyFill="1" applyAlignment="1">
      <alignment horizontal="centerContinuous"/>
    </xf>
    <xf numFmtId="0" fontId="44" fillId="0" borderId="0" xfId="3" applyFont="1" applyFill="1" applyAlignment="1">
      <alignment horizontal="centerContinuous"/>
    </xf>
    <xf numFmtId="0" fontId="86" fillId="0" borderId="0" xfId="3" applyFont="1" applyAlignment="1">
      <alignment horizontal="right"/>
    </xf>
    <xf numFmtId="0" fontId="63" fillId="0" borderId="0" xfId="3" applyFont="1" applyFill="1" applyBorder="1" applyAlignment="1">
      <alignment horizontal="left"/>
    </xf>
    <xf numFmtId="0" fontId="87" fillId="0" borderId="0" xfId="3" applyFont="1" applyAlignment="1">
      <alignment horizontal="right"/>
    </xf>
    <xf numFmtId="0" fontId="88" fillId="16" borderId="0" xfId="3" applyFont="1" applyFill="1" applyBorder="1" applyAlignment="1">
      <alignment horizontal="centerContinuous"/>
    </xf>
    <xf numFmtId="0" fontId="89" fillId="16" borderId="0" xfId="3" applyFont="1" applyFill="1" applyBorder="1" applyAlignment="1">
      <alignment horizontal="centerContinuous"/>
    </xf>
    <xf numFmtId="0" fontId="72" fillId="0" borderId="0" xfId="3" applyFont="1" applyFill="1" applyBorder="1"/>
    <xf numFmtId="14" fontId="43" fillId="0" borderId="0" xfId="3" applyNumberFormat="1" applyFont="1" applyFill="1" applyAlignment="1">
      <alignment horizontal="center"/>
    </xf>
    <xf numFmtId="209" fontId="79" fillId="0" borderId="0" xfId="3" applyNumberFormat="1" applyFont="1" applyFill="1" applyBorder="1"/>
    <xf numFmtId="209" fontId="44" fillId="0" borderId="0" xfId="3" applyNumberFormat="1" applyFont="1" applyFill="1" applyBorder="1"/>
    <xf numFmtId="209" fontId="90" fillId="0" borderId="0" xfId="3" applyNumberFormat="1" applyFont="1" applyFill="1" applyBorder="1"/>
    <xf numFmtId="8" fontId="35" fillId="0" borderId="0" xfId="3" applyNumberFormat="1" applyFont="1" applyFill="1" applyBorder="1"/>
    <xf numFmtId="210" fontId="44" fillId="0" borderId="2" xfId="3" applyNumberFormat="1" applyFont="1" applyFill="1" applyBorder="1"/>
    <xf numFmtId="210" fontId="44" fillId="0" borderId="0" xfId="3" applyNumberFormat="1" applyFont="1" applyFill="1" applyBorder="1"/>
    <xf numFmtId="210" fontId="54" fillId="0" borderId="0" xfId="3" applyNumberFormat="1" applyFont="1" applyFill="1" applyBorder="1"/>
    <xf numFmtId="0" fontId="41" fillId="0" borderId="0" xfId="3" applyFont="1" applyFill="1" applyBorder="1"/>
    <xf numFmtId="0" fontId="41" fillId="0" borderId="0" xfId="3" applyFont="1" applyFill="1" applyBorder="1" applyAlignment="1">
      <alignment horizontal="left" indent="1"/>
    </xf>
    <xf numFmtId="0" fontId="41" fillId="0" borderId="0" xfId="3" applyFont="1" applyFill="1" applyBorder="1" applyAlignment="1">
      <alignment horizontal="right"/>
    </xf>
    <xf numFmtId="208" fontId="41" fillId="0" borderId="0" xfId="3" applyNumberFormat="1" applyFont="1" applyFill="1" applyBorder="1"/>
    <xf numFmtId="208" fontId="90" fillId="0" borderId="0" xfId="3" applyNumberFormat="1" applyFont="1" applyFill="1" applyBorder="1"/>
    <xf numFmtId="208" fontId="41" fillId="0" borderId="0" xfId="3" applyNumberFormat="1" applyFont="1" applyFill="1"/>
    <xf numFmtId="0" fontId="43" fillId="0" borderId="0" xfId="3" applyFont="1" applyAlignment="1">
      <alignment horizontal="center"/>
    </xf>
    <xf numFmtId="208" fontId="44" fillId="0" borderId="0" xfId="3" applyNumberFormat="1" applyFont="1" applyFill="1"/>
    <xf numFmtId="210" fontId="33" fillId="0" borderId="8" xfId="3" quotePrefix="1" applyNumberFormat="1" applyFont="1" applyBorder="1" applyAlignment="1">
      <alignment horizontal="right"/>
    </xf>
    <xf numFmtId="0" fontId="35" fillId="0" borderId="0" xfId="3" quotePrefix="1" applyFont="1" applyAlignment="1">
      <alignment horizontal="center"/>
    </xf>
    <xf numFmtId="209" fontId="44" fillId="0" borderId="0" xfId="3" applyNumberFormat="1" applyFont="1" applyFill="1"/>
    <xf numFmtId="212" fontId="44" fillId="0" borderId="0" xfId="3" applyNumberFormat="1" applyFont="1" applyFill="1"/>
    <xf numFmtId="212" fontId="35" fillId="0" borderId="0" xfId="3" applyNumberFormat="1" applyFont="1"/>
    <xf numFmtId="176" fontId="54" fillId="0" borderId="0" xfId="3" applyNumberFormat="1" applyFont="1"/>
    <xf numFmtId="215" fontId="44" fillId="0" borderId="0" xfId="3" applyNumberFormat="1" applyFont="1" applyFill="1"/>
    <xf numFmtId="37" fontId="35" fillId="0" borderId="0" xfId="3" applyNumberFormat="1" applyFont="1"/>
    <xf numFmtId="210" fontId="33" fillId="0" borderId="0" xfId="3" applyNumberFormat="1" applyFont="1" applyFill="1"/>
    <xf numFmtId="0" fontId="91" fillId="0" borderId="0" xfId="3" applyFont="1" applyBorder="1"/>
    <xf numFmtId="0" fontId="92" fillId="0" borderId="0" xfId="3" applyFont="1" applyBorder="1" applyAlignment="1">
      <alignment horizontal="center"/>
    </xf>
    <xf numFmtId="0" fontId="63" fillId="0" borderId="0" xfId="3" applyFont="1" applyFill="1" applyBorder="1"/>
    <xf numFmtId="0" fontId="44" fillId="0" borderId="0" xfId="3" applyFont="1" applyAlignment="1">
      <alignment horizontal="centerContinuous"/>
    </xf>
    <xf numFmtId="0" fontId="53" fillId="0" borderId="0" xfId="3" applyFont="1" applyFill="1" applyBorder="1"/>
    <xf numFmtId="0" fontId="76" fillId="13" borderId="34" xfId="3" applyFont="1" applyFill="1" applyBorder="1" applyAlignment="1">
      <alignment horizontal="left"/>
    </xf>
    <xf numFmtId="222" fontId="59" fillId="11" borderId="0" xfId="3" applyNumberFormat="1" applyFont="1" applyFill="1" applyBorder="1" applyAlignment="1">
      <alignment horizontal="left"/>
    </xf>
    <xf numFmtId="0" fontId="77" fillId="11" borderId="0" xfId="3" applyFont="1" applyFill="1" applyBorder="1"/>
    <xf numFmtId="0" fontId="77" fillId="11" borderId="0" xfId="3" applyFont="1" applyFill="1" applyBorder="1" applyAlignment="1">
      <alignment horizontal="centerContinuous"/>
    </xf>
    <xf numFmtId="222" fontId="59" fillId="11" borderId="0" xfId="3" applyNumberFormat="1" applyFont="1" applyFill="1" applyBorder="1" applyAlignment="1">
      <alignment horizontal="center"/>
    </xf>
    <xf numFmtId="0" fontId="79" fillId="0" borderId="0" xfId="3" applyFont="1" applyFill="1" applyBorder="1"/>
    <xf numFmtId="175" fontId="35" fillId="0" borderId="0" xfId="3" applyNumberFormat="1" applyFont="1" applyFill="1" applyBorder="1"/>
    <xf numFmtId="208" fontId="44" fillId="0" borderId="0" xfId="46" applyNumberFormat="1" applyFont="1" applyFill="1" applyBorder="1"/>
    <xf numFmtId="0" fontId="54" fillId="0" borderId="0" xfId="3" applyFont="1" applyFill="1" applyBorder="1"/>
    <xf numFmtId="175" fontId="35" fillId="0" borderId="0" xfId="46" applyNumberFormat="1" applyFont="1" applyFill="1" applyBorder="1"/>
    <xf numFmtId="0" fontId="93" fillId="0" borderId="0" xfId="3" applyFont="1" applyFill="1"/>
    <xf numFmtId="0" fontId="44" fillId="0" borderId="0" xfId="3" applyFont="1" applyFill="1" applyBorder="1" applyAlignment="1">
      <alignment horizontal="left" indent="1"/>
    </xf>
    <xf numFmtId="176" fontId="54" fillId="0" borderId="0" xfId="3" applyNumberFormat="1" applyFont="1" applyFill="1" applyBorder="1"/>
    <xf numFmtId="210" fontId="44" fillId="0" borderId="0" xfId="46" applyNumberFormat="1" applyFont="1" applyFill="1" applyBorder="1"/>
    <xf numFmtId="210" fontId="44" fillId="0" borderId="2" xfId="46" applyNumberFormat="1" applyFont="1" applyFill="1" applyBorder="1"/>
    <xf numFmtId="210" fontId="35" fillId="0" borderId="26" xfId="46" applyNumberFormat="1" applyFont="1" applyFill="1" applyBorder="1"/>
    <xf numFmtId="210" fontId="35" fillId="0" borderId="25" xfId="46" applyNumberFormat="1" applyFont="1" applyFill="1" applyBorder="1"/>
    <xf numFmtId="210" fontId="35" fillId="0" borderId="24" xfId="46" applyNumberFormat="1" applyFont="1" applyFill="1" applyBorder="1"/>
    <xf numFmtId="210" fontId="35" fillId="0" borderId="2" xfId="46" applyNumberFormat="1" applyFont="1" applyFill="1" applyBorder="1"/>
    <xf numFmtId="0" fontId="35" fillId="0" borderId="0" xfId="3" applyFont="1" applyFill="1" applyAlignment="1">
      <alignment horizontal="left"/>
    </xf>
    <xf numFmtId="217" fontId="54" fillId="0" borderId="0" xfId="3" applyNumberFormat="1" applyFont="1" applyFill="1" applyBorder="1"/>
    <xf numFmtId="210" fontId="35" fillId="0" borderId="0" xfId="46" applyNumberFormat="1" applyFont="1" applyFill="1" applyBorder="1"/>
    <xf numFmtId="208" fontId="35" fillId="0" borderId="26" xfId="46" applyNumberFormat="1" applyFont="1" applyFill="1" applyBorder="1"/>
    <xf numFmtId="208" fontId="35" fillId="0" borderId="25" xfId="46" applyNumberFormat="1" applyFont="1" applyFill="1" applyBorder="1"/>
    <xf numFmtId="208" fontId="35" fillId="0" borderId="24" xfId="46" applyNumberFormat="1" applyFont="1" applyFill="1" applyBorder="1"/>
    <xf numFmtId="0" fontId="35" fillId="0" borderId="0" xfId="46" applyNumberFormat="1" applyFont="1" applyFill="1" applyBorder="1"/>
    <xf numFmtId="0" fontId="44" fillId="0" borderId="0" xfId="3" applyFont="1" applyFill="1" applyAlignment="1">
      <alignment horizontal="left" indent="1"/>
    </xf>
    <xf numFmtId="217" fontId="44" fillId="0" borderId="0" xfId="46" applyNumberFormat="1" applyFont="1" applyFill="1" applyBorder="1"/>
    <xf numFmtId="208" fontId="35" fillId="0" borderId="0" xfId="46" applyNumberFormat="1" applyFont="1" applyFill="1" applyBorder="1"/>
    <xf numFmtId="0" fontId="72" fillId="0" borderId="0" xfId="3" applyFont="1" applyFill="1"/>
    <xf numFmtId="176" fontId="93" fillId="0" borderId="0" xfId="3" applyNumberFormat="1" applyFont="1" applyFill="1" applyBorder="1"/>
    <xf numFmtId="176" fontId="44" fillId="0" borderId="0" xfId="3" applyNumberFormat="1" applyFont="1" applyFill="1"/>
    <xf numFmtId="0" fontId="91" fillId="0" borderId="0" xfId="3" applyFont="1" applyFill="1" applyAlignment="1">
      <alignment horizontal="left" indent="1"/>
    </xf>
    <xf numFmtId="176" fontId="35" fillId="0" borderId="26" xfId="3" applyNumberFormat="1" applyFont="1" applyFill="1" applyBorder="1"/>
    <xf numFmtId="176" fontId="35" fillId="0" borderId="25" xfId="3" applyNumberFormat="1" applyFont="1" applyFill="1" applyBorder="1"/>
    <xf numFmtId="176" fontId="35" fillId="0" borderId="24" xfId="3" applyNumberFormat="1" applyFont="1" applyFill="1" applyBorder="1"/>
    <xf numFmtId="210" fontId="44" fillId="0" borderId="0" xfId="46" applyNumberFormat="1" applyFont="1" applyFill="1"/>
    <xf numFmtId="0" fontId="35" fillId="0" borderId="0" xfId="46" applyFont="1" applyFill="1"/>
    <xf numFmtId="209" fontId="77" fillId="0" borderId="0" xfId="46" applyNumberFormat="1" applyFont="1" applyFill="1"/>
    <xf numFmtId="8" fontId="58" fillId="0" borderId="0" xfId="3" applyNumberFormat="1" applyFont="1" applyFill="1" applyAlignment="1">
      <alignment horizontal="left" indent="1"/>
    </xf>
    <xf numFmtId="8" fontId="94" fillId="0" borderId="0" xfId="3" applyNumberFormat="1" applyFont="1" applyFill="1"/>
    <xf numFmtId="248" fontId="58" fillId="0" borderId="0" xfId="3" applyNumberFormat="1" applyFont="1" applyFill="1"/>
    <xf numFmtId="209" fontId="35" fillId="0" borderId="0" xfId="46" applyNumberFormat="1" applyFont="1" applyFill="1"/>
    <xf numFmtId="217" fontId="35" fillId="0" borderId="0" xfId="46" applyNumberFormat="1" applyFont="1" applyFill="1"/>
    <xf numFmtId="8" fontId="35" fillId="0" borderId="0" xfId="46" applyNumberFormat="1" applyFont="1" applyFill="1"/>
    <xf numFmtId="215" fontId="54" fillId="0" borderId="0" xfId="3" applyNumberFormat="1" applyFont="1" applyAlignment="1">
      <alignment horizontal="center"/>
    </xf>
    <xf numFmtId="0" fontId="50" fillId="10" borderId="7" xfId="3" applyFont="1" applyFill="1" applyBorder="1" applyAlignment="1">
      <alignment horizontal="centerContinuous"/>
    </xf>
    <xf numFmtId="0" fontId="95" fillId="0" borderId="0" xfId="3" applyFont="1" applyAlignment="1">
      <alignment horizontal="centerContinuous"/>
    </xf>
    <xf numFmtId="0" fontId="96" fillId="15" borderId="0" xfId="3" applyFont="1" applyFill="1" applyBorder="1" applyAlignment="1">
      <alignment horizontal="left"/>
    </xf>
    <xf numFmtId="0" fontId="65" fillId="0" borderId="0" xfId="3" applyFont="1" applyFill="1" applyBorder="1" applyAlignment="1">
      <alignment horizontal="centerContinuous"/>
    </xf>
    <xf numFmtId="0" fontId="35" fillId="0" borderId="0" xfId="0" applyFont="1" applyFill="1" applyBorder="1"/>
    <xf numFmtId="215" fontId="44" fillId="0" borderId="0" xfId="3" applyNumberFormat="1" applyFont="1" applyAlignment="1">
      <alignment horizontal="center"/>
    </xf>
    <xf numFmtId="0" fontId="35" fillId="0" borderId="0" xfId="0" applyFont="1" applyFill="1" applyBorder="1" applyAlignment="1"/>
    <xf numFmtId="0" fontId="44" fillId="0" borderId="0" xfId="0" applyFont="1" applyFill="1" applyBorder="1" applyAlignment="1">
      <alignment horizontal="center"/>
    </xf>
    <xf numFmtId="0" fontId="44" fillId="0" borderId="0" xfId="0" applyFont="1" applyFill="1" applyBorder="1"/>
    <xf numFmtId="0" fontId="44" fillId="0" borderId="2" xfId="0" applyFont="1" applyFill="1" applyBorder="1" applyAlignment="1">
      <alignment horizontal="centerContinuous"/>
    </xf>
    <xf numFmtId="227" fontId="35" fillId="0" borderId="0" xfId="0" applyNumberFormat="1" applyFont="1" applyFill="1" applyBorder="1" applyAlignment="1"/>
    <xf numFmtId="209" fontId="44" fillId="0" borderId="40" xfId="0" applyNumberFormat="1" applyFont="1" applyFill="1" applyBorder="1" applyAlignment="1">
      <alignment horizontal="right"/>
    </xf>
    <xf numFmtId="0" fontId="35" fillId="0" borderId="0" xfId="0" applyFont="1" applyFill="1" applyBorder="1" applyAlignment="1">
      <alignment horizontal="right"/>
    </xf>
    <xf numFmtId="241" fontId="35" fillId="0" borderId="47" xfId="0" applyNumberFormat="1" applyFont="1" applyFill="1" applyBorder="1" applyAlignment="1">
      <alignment horizontal="right"/>
    </xf>
    <xf numFmtId="236" fontId="35" fillId="0" borderId="47" xfId="0" applyNumberFormat="1" applyFont="1" applyFill="1" applyBorder="1" applyAlignment="1">
      <alignment horizontal="right"/>
    </xf>
    <xf numFmtId="242" fontId="35" fillId="0" borderId="47" xfId="0" applyNumberFormat="1" applyFont="1" applyFill="1" applyBorder="1" applyAlignment="1">
      <alignment horizontal="right"/>
    </xf>
    <xf numFmtId="229" fontId="35" fillId="0" borderId="47" xfId="0" applyNumberFormat="1" applyFont="1" applyFill="1" applyBorder="1" applyAlignment="1">
      <alignment horizontal="right"/>
    </xf>
    <xf numFmtId="217" fontId="35" fillId="0" borderId="47" xfId="0" applyNumberFormat="1" applyFont="1" applyFill="1" applyBorder="1" applyAlignment="1">
      <alignment horizontal="right"/>
    </xf>
    <xf numFmtId="209" fontId="35" fillId="0" borderId="47" xfId="0" applyNumberFormat="1" applyFont="1" applyFill="1" applyBorder="1" applyAlignment="1">
      <alignment horizontal="right"/>
    </xf>
    <xf numFmtId="209" fontId="97" fillId="0" borderId="0" xfId="0" applyNumberFormat="1" applyFont="1" applyFill="1" applyBorder="1" applyAlignment="1"/>
    <xf numFmtId="212" fontId="44" fillId="0" borderId="0" xfId="0" applyNumberFormat="1" applyFont="1" applyFill="1" applyBorder="1" applyAlignment="1">
      <alignment horizontal="right"/>
    </xf>
    <xf numFmtId="243" fontId="35" fillId="0" borderId="0" xfId="0" applyNumberFormat="1" applyFont="1" applyFill="1" applyBorder="1" applyAlignment="1">
      <alignment horizontal="right"/>
    </xf>
    <xf numFmtId="244" fontId="35" fillId="0" borderId="0" xfId="0" applyNumberFormat="1" applyFont="1" applyFill="1" applyBorder="1" applyAlignment="1">
      <alignment horizontal="right"/>
    </xf>
    <xf numFmtId="245" fontId="35" fillId="0" borderId="0" xfId="0" applyNumberFormat="1" applyFont="1" applyFill="1" applyBorder="1" applyAlignment="1">
      <alignment horizontal="right"/>
    </xf>
    <xf numFmtId="217" fontId="35" fillId="0" borderId="0" xfId="0" applyNumberFormat="1" applyFont="1" applyFill="1" applyBorder="1" applyAlignment="1">
      <alignment horizontal="right"/>
    </xf>
    <xf numFmtId="212" fontId="35" fillId="0" borderId="0" xfId="0" applyNumberFormat="1" applyFont="1" applyFill="1" applyBorder="1" applyAlignment="1">
      <alignment horizontal="right"/>
    </xf>
    <xf numFmtId="212" fontId="97" fillId="0" borderId="0" xfId="0" applyNumberFormat="1" applyFont="1" applyFill="1" applyBorder="1" applyAlignment="1"/>
    <xf numFmtId="0" fontId="79" fillId="0" borderId="0" xfId="3" applyFont="1" applyAlignment="1">
      <alignment horizontal="right"/>
    </xf>
    <xf numFmtId="229" fontId="79" fillId="0" borderId="0" xfId="0" applyNumberFormat="1" applyFont="1" applyFill="1" applyBorder="1" applyAlignment="1">
      <alignment horizontal="right"/>
    </xf>
    <xf numFmtId="0" fontId="44" fillId="0" borderId="0" xfId="0" applyFont="1" applyFill="1" applyBorder="1" applyAlignment="1">
      <alignment horizontal="right"/>
    </xf>
    <xf numFmtId="246" fontId="79" fillId="0" borderId="0" xfId="0" applyNumberFormat="1" applyFont="1" applyFill="1" applyBorder="1" applyAlignment="1">
      <alignment horizontal="right"/>
    </xf>
    <xf numFmtId="209" fontId="41" fillId="0" borderId="0" xfId="0" applyNumberFormat="1" applyFont="1" applyFill="1" applyBorder="1" applyAlignment="1">
      <alignment horizontal="right"/>
    </xf>
    <xf numFmtId="209" fontId="41" fillId="0" borderId="0" xfId="0" applyNumberFormat="1" applyFont="1" applyFill="1" applyBorder="1" applyAlignment="1"/>
    <xf numFmtId="0" fontId="96" fillId="15" borderId="0" xfId="3" applyFont="1" applyFill="1" applyBorder="1" applyAlignment="1"/>
    <xf numFmtId="0" fontId="35" fillId="0" borderId="0" xfId="0" applyFont="1" applyFill="1" applyBorder="1" applyAlignment="1">
      <alignment horizontal="center"/>
    </xf>
    <xf numFmtId="0" fontId="97" fillId="0" borderId="0" xfId="0" applyFont="1" applyFill="1" applyBorder="1" applyAlignment="1">
      <alignment horizontal="centerContinuous"/>
    </xf>
    <xf numFmtId="0" fontId="35" fillId="0" borderId="0" xfId="0" applyFont="1" applyFill="1" applyBorder="1" applyAlignment="1">
      <alignment horizontal="centerContinuous"/>
    </xf>
    <xf numFmtId="0" fontId="44" fillId="0" borderId="0" xfId="0" applyFont="1" applyFill="1" applyBorder="1" applyAlignment="1">
      <alignment horizontal="centerContinuous"/>
    </xf>
    <xf numFmtId="227" fontId="97" fillId="0" borderId="0" xfId="0" applyNumberFormat="1" applyFont="1" applyFill="1" applyBorder="1" applyAlignment="1">
      <alignment horizontal="center"/>
    </xf>
    <xf numFmtId="227" fontId="44" fillId="0" borderId="0" xfId="0" applyNumberFormat="1" applyFont="1" applyFill="1" applyBorder="1" applyAlignment="1">
      <alignment horizontal="center"/>
    </xf>
    <xf numFmtId="176" fontId="54" fillId="0" borderId="0" xfId="3" applyNumberFormat="1" applyFont="1" applyFill="1" applyBorder="1" applyAlignment="1">
      <alignment horizontal="right"/>
    </xf>
    <xf numFmtId="209" fontId="97" fillId="0" borderId="0" xfId="0" applyNumberFormat="1" applyFont="1" applyFill="1" applyBorder="1"/>
    <xf numFmtId="208" fontId="97" fillId="0" borderId="0" xfId="0" applyNumberFormat="1" applyFont="1" applyFill="1" applyBorder="1" applyAlignment="1">
      <alignment horizontal="right"/>
    </xf>
    <xf numFmtId="209" fontId="35" fillId="0" borderId="40" xfId="0" applyNumberFormat="1" applyFont="1" applyFill="1" applyBorder="1"/>
    <xf numFmtId="247" fontId="35" fillId="0" borderId="47" xfId="0" applyNumberFormat="1" applyFont="1" applyFill="1" applyBorder="1" applyAlignment="1">
      <alignment horizontal="right"/>
    </xf>
    <xf numFmtId="212" fontId="35" fillId="0" borderId="0" xfId="0" applyNumberFormat="1" applyFont="1" applyFill="1" applyBorder="1"/>
    <xf numFmtId="215" fontId="35" fillId="0" borderId="0" xfId="0" applyNumberFormat="1" applyFont="1" applyFill="1" applyBorder="1" applyAlignment="1">
      <alignment horizontal="right"/>
    </xf>
    <xf numFmtId="212" fontId="97" fillId="0" borderId="0" xfId="0" applyNumberFormat="1" applyFont="1" applyFill="1" applyBorder="1"/>
    <xf numFmtId="210" fontId="97" fillId="0" borderId="0" xfId="0" applyNumberFormat="1" applyFont="1" applyFill="1" applyBorder="1"/>
    <xf numFmtId="210" fontId="97" fillId="0" borderId="0" xfId="0" applyNumberFormat="1" applyFont="1" applyFill="1" applyBorder="1" applyAlignment="1"/>
    <xf numFmtId="247" fontId="98" fillId="0" borderId="0" xfId="0" applyNumberFormat="1" applyFont="1" applyFill="1" applyBorder="1" applyAlignment="1">
      <alignment horizontal="right"/>
    </xf>
    <xf numFmtId="247" fontId="79" fillId="0" borderId="0" xfId="0" applyNumberFormat="1" applyFont="1" applyFill="1" applyBorder="1" applyAlignment="1">
      <alignment horizontal="right"/>
    </xf>
    <xf numFmtId="247" fontId="41" fillId="0" borderId="0" xfId="0" applyNumberFormat="1" applyFont="1" applyFill="1" applyBorder="1" applyAlignment="1">
      <alignment horizontal="right"/>
    </xf>
    <xf numFmtId="176" fontId="35" fillId="0" borderId="0" xfId="3" applyNumberFormat="1" applyFont="1" applyFill="1" applyBorder="1" applyAlignment="1">
      <alignment horizontal="right"/>
    </xf>
    <xf numFmtId="210" fontId="54" fillId="0" borderId="0" xfId="3" applyNumberFormat="1" applyFont="1" applyFill="1" applyBorder="1" applyAlignment="1">
      <alignment horizontal="right"/>
    </xf>
    <xf numFmtId="0" fontId="85" fillId="0" borderId="0" xfId="3" applyFont="1" applyFill="1" applyBorder="1"/>
    <xf numFmtId="0" fontId="65" fillId="12" borderId="0" xfId="3" applyFont="1" applyFill="1" applyBorder="1" applyAlignment="1">
      <alignment horizontal="centerContinuous"/>
    </xf>
    <xf numFmtId="0" fontId="33" fillId="0" borderId="19" xfId="3" applyFont="1" applyBorder="1"/>
    <xf numFmtId="0" fontId="35" fillId="0" borderId="20" xfId="3" applyFont="1" applyBorder="1" applyAlignment="1">
      <alignment horizontal="centerContinuous"/>
    </xf>
    <xf numFmtId="0" fontId="35" fillId="0" borderId="20" xfId="3" applyFont="1" applyBorder="1"/>
    <xf numFmtId="7" fontId="44" fillId="0" borderId="22" xfId="3" applyNumberFormat="1" applyFont="1" applyBorder="1"/>
    <xf numFmtId="0" fontId="33" fillId="0" borderId="21" xfId="3" quotePrefix="1" applyFont="1" applyBorder="1"/>
    <xf numFmtId="0" fontId="35" fillId="0" borderId="7" xfId="3" applyFont="1" applyBorder="1"/>
    <xf numFmtId="180" fontId="44" fillId="0" borderId="23" xfId="3" applyNumberFormat="1" applyFont="1" applyBorder="1"/>
    <xf numFmtId="0" fontId="99" fillId="0" borderId="0" xfId="3" applyFont="1" applyBorder="1" applyAlignment="1">
      <alignment horizontal="centerContinuous"/>
    </xf>
    <xf numFmtId="0" fontId="100" fillId="0" borderId="0" xfId="3" applyFont="1"/>
    <xf numFmtId="221" fontId="44" fillId="0" borderId="4" xfId="3" applyNumberFormat="1" applyFont="1" applyFill="1" applyBorder="1" applyAlignment="1">
      <alignment horizontal="center"/>
    </xf>
    <xf numFmtId="221" fontId="44" fillId="0" borderId="0" xfId="3" applyNumberFormat="1" applyFont="1" applyFill="1" applyBorder="1" applyAlignment="1">
      <alignment horizontal="center"/>
    </xf>
    <xf numFmtId="222" fontId="44" fillId="0" borderId="4" xfId="3" applyNumberFormat="1" applyFont="1" applyFill="1" applyBorder="1" applyAlignment="1">
      <alignment horizontal="center"/>
    </xf>
    <xf numFmtId="222" fontId="44" fillId="0" borderId="0" xfId="3" applyNumberFormat="1" applyFont="1" applyFill="1" applyBorder="1" applyAlignment="1">
      <alignment horizontal="center"/>
    </xf>
    <xf numFmtId="221" fontId="79" fillId="0" borderId="0" xfId="3" applyNumberFormat="1" applyFont="1" applyFill="1" applyBorder="1" applyAlignment="1">
      <alignment horizontal="center"/>
    </xf>
    <xf numFmtId="0" fontId="54" fillId="0" borderId="0" xfId="3" applyFont="1" applyBorder="1" applyAlignment="1">
      <alignment horizontal="centerContinuous"/>
    </xf>
    <xf numFmtId="175" fontId="54" fillId="0" borderId="0" xfId="3" applyNumberFormat="1" applyFont="1"/>
    <xf numFmtId="209" fontId="54" fillId="0" borderId="0" xfId="3" applyNumberFormat="1" applyFont="1"/>
    <xf numFmtId="8" fontId="44" fillId="0" borderId="51" xfId="3" applyNumberFormat="1" applyFont="1" applyBorder="1"/>
    <xf numFmtId="0" fontId="44" fillId="0" borderId="40" xfId="3" applyFont="1" applyBorder="1"/>
    <xf numFmtId="8" fontId="44" fillId="0" borderId="40" xfId="3" applyNumberFormat="1" applyFont="1" applyBorder="1"/>
    <xf numFmtId="0" fontId="44" fillId="0" borderId="40" xfId="3" applyFont="1" applyBorder="1" applyAlignment="1">
      <alignment horizontal="right"/>
    </xf>
    <xf numFmtId="0" fontId="54" fillId="0" borderId="40" xfId="3" applyFont="1" applyBorder="1" applyAlignment="1">
      <alignment horizontal="right"/>
    </xf>
    <xf numFmtId="210" fontId="35" fillId="0" borderId="40" xfId="3" applyNumberFormat="1" applyFont="1" applyBorder="1"/>
    <xf numFmtId="176" fontId="35" fillId="0" borderId="40" xfId="3" applyNumberFormat="1" applyFont="1" applyBorder="1"/>
    <xf numFmtId="176" fontId="35" fillId="0" borderId="44" xfId="3" applyNumberFormat="1" applyFont="1" applyBorder="1"/>
    <xf numFmtId="8" fontId="44" fillId="0" borderId="3" xfId="3" applyNumberFormat="1" applyFont="1" applyBorder="1"/>
    <xf numFmtId="0" fontId="44" fillId="0" borderId="2" xfId="3" applyFont="1" applyBorder="1"/>
    <xf numFmtId="8" fontId="44" fillId="0" borderId="2" xfId="3" applyNumberFormat="1" applyFont="1" applyBorder="1"/>
    <xf numFmtId="0" fontId="44" fillId="0" borderId="2" xfId="3" applyFont="1" applyBorder="1" applyAlignment="1">
      <alignment horizontal="right"/>
    </xf>
    <xf numFmtId="0" fontId="54" fillId="0" borderId="2" xfId="3" applyFont="1" applyBorder="1" applyAlignment="1">
      <alignment horizontal="right"/>
    </xf>
    <xf numFmtId="209" fontId="35" fillId="0" borderId="2" xfId="3" applyNumberFormat="1" applyFont="1" applyBorder="1"/>
    <xf numFmtId="8" fontId="35" fillId="0" borderId="2" xfId="3" applyNumberFormat="1" applyFont="1" applyBorder="1"/>
    <xf numFmtId="8" fontId="54" fillId="0" borderId="15" xfId="3" applyNumberFormat="1" applyFont="1" applyBorder="1"/>
    <xf numFmtId="210" fontId="35" fillId="0" borderId="0" xfId="3" applyNumberFormat="1" applyFont="1" applyFill="1" applyAlignment="1">
      <alignment horizontal="right"/>
    </xf>
    <xf numFmtId="176" fontId="35" fillId="0" borderId="0" xfId="3" applyNumberFormat="1" applyFont="1" applyFill="1"/>
    <xf numFmtId="0" fontId="35" fillId="0" borderId="0" xfId="3" applyNumberFormat="1" applyFont="1" applyFill="1"/>
    <xf numFmtId="176" fontId="35" fillId="0" borderId="0" xfId="3" applyNumberFormat="1" applyFont="1" applyAlignment="1">
      <alignment horizontal="center"/>
    </xf>
    <xf numFmtId="0" fontId="33" fillId="0" borderId="2" xfId="3" applyFont="1" applyBorder="1" applyAlignment="1">
      <alignment horizontal="center"/>
    </xf>
    <xf numFmtId="210" fontId="33" fillId="0" borderId="0" xfId="3" applyNumberFormat="1" applyFont="1" applyFill="1" applyAlignment="1">
      <alignment horizontal="right"/>
    </xf>
    <xf numFmtId="176" fontId="54" fillId="0" borderId="0" xfId="3" applyNumberFormat="1" applyFont="1" applyAlignment="1">
      <alignment horizontal="right"/>
    </xf>
    <xf numFmtId="176" fontId="35" fillId="0" borderId="0" xfId="3" applyNumberFormat="1" applyFont="1" applyAlignment="1">
      <alignment horizontal="right"/>
    </xf>
    <xf numFmtId="176" fontId="54" fillId="0" borderId="0" xfId="3" applyNumberFormat="1" applyFont="1" applyFill="1" applyAlignment="1">
      <alignment horizontal="right"/>
    </xf>
    <xf numFmtId="208" fontId="54" fillId="0" borderId="0" xfId="3" applyNumberFormat="1" applyFont="1" applyAlignment="1">
      <alignment horizontal="right"/>
    </xf>
    <xf numFmtId="208" fontId="44" fillId="0" borderId="0" xfId="3" applyNumberFormat="1" applyFont="1" applyFill="1" applyAlignment="1">
      <alignment horizontal="right"/>
    </xf>
    <xf numFmtId="175" fontId="44" fillId="0" borderId="0" xfId="3" applyNumberFormat="1" applyFont="1" applyFill="1"/>
    <xf numFmtId="175" fontId="54" fillId="0" borderId="0" xfId="3" applyNumberFormat="1" applyFont="1" applyFill="1"/>
    <xf numFmtId="210" fontId="44" fillId="0" borderId="0" xfId="3" applyNumberFormat="1" applyFont="1" applyFill="1" applyAlignment="1">
      <alignment horizontal="right"/>
    </xf>
    <xf numFmtId="176" fontId="54" fillId="0" borderId="0" xfId="3" applyNumberFormat="1" applyFont="1" applyFill="1"/>
    <xf numFmtId="210" fontId="33" fillId="0" borderId="0" xfId="3" quotePrefix="1" applyNumberFormat="1" applyFont="1" applyAlignment="1">
      <alignment horizontal="right"/>
    </xf>
    <xf numFmtId="210" fontId="33" fillId="0" borderId="0" xfId="3" quotePrefix="1" applyNumberFormat="1" applyFont="1" applyFill="1" applyAlignment="1">
      <alignment horizontal="right"/>
    </xf>
    <xf numFmtId="0" fontId="33" fillId="0" borderId="0" xfId="3" quotePrefix="1" applyFont="1" applyFill="1" applyAlignment="1">
      <alignment horizontal="right"/>
    </xf>
    <xf numFmtId="226" fontId="62" fillId="9" borderId="2" xfId="3" applyNumberFormat="1" applyFont="1" applyFill="1" applyBorder="1" applyAlignment="1">
      <alignment horizontal="centerContinuous"/>
    </xf>
    <xf numFmtId="210" fontId="44" fillId="0" borderId="0" xfId="3" applyNumberFormat="1" applyFont="1" applyAlignment="1">
      <alignment horizontal="left"/>
    </xf>
    <xf numFmtId="210" fontId="35" fillId="0" borderId="0" xfId="3" applyNumberFormat="1" applyFont="1" applyAlignment="1">
      <alignment horizontal="left"/>
    </xf>
    <xf numFmtId="176" fontId="44" fillId="0" borderId="0" xfId="3" applyNumberFormat="1" applyFont="1" applyAlignment="1">
      <alignment horizontal="right"/>
    </xf>
    <xf numFmtId="176" fontId="35" fillId="0" borderId="0" xfId="3" applyNumberFormat="1" applyFont="1" applyFill="1" applyAlignment="1">
      <alignment horizontal="right"/>
    </xf>
    <xf numFmtId="0" fontId="101" fillId="0" borderId="40" xfId="3" applyFont="1" applyFill="1" applyBorder="1"/>
    <xf numFmtId="0" fontId="55" fillId="0" borderId="0" xfId="3" applyFont="1" applyFill="1" applyBorder="1"/>
    <xf numFmtId="208" fontId="54" fillId="0" borderId="0" xfId="3" applyNumberFormat="1" applyFont="1"/>
    <xf numFmtId="208" fontId="54" fillId="0" borderId="0" xfId="3" applyNumberFormat="1" applyFont="1" applyBorder="1"/>
    <xf numFmtId="208" fontId="44" fillId="0" borderId="40" xfId="3" applyNumberFormat="1" applyFont="1" applyBorder="1"/>
    <xf numFmtId="7" fontId="35" fillId="0" borderId="0" xfId="3" applyNumberFormat="1" applyFont="1" applyBorder="1"/>
    <xf numFmtId="217" fontId="54" fillId="0" borderId="0" xfId="3" applyNumberFormat="1" applyFont="1" applyBorder="1"/>
    <xf numFmtId="0" fontId="102" fillId="0" borderId="0" xfId="3" applyFont="1" applyBorder="1"/>
    <xf numFmtId="0" fontId="71" fillId="10" borderId="7" xfId="3" applyFont="1" applyFill="1" applyBorder="1" applyAlignment="1"/>
    <xf numFmtId="0" fontId="86" fillId="0" borderId="0" xfId="3" applyFont="1" applyBorder="1" applyAlignment="1">
      <alignment horizontal="right"/>
    </xf>
    <xf numFmtId="0" fontId="39" fillId="13" borderId="34" xfId="3" applyFont="1" applyFill="1" applyBorder="1" applyAlignment="1">
      <alignment horizontal="left"/>
    </xf>
    <xf numFmtId="0" fontId="65" fillId="13" borderId="34" xfId="3" applyFont="1" applyFill="1" applyBorder="1" applyAlignment="1">
      <alignment horizontal="centerContinuous"/>
    </xf>
    <xf numFmtId="0" fontId="65" fillId="13" borderId="34" xfId="3" applyFont="1" applyFill="1" applyBorder="1"/>
    <xf numFmtId="0" fontId="65" fillId="5" borderId="0" xfId="3" applyFont="1" applyFill="1" applyBorder="1"/>
    <xf numFmtId="209" fontId="33" fillId="0" borderId="5" xfId="3" applyNumberFormat="1" applyFont="1" applyBorder="1"/>
    <xf numFmtId="229" fontId="33" fillId="0" borderId="5" xfId="3" applyNumberFormat="1" applyFont="1" applyBorder="1"/>
    <xf numFmtId="0" fontId="41" fillId="5" borderId="0" xfId="3" applyFont="1" applyFill="1" applyBorder="1" applyAlignment="1">
      <alignment horizontal="centerContinuous"/>
    </xf>
    <xf numFmtId="0" fontId="41" fillId="5" borderId="18" xfId="3" applyFont="1" applyFill="1" applyBorder="1" applyAlignment="1">
      <alignment horizontal="centerContinuous"/>
    </xf>
    <xf numFmtId="0" fontId="41" fillId="0" borderId="4" xfId="3" applyFont="1" applyBorder="1" applyAlignment="1">
      <alignment horizontal="centerContinuous"/>
    </xf>
    <xf numFmtId="0" fontId="41" fillId="0" borderId="17" xfId="3" applyFont="1" applyBorder="1" applyAlignment="1">
      <alignment horizontal="centerContinuous"/>
    </xf>
    <xf numFmtId="0" fontId="35" fillId="0" borderId="11" xfId="3" applyFont="1" applyBorder="1"/>
    <xf numFmtId="0" fontId="35" fillId="0" borderId="10" xfId="3" applyFont="1" applyBorder="1"/>
    <xf numFmtId="0" fontId="59" fillId="11" borderId="0" xfId="3" applyFont="1" applyFill="1" applyBorder="1"/>
    <xf numFmtId="0" fontId="35" fillId="0" borderId="3" xfId="3" applyFont="1" applyBorder="1"/>
    <xf numFmtId="0" fontId="35" fillId="0" borderId="2" xfId="3" applyFont="1" applyBorder="1"/>
    <xf numFmtId="0" fontId="35" fillId="0" borderId="15" xfId="3" applyFont="1" applyBorder="1"/>
    <xf numFmtId="0" fontId="41" fillId="0" borderId="0" xfId="3" applyFont="1" applyAlignment="1">
      <alignment horizontal="centerContinuous"/>
    </xf>
    <xf numFmtId="217" fontId="65" fillId="0" borderId="0" xfId="3" applyNumberFormat="1" applyFont="1"/>
    <xf numFmtId="209" fontId="33" fillId="0" borderId="4" xfId="3" applyNumberFormat="1" applyFont="1" applyBorder="1"/>
    <xf numFmtId="8" fontId="35" fillId="0" borderId="0" xfId="3" applyNumberFormat="1" applyFont="1" applyBorder="1"/>
    <xf numFmtId="218" fontId="33" fillId="0" borderId="13" xfId="3" applyNumberFormat="1" applyFont="1" applyBorder="1"/>
    <xf numFmtId="177" fontId="35" fillId="0" borderId="0" xfId="3" applyNumberFormat="1" applyFont="1" applyBorder="1"/>
    <xf numFmtId="209" fontId="35" fillId="0" borderId="0" xfId="3" applyNumberFormat="1" applyFont="1" applyBorder="1"/>
    <xf numFmtId="9" fontId="33" fillId="0" borderId="0" xfId="3" applyNumberFormat="1" applyFont="1" applyBorder="1"/>
    <xf numFmtId="212" fontId="35" fillId="0" borderId="0" xfId="3" applyNumberFormat="1" applyFont="1" applyBorder="1"/>
    <xf numFmtId="9" fontId="35" fillId="0" borderId="0" xfId="3" applyNumberFormat="1" applyFont="1" applyBorder="1"/>
    <xf numFmtId="209" fontId="35" fillId="0" borderId="4" xfId="3" applyNumberFormat="1" applyFont="1" applyBorder="1"/>
    <xf numFmtId="218" fontId="35" fillId="0" borderId="13" xfId="3" applyNumberFormat="1" applyFont="1" applyBorder="1"/>
    <xf numFmtId="7" fontId="90" fillId="0" borderId="0" xfId="3" applyNumberFormat="1" applyFont="1" applyBorder="1" applyAlignment="1">
      <alignment horizontal="right"/>
    </xf>
    <xf numFmtId="7" fontId="41" fillId="0" borderId="0" xfId="3" applyNumberFormat="1" applyFont="1" applyBorder="1" applyAlignment="1">
      <alignment horizontal="right"/>
    </xf>
    <xf numFmtId="8" fontId="41" fillId="0" borderId="0" xfId="3" applyNumberFormat="1" applyFont="1" applyBorder="1"/>
    <xf numFmtId="0" fontId="40" fillId="5" borderId="0" xfId="3" applyFont="1" applyFill="1" applyBorder="1"/>
    <xf numFmtId="217" fontId="35" fillId="0" borderId="40" xfId="3" applyNumberFormat="1" applyFont="1" applyBorder="1" applyAlignment="1">
      <alignment horizontal="right"/>
    </xf>
    <xf numFmtId="217" fontId="35" fillId="0" borderId="0" xfId="3" applyNumberFormat="1" applyFont="1" applyAlignment="1">
      <alignment horizontal="left"/>
    </xf>
    <xf numFmtId="217" fontId="57" fillId="0" borderId="0" xfId="3" applyNumberFormat="1" applyFont="1" applyAlignment="1">
      <alignment horizontal="left" indent="1"/>
    </xf>
    <xf numFmtId="217" fontId="57" fillId="0" borderId="0" xfId="3" applyNumberFormat="1" applyFont="1" applyAlignment="1">
      <alignment horizontal="left"/>
    </xf>
    <xf numFmtId="217" fontId="65" fillId="0" borderId="0" xfId="3" applyNumberFormat="1" applyFont="1" applyBorder="1"/>
    <xf numFmtId="218" fontId="33" fillId="0" borderId="0" xfId="3" applyNumberFormat="1" applyFont="1" applyBorder="1"/>
    <xf numFmtId="0" fontId="51" fillId="13" borderId="34" xfId="3" applyFont="1" applyFill="1" applyBorder="1" applyAlignment="1">
      <alignment horizontal="centerContinuous"/>
    </xf>
    <xf numFmtId="0" fontId="51" fillId="13" borderId="34" xfId="3" applyFont="1" applyFill="1" applyBorder="1"/>
    <xf numFmtId="217" fontId="35" fillId="0" borderId="0" xfId="3" applyNumberFormat="1" applyFont="1" applyAlignment="1">
      <alignment horizontal="center"/>
    </xf>
    <xf numFmtId="8" fontId="44" fillId="0" borderId="31" xfId="3" applyNumberFormat="1" applyFont="1" applyBorder="1" applyAlignment="1">
      <alignment horizontal="centerContinuous"/>
    </xf>
    <xf numFmtId="0" fontId="35" fillId="0" borderId="32" xfId="3" applyFont="1" applyBorder="1" applyAlignment="1">
      <alignment horizontal="centerContinuous"/>
    </xf>
    <xf numFmtId="0" fontId="35" fillId="0" borderId="33" xfId="3" applyFont="1" applyBorder="1" applyAlignment="1">
      <alignment horizontal="centerContinuous"/>
    </xf>
    <xf numFmtId="227" fontId="44" fillId="0" borderId="43" xfId="3" applyNumberFormat="1" applyFont="1" applyBorder="1" applyAlignment="1">
      <alignment horizontal="centerContinuous"/>
    </xf>
    <xf numFmtId="227" fontId="35" fillId="0" borderId="40" xfId="3" applyNumberFormat="1" applyFont="1" applyBorder="1" applyAlignment="1">
      <alignment horizontal="centerContinuous"/>
    </xf>
    <xf numFmtId="227" fontId="35" fillId="0" borderId="50" xfId="3" applyNumberFormat="1" applyFont="1" applyBorder="1" applyAlignment="1">
      <alignment horizontal="centerContinuous"/>
    </xf>
    <xf numFmtId="227" fontId="35" fillId="0" borderId="43" xfId="3" applyNumberFormat="1" applyFont="1" applyBorder="1" applyAlignment="1">
      <alignment horizontal="centerContinuous"/>
    </xf>
    <xf numFmtId="0" fontId="35" fillId="0" borderId="50" xfId="3" applyFont="1" applyBorder="1"/>
    <xf numFmtId="217" fontId="44" fillId="0" borderId="42" xfId="3" applyNumberFormat="1" applyFont="1" applyBorder="1"/>
    <xf numFmtId="236" fontId="54" fillId="0" borderId="42" xfId="3" applyNumberFormat="1" applyFont="1" applyBorder="1"/>
    <xf numFmtId="169" fontId="44" fillId="0" borderId="42" xfId="3" applyNumberFormat="1" applyFont="1" applyBorder="1"/>
    <xf numFmtId="229" fontId="44" fillId="0" borderId="42" xfId="3" applyNumberFormat="1" applyFont="1" applyBorder="1"/>
    <xf numFmtId="209" fontId="44" fillId="0" borderId="42" xfId="3" applyNumberFormat="1" applyFont="1" applyBorder="1"/>
    <xf numFmtId="212" fontId="44" fillId="0" borderId="0" xfId="3" applyNumberFormat="1" applyFont="1" applyBorder="1"/>
    <xf numFmtId="7" fontId="33" fillId="0" borderId="0" xfId="3" applyNumberFormat="1" applyFont="1" applyAlignment="1">
      <alignment horizontal="right"/>
    </xf>
    <xf numFmtId="177" fontId="35" fillId="0" borderId="31" xfId="3" applyNumberFormat="1" applyFont="1" applyBorder="1"/>
    <xf numFmtId="236" fontId="35" fillId="0" borderId="0" xfId="3" applyNumberFormat="1" applyFont="1"/>
    <xf numFmtId="169" fontId="35" fillId="0" borderId="33" xfId="3" applyNumberFormat="1" applyFont="1" applyBorder="1"/>
    <xf numFmtId="177" fontId="35" fillId="0" borderId="0" xfId="3" applyNumberFormat="1" applyFont="1"/>
    <xf numFmtId="217" fontId="35" fillId="0" borderId="31" xfId="3" applyNumberFormat="1" applyFont="1" applyBorder="1"/>
    <xf numFmtId="217" fontId="35" fillId="0" borderId="32" xfId="3" applyNumberFormat="1" applyFont="1" applyBorder="1"/>
    <xf numFmtId="217" fontId="35" fillId="0" borderId="33" xfId="3" applyNumberFormat="1" applyFont="1" applyBorder="1"/>
    <xf numFmtId="209" fontId="35" fillId="0" borderId="31" xfId="3" applyNumberFormat="1" applyFont="1" applyBorder="1"/>
    <xf numFmtId="209" fontId="35" fillId="0" borderId="32" xfId="3" applyNumberFormat="1" applyFont="1" applyBorder="1"/>
    <xf numFmtId="209" fontId="35" fillId="0" borderId="33" xfId="3" applyNumberFormat="1" applyFont="1" applyBorder="1"/>
    <xf numFmtId="212" fontId="33" fillId="0" borderId="0" xfId="3" applyNumberFormat="1" applyFont="1" applyBorder="1"/>
    <xf numFmtId="169" fontId="35" fillId="0" borderId="0" xfId="3" applyNumberFormat="1" applyFont="1"/>
    <xf numFmtId="0" fontId="90" fillId="0" borderId="0" xfId="3" applyFont="1" applyAlignment="1">
      <alignment horizontal="right"/>
    </xf>
    <xf numFmtId="169" fontId="79" fillId="0" borderId="0" xfId="3" applyNumberFormat="1" applyFont="1" applyAlignment="1">
      <alignment horizontal="right"/>
    </xf>
    <xf numFmtId="229" fontId="79" fillId="0" borderId="0" xfId="3" applyNumberFormat="1" applyFont="1" applyAlignment="1">
      <alignment horizontal="right"/>
    </xf>
    <xf numFmtId="7" fontId="79" fillId="0" borderId="0" xfId="3" applyNumberFormat="1" applyFont="1" applyBorder="1" applyAlignment="1">
      <alignment horizontal="right"/>
    </xf>
    <xf numFmtId="7" fontId="41" fillId="0" borderId="0" xfId="3" applyNumberFormat="1" applyFont="1" applyAlignment="1">
      <alignment horizontal="right"/>
    </xf>
    <xf numFmtId="0" fontId="41" fillId="0" borderId="0" xfId="3" applyFont="1" applyAlignment="1">
      <alignment horizontal="right"/>
    </xf>
    <xf numFmtId="8" fontId="41" fillId="0" borderId="0" xfId="3" applyNumberFormat="1" applyFont="1"/>
    <xf numFmtId="0" fontId="35" fillId="0" borderId="2" xfId="0" applyFont="1" applyFill="1" applyBorder="1" applyAlignment="1">
      <alignment horizontal="centerContinuous"/>
    </xf>
    <xf numFmtId="208" fontId="44" fillId="0" borderId="42" xfId="3" applyNumberFormat="1" applyFont="1" applyBorder="1"/>
    <xf numFmtId="208" fontId="44" fillId="0" borderId="43" xfId="3" applyNumberFormat="1" applyFont="1" applyBorder="1"/>
    <xf numFmtId="208" fontId="35" fillId="0" borderId="31" xfId="3" applyNumberFormat="1" applyFont="1" applyBorder="1"/>
    <xf numFmtId="208" fontId="35" fillId="0" borderId="32" xfId="3" applyNumberFormat="1" applyFont="1" applyBorder="1"/>
    <xf numFmtId="208" fontId="35" fillId="0" borderId="33" xfId="3" applyNumberFormat="1" applyFont="1" applyBorder="1"/>
    <xf numFmtId="39" fontId="35" fillId="0" borderId="0" xfId="3" applyNumberFormat="1" applyFont="1"/>
    <xf numFmtId="208" fontId="79" fillId="0" borderId="0" xfId="3" applyNumberFormat="1" applyFont="1" applyAlignment="1">
      <alignment horizontal="right"/>
    </xf>
    <xf numFmtId="208" fontId="41" fillId="0" borderId="0" xfId="3" applyNumberFormat="1" applyFont="1" applyAlignment="1">
      <alignment horizontal="right"/>
    </xf>
    <xf numFmtId="167" fontId="41" fillId="0" borderId="0" xfId="3" applyNumberFormat="1" applyFont="1"/>
    <xf numFmtId="0" fontId="41" fillId="0" borderId="0" xfId="3" applyFont="1" applyBorder="1" applyAlignment="1">
      <alignment horizontal="centerContinuous"/>
    </xf>
    <xf numFmtId="209" fontId="33" fillId="0" borderId="0" xfId="3" applyNumberFormat="1" applyFont="1" applyBorder="1"/>
    <xf numFmtId="0" fontId="103" fillId="0" borderId="0" xfId="3" applyFont="1" applyBorder="1" applyAlignment="1">
      <alignment horizontal="right" indent="1"/>
    </xf>
    <xf numFmtId="0" fontId="104" fillId="0" borderId="0" xfId="3" applyFont="1" applyBorder="1" applyAlignment="1">
      <alignment horizontal="right"/>
    </xf>
    <xf numFmtId="0" fontId="59" fillId="11" borderId="0" xfId="3" applyFont="1" applyFill="1" applyBorder="1" applyAlignment="1">
      <alignment horizontal="centerContinuous"/>
    </xf>
    <xf numFmtId="0" fontId="40" fillId="0" borderId="0" xfId="3" applyFont="1" applyFill="1" applyBorder="1" applyAlignment="1"/>
    <xf numFmtId="214" fontId="44" fillId="0" borderId="0" xfId="3" applyNumberFormat="1" applyFont="1" applyAlignment="1">
      <alignment horizontal="right"/>
    </xf>
    <xf numFmtId="0" fontId="100" fillId="0" borderId="0" xfId="3" applyFont="1" applyAlignment="1">
      <alignment horizontal="centerContinuous"/>
    </xf>
    <xf numFmtId="0" fontId="43" fillId="0" borderId="0" xfId="3" applyFont="1" applyAlignment="1">
      <alignment horizontal="centerContinuous"/>
    </xf>
    <xf numFmtId="0" fontId="105" fillId="0" borderId="0" xfId="3" applyFont="1"/>
    <xf numFmtId="227" fontId="44" fillId="0" borderId="8" xfId="3" applyNumberFormat="1" applyFont="1" applyBorder="1" applyAlignment="1">
      <alignment horizontal="center"/>
    </xf>
    <xf numFmtId="227" fontId="35" fillId="0" borderId="8" xfId="3" applyNumberFormat="1" applyFont="1" applyBorder="1" applyAlignment="1">
      <alignment horizontal="center"/>
    </xf>
    <xf numFmtId="7" fontId="44" fillId="0" borderId="26" xfId="3" applyNumberFormat="1" applyFont="1" applyBorder="1" applyAlignment="1">
      <alignment horizontal="right"/>
    </xf>
    <xf numFmtId="7" fontId="44" fillId="0" borderId="25" xfId="3" applyNumberFormat="1" applyFont="1" applyBorder="1" applyAlignment="1">
      <alignment horizontal="right"/>
    </xf>
    <xf numFmtId="7" fontId="44" fillId="0" borderId="24" xfId="3" applyNumberFormat="1" applyFont="1" applyBorder="1" applyAlignment="1">
      <alignment horizontal="right"/>
    </xf>
    <xf numFmtId="209" fontId="44" fillId="0" borderId="5" xfId="3" applyNumberFormat="1" applyFont="1" applyBorder="1"/>
    <xf numFmtId="177" fontId="42" fillId="0" borderId="0" xfId="3" applyNumberFormat="1" applyFont="1" applyAlignment="1">
      <alignment horizontal="right"/>
    </xf>
    <xf numFmtId="0" fontId="35" fillId="0" borderId="0" xfId="3" quotePrefix="1" applyFont="1"/>
    <xf numFmtId="39" fontId="35" fillId="0" borderId="0" xfId="3" applyNumberFormat="1" applyFont="1" applyAlignment="1">
      <alignment horizontal="right"/>
    </xf>
    <xf numFmtId="177" fontId="41" fillId="0" borderId="0" xfId="3" applyNumberFormat="1" applyFont="1" applyAlignment="1">
      <alignment horizontal="right"/>
    </xf>
    <xf numFmtId="232" fontId="33" fillId="0" borderId="5" xfId="3" applyNumberFormat="1" applyFont="1" applyBorder="1"/>
    <xf numFmtId="232" fontId="35" fillId="0" borderId="0" xfId="3" applyNumberFormat="1" applyFont="1"/>
    <xf numFmtId="7" fontId="44" fillId="0" borderId="0" xfId="3" applyNumberFormat="1" applyFont="1" applyFill="1" applyAlignment="1">
      <alignment horizontal="right"/>
    </xf>
    <xf numFmtId="164" fontId="41" fillId="0" borderId="2" xfId="3" applyNumberFormat="1" applyFont="1" applyBorder="1"/>
    <xf numFmtId="164" fontId="33" fillId="0" borderId="2" xfId="3" applyNumberFormat="1" applyFont="1" applyBorder="1"/>
    <xf numFmtId="164" fontId="33" fillId="0" borderId="2" xfId="3" applyNumberFormat="1" applyFont="1" applyFill="1" applyBorder="1"/>
    <xf numFmtId="0" fontId="33" fillId="0" borderId="5" xfId="3" applyFont="1" applyFill="1" applyBorder="1" applyAlignment="1">
      <alignment horizontal="center"/>
    </xf>
    <xf numFmtId="0" fontId="33" fillId="0" borderId="0" xfId="3" applyFont="1" applyFill="1" applyBorder="1" applyAlignment="1">
      <alignment horizontal="center"/>
    </xf>
    <xf numFmtId="0" fontId="65" fillId="0" borderId="0" xfId="3" applyFont="1" applyAlignment="1">
      <alignment horizontal="center"/>
    </xf>
    <xf numFmtId="212" fontId="33" fillId="0" borderId="26" xfId="3" applyNumberFormat="1" applyFont="1" applyBorder="1"/>
    <xf numFmtId="223" fontId="33" fillId="0" borderId="26" xfId="3" applyNumberFormat="1" applyFont="1" applyBorder="1"/>
    <xf numFmtId="210" fontId="33" fillId="0" borderId="25" xfId="3" applyNumberFormat="1" applyFont="1" applyBorder="1" applyAlignment="1">
      <alignment horizontal="right" indent="1"/>
    </xf>
    <xf numFmtId="208" fontId="35" fillId="0" borderId="24" xfId="3" applyNumberFormat="1" applyFont="1" applyFill="1" applyBorder="1"/>
    <xf numFmtId="164" fontId="33" fillId="0" borderId="0" xfId="3" applyNumberFormat="1" applyFont="1" applyBorder="1"/>
    <xf numFmtId="229" fontId="33" fillId="0" borderId="50" xfId="3" applyNumberFormat="1" applyFont="1" applyBorder="1"/>
    <xf numFmtId="247" fontId="35" fillId="0" borderId="42" xfId="3" applyNumberFormat="1" applyFont="1" applyFill="1" applyBorder="1"/>
    <xf numFmtId="215" fontId="35" fillId="0" borderId="42" xfId="3" applyNumberFormat="1" applyFont="1" applyFill="1" applyBorder="1"/>
    <xf numFmtId="229" fontId="35" fillId="0" borderId="43" xfId="3" applyNumberFormat="1" applyFont="1" applyBorder="1"/>
    <xf numFmtId="223" fontId="35" fillId="0" borderId="0" xfId="3" applyNumberFormat="1" applyFont="1"/>
    <xf numFmtId="210" fontId="33" fillId="0" borderId="0" xfId="3" applyNumberFormat="1" applyFont="1" applyBorder="1" applyAlignment="1">
      <alignment horizontal="right" indent="1"/>
    </xf>
    <xf numFmtId="247" fontId="35" fillId="0" borderId="0" xfId="3" applyNumberFormat="1" applyFont="1" applyFill="1" applyBorder="1"/>
    <xf numFmtId="215" fontId="35" fillId="0" borderId="0" xfId="3" applyNumberFormat="1" applyFont="1" applyFill="1" applyBorder="1"/>
    <xf numFmtId="210" fontId="35" fillId="0" borderId="2" xfId="3" applyNumberFormat="1" applyFont="1" applyFill="1" applyBorder="1"/>
    <xf numFmtId="239" fontId="35" fillId="0" borderId="0" xfId="3" applyNumberFormat="1" applyFont="1" applyFill="1" applyBorder="1" applyAlignment="1"/>
    <xf numFmtId="208" fontId="35" fillId="0" borderId="26" xfId="3" applyNumberFormat="1" applyFont="1" applyBorder="1" applyAlignment="1">
      <alignment horizontal="right"/>
    </xf>
    <xf numFmtId="208" fontId="35" fillId="0" borderId="25" xfId="3" applyNumberFormat="1" applyFont="1" applyBorder="1" applyAlignment="1">
      <alignment horizontal="right"/>
    </xf>
    <xf numFmtId="208" fontId="35" fillId="0" borderId="24" xfId="3" applyNumberFormat="1" applyFont="1" applyBorder="1" applyAlignment="1">
      <alignment horizontal="right"/>
    </xf>
    <xf numFmtId="0" fontId="33" fillId="0" borderId="0" xfId="3" applyFont="1" applyAlignment="1">
      <alignment horizontal="left" indent="1"/>
    </xf>
    <xf numFmtId="247" fontId="35" fillId="0" borderId="40" xfId="3" applyNumberFormat="1" applyFont="1" applyFill="1" applyBorder="1"/>
    <xf numFmtId="229" fontId="35" fillId="0" borderId="40" xfId="3" applyNumberFormat="1" applyFont="1" applyFill="1" applyBorder="1"/>
    <xf numFmtId="208" fontId="35" fillId="0" borderId="50" xfId="3" applyNumberFormat="1" applyFont="1" applyBorder="1" applyAlignment="1">
      <alignment horizontal="right"/>
    </xf>
    <xf numFmtId="175" fontId="35" fillId="0" borderId="12" xfId="3" applyNumberFormat="1" applyFont="1" applyBorder="1"/>
    <xf numFmtId="0" fontId="79" fillId="0" borderId="0" xfId="3" applyFont="1" applyAlignment="1">
      <alignment horizontal="center"/>
    </xf>
    <xf numFmtId="0" fontId="79" fillId="0" borderId="0" xfId="3" applyFont="1" applyAlignment="1">
      <alignment horizontal="centerContinuous"/>
    </xf>
    <xf numFmtId="0" fontId="35" fillId="0" borderId="8" xfId="3" applyFont="1" applyBorder="1" applyAlignment="1">
      <alignment horizontal="center"/>
    </xf>
    <xf numFmtId="0" fontId="41" fillId="0" borderId="2" xfId="3" applyFont="1" applyFill="1" applyBorder="1" applyAlignment="1">
      <alignment horizontal="left"/>
    </xf>
    <xf numFmtId="7" fontId="44" fillId="0" borderId="8" xfId="3" applyNumberFormat="1" applyFont="1" applyBorder="1"/>
    <xf numFmtId="7" fontId="44" fillId="0" borderId="26" xfId="3" applyNumberFormat="1" applyFont="1" applyBorder="1"/>
    <xf numFmtId="7" fontId="35" fillId="0" borderId="24" xfId="3" applyNumberFormat="1" applyFont="1" applyBorder="1"/>
    <xf numFmtId="0" fontId="33" fillId="0" borderId="40" xfId="3" applyFont="1" applyBorder="1" applyAlignment="1">
      <alignment horizontal="center"/>
    </xf>
    <xf numFmtId="223" fontId="33" fillId="0" borderId="40" xfId="3" applyNumberFormat="1" applyFont="1" applyBorder="1"/>
    <xf numFmtId="240" fontId="33" fillId="0" borderId="40" xfId="3" applyNumberFormat="1" applyFont="1" applyBorder="1"/>
    <xf numFmtId="175" fontId="35" fillId="0" borderId="8" xfId="3" applyNumberFormat="1" applyFont="1" applyBorder="1"/>
    <xf numFmtId="175" fontId="35" fillId="0" borderId="26" xfId="3" applyNumberFormat="1" applyFont="1" applyBorder="1"/>
    <xf numFmtId="175" fontId="35" fillId="0" borderId="24" xfId="3" applyNumberFormat="1" applyFont="1" applyBorder="1"/>
    <xf numFmtId="0" fontId="33" fillId="0" borderId="0" xfId="3" applyFont="1" applyBorder="1" applyAlignment="1">
      <alignment horizontal="center"/>
    </xf>
    <xf numFmtId="223" fontId="33" fillId="0" borderId="0" xfId="3" applyNumberFormat="1" applyFont="1" applyBorder="1"/>
    <xf numFmtId="240" fontId="33" fillId="0" borderId="0" xfId="3" applyNumberFormat="1" applyFont="1" applyBorder="1"/>
    <xf numFmtId="0" fontId="44" fillId="0" borderId="0" xfId="3" applyFont="1" applyAlignment="1">
      <alignment horizontal="center"/>
    </xf>
    <xf numFmtId="177" fontId="33" fillId="0" borderId="0" xfId="3" applyNumberFormat="1" applyFont="1" applyAlignment="1">
      <alignment horizontal="left"/>
    </xf>
    <xf numFmtId="0" fontId="35" fillId="0" borderId="29" xfId="3" applyFont="1" applyBorder="1" applyAlignment="1">
      <alignment horizontal="center"/>
    </xf>
    <xf numFmtId="0" fontId="35" fillId="0" borderId="16" xfId="3" applyFont="1" applyBorder="1" applyAlignment="1">
      <alignment horizontal="centerContinuous"/>
    </xf>
    <xf numFmtId="0" fontId="35" fillId="0" borderId="9" xfId="3" applyFont="1" applyBorder="1" applyAlignment="1">
      <alignment horizontal="centerContinuous"/>
    </xf>
    <xf numFmtId="209" fontId="44" fillId="0" borderId="40" xfId="3" applyNumberFormat="1" applyFont="1" applyBorder="1"/>
    <xf numFmtId="169" fontId="35" fillId="0" borderId="52" xfId="3" applyNumberFormat="1" applyFont="1" applyBorder="1"/>
    <xf numFmtId="209" fontId="44" fillId="0" borderId="46" xfId="3" applyNumberFormat="1" applyFont="1" applyFill="1" applyBorder="1"/>
    <xf numFmtId="169" fontId="35" fillId="0" borderId="51" xfId="3" applyNumberFormat="1" applyFont="1" applyBorder="1"/>
    <xf numFmtId="169" fontId="35" fillId="0" borderId="44" xfId="3" applyNumberFormat="1" applyFont="1" applyBorder="1"/>
    <xf numFmtId="169" fontId="35" fillId="0" borderId="13" xfId="3" applyNumberFormat="1" applyFont="1" applyBorder="1"/>
    <xf numFmtId="169" fontId="35" fillId="0" borderId="11" xfId="3" applyNumberFormat="1" applyFont="1" applyBorder="1"/>
    <xf numFmtId="169" fontId="35" fillId="0" borderId="10" xfId="3" applyNumberFormat="1" applyFont="1" applyBorder="1"/>
    <xf numFmtId="0" fontId="44" fillId="0" borderId="0" xfId="3" applyFont="1" applyBorder="1" applyAlignment="1">
      <alignment horizontal="right"/>
    </xf>
    <xf numFmtId="0" fontId="35" fillId="0" borderId="13" xfId="3" applyFont="1" applyBorder="1"/>
    <xf numFmtId="0" fontId="44" fillId="0" borderId="0" xfId="3" applyFont="1" applyAlignment="1">
      <alignment horizontal="right"/>
    </xf>
    <xf numFmtId="217" fontId="35" fillId="0" borderId="2" xfId="3" applyNumberFormat="1" applyFont="1" applyBorder="1"/>
    <xf numFmtId="164" fontId="35" fillId="0" borderId="13" xfId="3" applyNumberFormat="1" applyFont="1" applyBorder="1"/>
    <xf numFmtId="164" fontId="35" fillId="0" borderId="11" xfId="3" applyNumberFormat="1" applyFont="1" applyBorder="1"/>
    <xf numFmtId="164" fontId="35" fillId="0" borderId="10" xfId="3" applyNumberFormat="1" applyFont="1" applyBorder="1"/>
    <xf numFmtId="169" fontId="35" fillId="0" borderId="14" xfId="3" applyNumberFormat="1" applyFont="1" applyBorder="1"/>
    <xf numFmtId="169" fontId="35" fillId="0" borderId="3" xfId="3" applyNumberFormat="1" applyFont="1" applyBorder="1"/>
    <xf numFmtId="169" fontId="35" fillId="0" borderId="15" xfId="3" applyNumberFormat="1" applyFont="1" applyBorder="1"/>
    <xf numFmtId="169" fontId="35" fillId="0" borderId="0" xfId="3" applyNumberFormat="1" applyFont="1" applyBorder="1"/>
    <xf numFmtId="217" fontId="35" fillId="0" borderId="26" xfId="3" applyNumberFormat="1" applyFont="1" applyBorder="1" applyAlignment="1">
      <alignment horizontal="right"/>
    </xf>
    <xf numFmtId="217" fontId="35" fillId="0" borderId="24" xfId="3" applyNumberFormat="1" applyFont="1" applyBorder="1" applyAlignment="1">
      <alignment horizontal="right"/>
    </xf>
    <xf numFmtId="0" fontId="57" fillId="0" borderId="0" xfId="3" applyFont="1" applyBorder="1"/>
    <xf numFmtId="229" fontId="44" fillId="0" borderId="0" xfId="3" applyNumberFormat="1" applyFont="1" applyAlignment="1">
      <alignment horizontal="right"/>
    </xf>
    <xf numFmtId="210" fontId="54" fillId="0" borderId="8" xfId="3" applyNumberFormat="1" applyFont="1" applyBorder="1" applyAlignment="1">
      <alignment horizontal="right"/>
    </xf>
    <xf numFmtId="0" fontId="35" fillId="0" borderId="40" xfId="3" applyFont="1" applyBorder="1" applyAlignment="1">
      <alignment horizontal="right"/>
    </xf>
    <xf numFmtId="0" fontId="35" fillId="0" borderId="8" xfId="3" applyFont="1" applyBorder="1" applyAlignment="1"/>
    <xf numFmtId="210" fontId="54" fillId="0" borderId="8" xfId="3" applyNumberFormat="1" applyFont="1" applyBorder="1"/>
    <xf numFmtId="169" fontId="35" fillId="0" borderId="8" xfId="3" applyNumberFormat="1" applyFont="1" applyBorder="1"/>
    <xf numFmtId="0" fontId="56" fillId="0" borderId="0" xfId="3" applyFont="1" applyBorder="1"/>
    <xf numFmtId="210" fontId="54" fillId="0" borderId="0" xfId="3" applyNumberFormat="1" applyFont="1" applyBorder="1" applyAlignment="1">
      <alignment horizontal="right"/>
    </xf>
    <xf numFmtId="167" fontId="35" fillId="0" borderId="0" xfId="3" applyNumberFormat="1" applyFont="1" applyBorder="1" applyAlignment="1"/>
    <xf numFmtId="0" fontId="39" fillId="12" borderId="34" xfId="3" applyFont="1" applyFill="1" applyBorder="1" applyAlignment="1">
      <alignment horizontal="left"/>
    </xf>
    <xf numFmtId="0" fontId="65" fillId="12" borderId="34" xfId="3" applyFont="1" applyFill="1" applyBorder="1" applyAlignment="1">
      <alignment horizontal="centerContinuous"/>
    </xf>
    <xf numFmtId="0" fontId="65" fillId="12" borderId="34" xfId="3" applyFont="1" applyFill="1" applyBorder="1"/>
    <xf numFmtId="0" fontId="41" fillId="0" borderId="7" xfId="3" applyFont="1" applyBorder="1"/>
    <xf numFmtId="215" fontId="33" fillId="0" borderId="5" xfId="3" applyNumberFormat="1" applyFont="1" applyBorder="1" applyAlignment="1">
      <alignment horizontal="right"/>
    </xf>
    <xf numFmtId="210" fontId="35" fillId="0" borderId="0" xfId="3" applyNumberFormat="1" applyFont="1" applyBorder="1" applyAlignment="1">
      <alignment horizontal="right"/>
    </xf>
    <xf numFmtId="215" fontId="33" fillId="0" borderId="0" xfId="3" applyNumberFormat="1" applyFont="1" applyBorder="1" applyAlignment="1">
      <alignment horizontal="center"/>
    </xf>
    <xf numFmtId="227" fontId="35" fillId="0" borderId="0" xfId="3" applyNumberFormat="1" applyFont="1" applyBorder="1" applyAlignment="1">
      <alignment horizontal="center"/>
    </xf>
    <xf numFmtId="208" fontId="35" fillId="0" borderId="8" xfId="3" applyNumberFormat="1" applyFont="1" applyBorder="1" applyAlignment="1">
      <alignment horizontal="right"/>
    </xf>
    <xf numFmtId="208" fontId="33" fillId="0" borderId="26" xfId="3" applyNumberFormat="1" applyFont="1" applyBorder="1"/>
    <xf numFmtId="208" fontId="35" fillId="0" borderId="24" xfId="3" applyNumberFormat="1" applyFont="1" applyBorder="1"/>
    <xf numFmtId="232" fontId="33" fillId="0" borderId="0" xfId="3" applyNumberFormat="1" applyFont="1" applyBorder="1"/>
    <xf numFmtId="232" fontId="35" fillId="0" borderId="0" xfId="3" applyNumberFormat="1" applyFont="1" applyBorder="1"/>
    <xf numFmtId="217" fontId="33" fillId="0" borderId="0" xfId="3" applyNumberFormat="1" applyFont="1" applyAlignment="1">
      <alignment horizontal="right"/>
    </xf>
    <xf numFmtId="0" fontId="35" fillId="0" borderId="0" xfId="3" applyFont="1" applyBorder="1" applyAlignment="1">
      <alignment horizontal="left" indent="1"/>
    </xf>
    <xf numFmtId="175" fontId="35" fillId="0" borderId="41" xfId="3" applyNumberFormat="1" applyFont="1" applyBorder="1"/>
    <xf numFmtId="175" fontId="35" fillId="0" borderId="42" xfId="3" applyNumberFormat="1" applyFont="1" applyBorder="1"/>
    <xf numFmtId="175" fontId="35" fillId="0" borderId="43" xfId="3" applyNumberFormat="1" applyFont="1" applyBorder="1"/>
    <xf numFmtId="217" fontId="33" fillId="0" borderId="0" xfId="3" applyNumberFormat="1" applyFont="1" applyBorder="1"/>
    <xf numFmtId="215" fontId="33" fillId="0" borderId="0" xfId="3" applyNumberFormat="1" applyFont="1" applyBorder="1"/>
    <xf numFmtId="215" fontId="33" fillId="0" borderId="0" xfId="3" applyNumberFormat="1" applyFont="1" applyAlignment="1">
      <alignment horizontal="right"/>
    </xf>
    <xf numFmtId="210" fontId="35" fillId="0" borderId="7" xfId="3" applyNumberFormat="1" applyFont="1" applyBorder="1"/>
    <xf numFmtId="210" fontId="35" fillId="0" borderId="8" xfId="3" applyNumberFormat="1" applyFont="1" applyBorder="1" applyAlignment="1">
      <alignment horizontal="right"/>
    </xf>
    <xf numFmtId="208" fontId="35" fillId="0" borderId="0" xfId="3" applyNumberFormat="1" applyFont="1" applyBorder="1" applyAlignment="1">
      <alignment horizontal="right"/>
    </xf>
    <xf numFmtId="215" fontId="33" fillId="0" borderId="45" xfId="3" applyNumberFormat="1" applyFont="1" applyBorder="1"/>
    <xf numFmtId="232" fontId="33" fillId="0" borderId="14" xfId="3" applyNumberFormat="1" applyFont="1" applyBorder="1"/>
    <xf numFmtId="208" fontId="35" fillId="0" borderId="40" xfId="3" applyNumberFormat="1" applyFont="1" applyBorder="1" applyAlignment="1">
      <alignment horizontal="right"/>
    </xf>
    <xf numFmtId="222" fontId="35" fillId="0" borderId="4" xfId="3" applyNumberFormat="1" applyFont="1" applyBorder="1" applyAlignment="1">
      <alignment horizontal="center"/>
    </xf>
    <xf numFmtId="217" fontId="33" fillId="0" borderId="26" xfId="3" applyNumberFormat="1" applyFont="1" applyBorder="1"/>
    <xf numFmtId="0" fontId="43" fillId="0" borderId="0" xfId="3" applyFont="1" applyBorder="1" applyAlignment="1">
      <alignment horizontal="centerContinuous"/>
    </xf>
    <xf numFmtId="210" fontId="41" fillId="0" borderId="7" xfId="3" applyNumberFormat="1" applyFont="1" applyBorder="1"/>
    <xf numFmtId="205" fontId="35" fillId="0" borderId="0" xfId="3" applyNumberFormat="1" applyFont="1" applyBorder="1"/>
    <xf numFmtId="0" fontId="41" fillId="0" borderId="7" xfId="3" applyFont="1" applyFill="1" applyBorder="1" applyAlignment="1">
      <alignment horizontal="left"/>
    </xf>
    <xf numFmtId="167" fontId="35" fillId="0" borderId="0" xfId="3" applyNumberFormat="1" applyFont="1" applyBorder="1" applyAlignment="1">
      <alignment horizontal="center"/>
    </xf>
    <xf numFmtId="210" fontId="35" fillId="0" borderId="8" xfId="3" applyNumberFormat="1" applyFont="1" applyBorder="1" applyAlignment="1">
      <alignment horizontal="right" indent="1"/>
    </xf>
    <xf numFmtId="210" fontId="54" fillId="0" borderId="0" xfId="3" applyNumberFormat="1" applyFont="1" applyBorder="1" applyAlignment="1">
      <alignment horizontal="right" indent="1"/>
    </xf>
    <xf numFmtId="212" fontId="54" fillId="0" borderId="0" xfId="3" applyNumberFormat="1" applyFont="1" applyBorder="1"/>
    <xf numFmtId="210" fontId="35" fillId="0" borderId="0" xfId="3" applyNumberFormat="1" applyFont="1" applyBorder="1" applyAlignment="1">
      <alignment horizontal="right" indent="1"/>
    </xf>
    <xf numFmtId="223" fontId="33" fillId="0" borderId="25" xfId="3" applyNumberFormat="1" applyFont="1" applyBorder="1" applyAlignment="1">
      <alignment horizontal="right"/>
    </xf>
    <xf numFmtId="208" fontId="35" fillId="0" borderId="55" xfId="3" applyNumberFormat="1" applyFont="1" applyBorder="1" applyAlignment="1">
      <alignment horizontal="right"/>
    </xf>
    <xf numFmtId="210" fontId="35" fillId="0" borderId="24" xfId="3" applyNumberFormat="1" applyFont="1" applyBorder="1" applyAlignment="1">
      <alignment horizontal="right"/>
    </xf>
    <xf numFmtId="177" fontId="35" fillId="0" borderId="0" xfId="3" applyNumberFormat="1" applyFont="1" applyFill="1"/>
    <xf numFmtId="223" fontId="33" fillId="0" borderId="0" xfId="3" applyNumberFormat="1" applyFont="1" applyBorder="1" applyAlignment="1">
      <alignment horizontal="right"/>
    </xf>
    <xf numFmtId="223" fontId="35" fillId="0" borderId="25" xfId="3" applyNumberFormat="1" applyFont="1" applyBorder="1" applyAlignment="1">
      <alignment horizontal="right"/>
    </xf>
    <xf numFmtId="210" fontId="35" fillId="0" borderId="26" xfId="3" applyNumberFormat="1" applyFont="1" applyFill="1" applyBorder="1" applyAlignment="1">
      <alignment horizontal="right" indent="1"/>
    </xf>
    <xf numFmtId="209" fontId="35" fillId="0" borderId="25" xfId="3" applyNumberFormat="1" applyFont="1" applyFill="1" applyBorder="1" applyAlignment="1">
      <alignment horizontal="right"/>
    </xf>
    <xf numFmtId="208" fontId="35" fillId="0" borderId="41" xfId="3" applyNumberFormat="1" applyFont="1" applyBorder="1" applyAlignment="1">
      <alignment horizontal="right"/>
    </xf>
    <xf numFmtId="212" fontId="35" fillId="0" borderId="42" xfId="3" applyNumberFormat="1" applyFont="1" applyBorder="1" applyAlignment="1">
      <alignment horizontal="right"/>
    </xf>
    <xf numFmtId="210" fontId="35" fillId="0" borderId="42" xfId="3" applyNumberFormat="1" applyFont="1" applyBorder="1"/>
    <xf numFmtId="210" fontId="35" fillId="0" borderId="43" xfId="3" applyNumberFormat="1" applyFont="1" applyBorder="1" applyAlignment="1">
      <alignment horizontal="right"/>
    </xf>
    <xf numFmtId="212" fontId="35" fillId="0" borderId="0" xfId="3" applyNumberFormat="1" applyFont="1" applyBorder="1" applyAlignment="1">
      <alignment horizontal="right"/>
    </xf>
    <xf numFmtId="210" fontId="35" fillId="0" borderId="0" xfId="3" applyNumberFormat="1" applyFont="1" applyFill="1" applyBorder="1" applyAlignment="1">
      <alignment horizontal="right" indent="1"/>
    </xf>
    <xf numFmtId="208" fontId="35" fillId="0" borderId="43" xfId="3" applyNumberFormat="1" applyFont="1" applyBorder="1" applyAlignment="1">
      <alignment horizontal="right"/>
    </xf>
    <xf numFmtId="223" fontId="35" fillId="0" borderId="0" xfId="3" applyNumberFormat="1" applyFont="1" applyBorder="1" applyAlignment="1">
      <alignment horizontal="right"/>
    </xf>
    <xf numFmtId="208" fontId="54" fillId="0" borderId="0" xfId="3" applyNumberFormat="1" applyFont="1" applyFill="1" applyAlignment="1">
      <alignment horizontal="right"/>
    </xf>
    <xf numFmtId="175" fontId="35" fillId="0" borderId="0" xfId="3" applyNumberFormat="1" applyFont="1" applyFill="1" applyAlignment="1">
      <alignment horizontal="right"/>
    </xf>
    <xf numFmtId="208" fontId="35" fillId="0" borderId="0" xfId="3" applyNumberFormat="1" applyFont="1" applyFill="1" applyBorder="1" applyAlignment="1">
      <alignment horizontal="right"/>
    </xf>
    <xf numFmtId="175" fontId="35" fillId="0" borderId="0" xfId="3" applyNumberFormat="1" applyFont="1" applyFill="1"/>
    <xf numFmtId="208" fontId="35" fillId="0" borderId="0" xfId="3" applyNumberFormat="1" applyFont="1" applyFill="1" applyAlignment="1">
      <alignment horizontal="right"/>
    </xf>
    <xf numFmtId="210" fontId="44" fillId="0" borderId="2" xfId="3" applyNumberFormat="1" applyFont="1" applyFill="1" applyBorder="1" applyAlignment="1">
      <alignment horizontal="right"/>
    </xf>
    <xf numFmtId="210" fontId="35" fillId="0" borderId="2" xfId="3" applyNumberFormat="1" applyFont="1" applyFill="1" applyBorder="1" applyAlignment="1">
      <alignment horizontal="right"/>
    </xf>
    <xf numFmtId="176" fontId="44" fillId="0" borderId="0" xfId="3" applyNumberFormat="1" applyFont="1" applyFill="1" applyAlignment="1">
      <alignment horizontal="right"/>
    </xf>
    <xf numFmtId="176" fontId="33" fillId="0" borderId="0" xfId="3" applyNumberFormat="1" applyFont="1" applyFill="1" applyAlignment="1">
      <alignment horizontal="right"/>
    </xf>
    <xf numFmtId="208" fontId="35" fillId="0" borderId="12" xfId="3" applyNumberFormat="1" applyFont="1" applyFill="1" applyBorder="1" applyAlignment="1">
      <alignment horizontal="right"/>
    </xf>
    <xf numFmtId="167" fontId="35" fillId="0" borderId="0" xfId="3" applyNumberFormat="1" applyFont="1" applyFill="1" applyAlignment="1">
      <alignment horizontal="right"/>
    </xf>
    <xf numFmtId="0" fontId="35" fillId="0" borderId="0" xfId="3" applyFont="1" applyFill="1" applyAlignment="1">
      <alignment horizontal="right"/>
    </xf>
    <xf numFmtId="167" fontId="35" fillId="0" borderId="0" xfId="3" applyNumberFormat="1" applyFont="1" applyFill="1" applyBorder="1" applyAlignment="1">
      <alignment horizontal="right"/>
    </xf>
    <xf numFmtId="0" fontId="35" fillId="0" borderId="0" xfId="3" applyFont="1" applyFill="1" applyBorder="1" applyAlignment="1">
      <alignment horizontal="right"/>
    </xf>
    <xf numFmtId="176" fontId="44" fillId="0" borderId="0" xfId="3" applyNumberFormat="1" applyFont="1" applyFill="1" applyBorder="1" applyAlignment="1">
      <alignment horizontal="right"/>
    </xf>
    <xf numFmtId="208" fontId="35" fillId="0" borderId="0" xfId="3" applyNumberFormat="1" applyFont="1" applyFill="1"/>
    <xf numFmtId="229" fontId="35" fillId="0" borderId="0" xfId="3" applyNumberFormat="1" applyFont="1" applyFill="1" applyAlignment="1">
      <alignment horizontal="right"/>
    </xf>
    <xf numFmtId="217" fontId="35" fillId="0" borderId="0" xfId="3" applyNumberFormat="1" applyFont="1" applyFill="1" applyAlignment="1">
      <alignment horizontal="right"/>
    </xf>
    <xf numFmtId="217" fontId="35" fillId="0" borderId="0" xfId="3" applyNumberFormat="1" applyFont="1" applyFill="1"/>
    <xf numFmtId="229" fontId="35" fillId="0" borderId="0" xfId="3" applyNumberFormat="1" applyFont="1" applyFill="1"/>
    <xf numFmtId="164" fontId="35" fillId="0" borderId="0" xfId="3" applyNumberFormat="1" applyFont="1" applyFill="1"/>
    <xf numFmtId="0" fontId="46" fillId="0" borderId="8" xfId="3" applyFont="1" applyBorder="1"/>
    <xf numFmtId="0" fontId="46" fillId="0" borderId="40" xfId="3" applyFont="1" applyBorder="1"/>
    <xf numFmtId="0" fontId="46" fillId="0" borderId="0" xfId="3" applyFont="1"/>
    <xf numFmtId="220" fontId="59" fillId="11" borderId="0" xfId="3" applyNumberFormat="1" applyFont="1" applyFill="1" applyBorder="1" applyAlignment="1">
      <alignment horizontal="left"/>
    </xf>
    <xf numFmtId="0" fontId="77" fillId="11" borderId="0" xfId="3" applyFont="1" applyFill="1"/>
    <xf numFmtId="0" fontId="77" fillId="11" borderId="0" xfId="3" applyNumberFormat="1" applyFont="1" applyFill="1"/>
    <xf numFmtId="0" fontId="59" fillId="11" borderId="0" xfId="3" applyNumberFormat="1" applyFont="1" applyFill="1" applyBorder="1" applyAlignment="1">
      <alignment horizontal="center"/>
    </xf>
    <xf numFmtId="226" fontId="59" fillId="11" borderId="0" xfId="3" applyNumberFormat="1" applyFont="1" applyFill="1" applyBorder="1" applyAlignment="1">
      <alignment horizontal="center"/>
    </xf>
    <xf numFmtId="0" fontId="35" fillId="6" borderId="0" xfId="3" applyFont="1" applyFill="1"/>
    <xf numFmtId="0" fontId="78" fillId="0" borderId="0" xfId="3" applyFont="1"/>
    <xf numFmtId="217" fontId="33" fillId="0" borderId="5" xfId="3" applyNumberFormat="1" applyFont="1" applyBorder="1"/>
    <xf numFmtId="0" fontId="44" fillId="0" borderId="0" xfId="3" applyFont="1" applyAlignment="1">
      <alignment horizontal="left" indent="1"/>
    </xf>
    <xf numFmtId="0" fontId="54" fillId="0" borderId="0" xfId="3" applyFont="1" applyAlignment="1">
      <alignment horizontal="left" indent="1"/>
    </xf>
    <xf numFmtId="177" fontId="54" fillId="0" borderId="0" xfId="3" applyNumberFormat="1" applyFont="1" applyFill="1"/>
    <xf numFmtId="217" fontId="44" fillId="0" borderId="0" xfId="3" applyNumberFormat="1" applyFont="1" applyAlignment="1">
      <alignment horizontal="right"/>
    </xf>
    <xf numFmtId="229" fontId="44" fillId="0" borderId="0" xfId="3" applyNumberFormat="1" applyFont="1"/>
    <xf numFmtId="229" fontId="77" fillId="0" borderId="0" xfId="3" applyNumberFormat="1" applyFont="1" applyAlignment="1">
      <alignment horizontal="right"/>
    </xf>
    <xf numFmtId="208" fontId="35" fillId="0" borderId="26" xfId="3" applyNumberFormat="1" applyFont="1" applyBorder="1"/>
    <xf numFmtId="208" fontId="35" fillId="0" borderId="25" xfId="3" applyNumberFormat="1" applyFont="1" applyBorder="1"/>
    <xf numFmtId="208" fontId="54" fillId="0" borderId="0" xfId="3" applyNumberFormat="1" applyFont="1" applyFill="1" applyBorder="1"/>
    <xf numFmtId="210" fontId="33" fillId="0" borderId="2" xfId="3" applyNumberFormat="1" applyFont="1" applyFill="1" applyBorder="1"/>
    <xf numFmtId="231" fontId="59" fillId="11" borderId="36" xfId="3" applyNumberFormat="1" applyFont="1" applyFill="1" applyBorder="1" applyAlignment="1">
      <alignment horizontal="center"/>
    </xf>
    <xf numFmtId="225" fontId="59" fillId="11" borderId="48" xfId="3" applyNumberFormat="1" applyFont="1" applyFill="1" applyBorder="1" applyAlignment="1">
      <alignment horizontal="center"/>
    </xf>
    <xf numFmtId="227" fontId="59" fillId="11" borderId="36" xfId="3" applyNumberFormat="1" applyFont="1" applyFill="1" applyBorder="1" applyAlignment="1">
      <alignment horizontal="center"/>
    </xf>
    <xf numFmtId="210" fontId="44" fillId="0" borderId="2" xfId="3" applyNumberFormat="1" applyFont="1" applyBorder="1" applyAlignment="1">
      <alignment horizontal="right"/>
    </xf>
    <xf numFmtId="210" fontId="35" fillId="0" borderId="2" xfId="3" applyNumberFormat="1" applyFont="1" applyBorder="1" applyAlignment="1">
      <alignment horizontal="right"/>
    </xf>
    <xf numFmtId="210" fontId="35" fillId="0" borderId="26" xfId="3" applyNumberFormat="1" applyFont="1" applyBorder="1" applyAlignment="1">
      <alignment horizontal="right"/>
    </xf>
    <xf numFmtId="210" fontId="35" fillId="0" borderId="25" xfId="3" applyNumberFormat="1" applyFont="1" applyBorder="1" applyAlignment="1">
      <alignment horizontal="right"/>
    </xf>
    <xf numFmtId="210" fontId="33" fillId="0" borderId="0" xfId="3" applyNumberFormat="1" applyFont="1" applyBorder="1" applyAlignment="1">
      <alignment horizontal="right"/>
    </xf>
    <xf numFmtId="210" fontId="44" fillId="0" borderId="0" xfId="3" applyNumberFormat="1" applyFont="1" applyBorder="1" applyAlignment="1">
      <alignment horizontal="right"/>
    </xf>
    <xf numFmtId="177" fontId="93" fillId="0" borderId="0" xfId="3" applyNumberFormat="1" applyFont="1" applyFill="1"/>
    <xf numFmtId="210" fontId="35" fillId="0" borderId="37" xfId="3" applyNumberFormat="1" applyFont="1" applyBorder="1" applyAlignment="1">
      <alignment horizontal="right"/>
    </xf>
    <xf numFmtId="210" fontId="64" fillId="0" borderId="37" xfId="3" applyNumberFormat="1" applyFont="1" applyBorder="1" applyAlignment="1">
      <alignment horizontal="right"/>
    </xf>
    <xf numFmtId="210" fontId="44" fillId="0" borderId="0" xfId="3" applyNumberFormat="1" applyFont="1" applyFill="1" applyBorder="1" applyAlignment="1">
      <alignment horizontal="right"/>
    </xf>
    <xf numFmtId="0" fontId="33" fillId="0" borderId="0" xfId="3" applyFont="1" applyBorder="1"/>
    <xf numFmtId="210" fontId="45" fillId="0" borderId="37" xfId="3" applyNumberFormat="1" applyFont="1" applyBorder="1" applyAlignment="1">
      <alignment horizontal="right"/>
    </xf>
    <xf numFmtId="209" fontId="35" fillId="0" borderId="0" xfId="3" applyNumberFormat="1" applyFont="1" applyAlignment="1">
      <alignment horizontal="right"/>
    </xf>
    <xf numFmtId="212" fontId="35" fillId="0" borderId="0" xfId="3" applyNumberFormat="1" applyFont="1" applyAlignment="1">
      <alignment horizontal="right"/>
    </xf>
    <xf numFmtId="209" fontId="35" fillId="0" borderId="50" xfId="3" applyNumberFormat="1" applyFont="1" applyBorder="1" applyAlignment="1">
      <alignment horizontal="right"/>
    </xf>
    <xf numFmtId="209" fontId="35" fillId="0" borderId="39" xfId="3" applyNumberFormat="1" applyFont="1" applyBorder="1" applyAlignment="1">
      <alignment horizontal="right"/>
    </xf>
    <xf numFmtId="209" fontId="35" fillId="0" borderId="49" xfId="3" applyNumberFormat="1" applyFont="1" applyBorder="1" applyAlignment="1">
      <alignment horizontal="right"/>
    </xf>
    <xf numFmtId="7" fontId="35" fillId="0" borderId="0" xfId="3" applyNumberFormat="1" applyFont="1" applyAlignment="1">
      <alignment horizontal="right"/>
    </xf>
    <xf numFmtId="217" fontId="54" fillId="0" borderId="0" xfId="3" applyNumberFormat="1" applyFont="1" applyAlignment="1">
      <alignment horizontal="right"/>
    </xf>
    <xf numFmtId="37" fontId="33" fillId="0" borderId="0" xfId="3" applyNumberFormat="1" applyFont="1" applyBorder="1"/>
    <xf numFmtId="37" fontId="54" fillId="0" borderId="0" xfId="3" applyNumberFormat="1" applyFont="1" applyBorder="1" applyAlignment="1">
      <alignment horizontal="right"/>
    </xf>
    <xf numFmtId="37" fontId="33" fillId="0" borderId="0" xfId="3" applyNumberFormat="1" applyFont="1" applyFill="1" applyBorder="1" applyAlignment="1">
      <alignment horizontal="right"/>
    </xf>
    <xf numFmtId="37" fontId="33" fillId="0" borderId="0" xfId="3" applyNumberFormat="1" applyFont="1" applyBorder="1" applyAlignment="1">
      <alignment horizontal="right"/>
    </xf>
    <xf numFmtId="175" fontId="35" fillId="0" borderId="0" xfId="3" applyNumberFormat="1" applyFont="1" applyAlignment="1">
      <alignment horizontal="right"/>
    </xf>
    <xf numFmtId="210" fontId="54" fillId="0" borderId="2" xfId="3" applyNumberFormat="1" applyFont="1" applyFill="1" applyBorder="1" applyAlignment="1">
      <alignment horizontal="right"/>
    </xf>
    <xf numFmtId="0" fontId="35" fillId="0" borderId="2" xfId="3" applyNumberFormat="1" applyFont="1" applyBorder="1" applyAlignment="1">
      <alignment horizontal="right"/>
    </xf>
    <xf numFmtId="0" fontId="41" fillId="0" borderId="0" xfId="3" applyFont="1" applyAlignment="1">
      <alignment horizontal="left" indent="1"/>
    </xf>
    <xf numFmtId="210" fontId="41" fillId="0" borderId="26" xfId="3" applyNumberFormat="1" applyFont="1" applyFill="1" applyBorder="1" applyAlignment="1">
      <alignment horizontal="right"/>
    </xf>
    <xf numFmtId="7" fontId="44" fillId="0" borderId="0" xfId="3" applyNumberFormat="1" applyFont="1"/>
    <xf numFmtId="210" fontId="41" fillId="0" borderId="26" xfId="3" applyNumberFormat="1" applyFont="1" applyBorder="1" applyAlignment="1">
      <alignment horizontal="right"/>
    </xf>
    <xf numFmtId="176" fontId="35" fillId="0" borderId="0" xfId="3" applyNumberFormat="1" applyFont="1" applyBorder="1" applyAlignment="1">
      <alignment horizontal="right"/>
    </xf>
    <xf numFmtId="176" fontId="35" fillId="0" borderId="2" xfId="3" applyNumberFormat="1" applyFont="1" applyBorder="1" applyAlignment="1">
      <alignment horizontal="right"/>
    </xf>
    <xf numFmtId="175" fontId="35" fillId="0" borderId="0" xfId="3" applyNumberFormat="1" applyFont="1" applyBorder="1" applyAlignment="1">
      <alignment horizontal="right"/>
    </xf>
    <xf numFmtId="226" fontId="59" fillId="11" borderId="36" xfId="3" applyNumberFormat="1" applyFont="1" applyFill="1" applyBorder="1" applyAlignment="1">
      <alignment horizontal="center"/>
    </xf>
    <xf numFmtId="208" fontId="35" fillId="0" borderId="26" xfId="3" applyNumberFormat="1" applyFont="1" applyFill="1" applyBorder="1" applyAlignment="1">
      <alignment horizontal="right"/>
    </xf>
    <xf numFmtId="210" fontId="35" fillId="0" borderId="26" xfId="3" applyNumberFormat="1" applyFont="1" applyFill="1" applyBorder="1" applyAlignment="1">
      <alignment horizontal="right"/>
    </xf>
    <xf numFmtId="225" fontId="35" fillId="0" borderId="0" xfId="3" applyNumberFormat="1" applyFont="1" applyFill="1" applyBorder="1" applyAlignment="1">
      <alignment horizontal="center"/>
    </xf>
    <xf numFmtId="227" fontId="35" fillId="0" borderId="0" xfId="3" applyNumberFormat="1" applyFont="1" applyFill="1" applyBorder="1" applyAlignment="1">
      <alignment horizontal="center"/>
    </xf>
    <xf numFmtId="168" fontId="35" fillId="0" borderId="0" xfId="3" applyNumberFormat="1" applyFont="1" applyAlignment="1">
      <alignment horizontal="right"/>
    </xf>
    <xf numFmtId="178" fontId="35" fillId="0" borderId="0" xfId="3" applyNumberFormat="1" applyFont="1"/>
    <xf numFmtId="10" fontId="43" fillId="0" borderId="0" xfId="3" applyNumberFormat="1" applyFont="1" applyBorder="1" applyAlignment="1">
      <alignment horizontal="center"/>
    </xf>
    <xf numFmtId="208" fontId="35" fillId="0" borderId="0" xfId="3" applyNumberFormat="1" applyFont="1" applyBorder="1" applyAlignment="1">
      <alignment horizontal="center"/>
    </xf>
    <xf numFmtId="178" fontId="54" fillId="0" borderId="0" xfId="3" applyNumberFormat="1" applyFont="1"/>
    <xf numFmtId="231" fontId="59" fillId="11" borderId="0" xfId="3" applyNumberFormat="1" applyFont="1" applyFill="1" applyBorder="1" applyAlignment="1">
      <alignment horizontal="center"/>
    </xf>
    <xf numFmtId="227" fontId="59" fillId="11" borderId="0" xfId="3" applyNumberFormat="1" applyFont="1" applyFill="1" applyBorder="1" applyAlignment="1">
      <alignment horizontal="center"/>
    </xf>
    <xf numFmtId="240" fontId="44" fillId="0" borderId="0" xfId="3" applyNumberFormat="1" applyFont="1" applyBorder="1" applyAlignment="1">
      <alignment horizontal="right"/>
    </xf>
    <xf numFmtId="240" fontId="35" fillId="0" borderId="42" xfId="3" applyNumberFormat="1" applyFont="1" applyBorder="1" applyAlignment="1">
      <alignment horizontal="right"/>
    </xf>
    <xf numFmtId="240" fontId="35" fillId="0" borderId="43" xfId="3" applyNumberFormat="1" applyFont="1" applyBorder="1" applyAlignment="1">
      <alignment horizontal="right"/>
    </xf>
    <xf numFmtId="0" fontId="35" fillId="0" borderId="41" xfId="3" applyFont="1" applyBorder="1" applyAlignment="1">
      <alignment horizontal="center"/>
    </xf>
    <xf numFmtId="223" fontId="35" fillId="0" borderId="42" xfId="3" applyNumberFormat="1" applyFont="1" applyBorder="1" applyAlignment="1">
      <alignment horizontal="right"/>
    </xf>
    <xf numFmtId="0" fontId="44" fillId="0" borderId="0" xfId="3" applyFont="1" applyBorder="1" applyAlignment="1">
      <alignment horizontal="center"/>
    </xf>
    <xf numFmtId="223" fontId="44" fillId="0" borderId="0" xfId="3" applyNumberFormat="1" applyFont="1" applyBorder="1" applyAlignment="1">
      <alignment horizontal="right"/>
    </xf>
    <xf numFmtId="240" fontId="35" fillId="0" borderId="0" xfId="3" applyNumberFormat="1" applyFont="1" applyBorder="1" applyAlignment="1">
      <alignment horizontal="right"/>
    </xf>
    <xf numFmtId="240" fontId="54" fillId="0" borderId="0" xfId="3" applyNumberFormat="1" applyFont="1" applyBorder="1" applyAlignment="1">
      <alignment horizontal="right"/>
    </xf>
    <xf numFmtId="240" fontId="35" fillId="0" borderId="0" xfId="3" applyNumberFormat="1" applyFont="1" applyBorder="1"/>
    <xf numFmtId="221" fontId="33" fillId="0" borderId="0" xfId="3" applyNumberFormat="1" applyFont="1" applyFill="1" applyBorder="1" applyAlignment="1">
      <alignment horizontal="center"/>
    </xf>
    <xf numFmtId="229" fontId="44" fillId="0" borderId="41" xfId="3" applyNumberFormat="1" applyFont="1" applyFill="1" applyBorder="1" applyAlignment="1">
      <alignment horizontal="right"/>
    </xf>
    <xf numFmtId="212" fontId="35" fillId="0" borderId="0" xfId="3" applyNumberFormat="1" applyFont="1" applyFill="1" applyAlignment="1">
      <alignment horizontal="right"/>
    </xf>
    <xf numFmtId="212" fontId="35" fillId="0" borderId="0" xfId="3" applyNumberFormat="1" applyFont="1" applyFill="1" applyBorder="1" applyAlignment="1">
      <alignment horizontal="right"/>
    </xf>
    <xf numFmtId="180" fontId="33" fillId="0" borderId="0" xfId="3" applyNumberFormat="1" applyFont="1" applyFill="1" applyBorder="1" applyAlignment="1">
      <alignment horizontal="right"/>
    </xf>
    <xf numFmtId="217" fontId="35" fillId="0" borderId="0" xfId="3" applyNumberFormat="1" applyFont="1" applyFill="1" applyBorder="1" applyAlignment="1">
      <alignment horizontal="right"/>
    </xf>
    <xf numFmtId="180" fontId="38" fillId="0" borderId="0" xfId="3" applyNumberFormat="1" applyFont="1" applyFill="1" applyBorder="1" applyAlignment="1">
      <alignment horizontal="right"/>
    </xf>
    <xf numFmtId="212" fontId="35" fillId="0" borderId="26" xfId="3" applyNumberFormat="1" applyFont="1" applyFill="1" applyBorder="1"/>
    <xf numFmtId="212" fontId="35" fillId="0" borderId="0" xfId="3" applyNumberFormat="1" applyFont="1" applyFill="1" applyBorder="1"/>
    <xf numFmtId="175" fontId="35" fillId="0" borderId="0" xfId="3" applyNumberFormat="1" applyFont="1" applyFill="1" applyBorder="1" applyAlignment="1">
      <alignment horizontal="right"/>
    </xf>
    <xf numFmtId="208" fontId="44" fillId="0" borderId="0" xfId="3" applyNumberFormat="1" applyFont="1" applyFill="1" applyBorder="1" applyAlignment="1">
      <alignment horizontal="right"/>
    </xf>
    <xf numFmtId="208" fontId="35" fillId="0" borderId="50" xfId="3" applyNumberFormat="1" applyFont="1" applyFill="1" applyBorder="1"/>
    <xf numFmtId="208" fontId="35" fillId="0" borderId="42" xfId="3" applyNumberFormat="1" applyFont="1" applyFill="1" applyBorder="1"/>
    <xf numFmtId="208" fontId="35" fillId="0" borderId="43" xfId="3" applyNumberFormat="1" applyFont="1" applyFill="1" applyBorder="1"/>
    <xf numFmtId="212" fontId="44" fillId="0" borderId="0" xfId="3" applyNumberFormat="1" applyFont="1" applyFill="1" applyBorder="1" applyAlignment="1">
      <alignment horizontal="left"/>
    </xf>
    <xf numFmtId="208" fontId="54" fillId="0" borderId="0" xfId="3" applyNumberFormat="1" applyFont="1" applyFill="1"/>
    <xf numFmtId="208" fontId="33" fillId="0" borderId="0" xfId="3" applyNumberFormat="1" applyFont="1" applyFill="1"/>
    <xf numFmtId="212" fontId="35" fillId="0" borderId="0" xfId="3" applyNumberFormat="1" applyFont="1" applyFill="1" applyBorder="1" applyAlignment="1">
      <alignment horizontal="left"/>
    </xf>
    <xf numFmtId="0" fontId="42" fillId="0" borderId="0" xfId="3" applyFont="1" applyFill="1" applyBorder="1" applyAlignment="1">
      <alignment horizontal="right"/>
    </xf>
    <xf numFmtId="0" fontId="63" fillId="0" borderId="0" xfId="3" applyFont="1" applyFill="1" applyBorder="1" applyAlignment="1">
      <alignment horizontal="right"/>
    </xf>
    <xf numFmtId="0" fontId="69" fillId="0" borderId="0" xfId="3" applyFont="1" applyAlignment="1">
      <alignment horizontal="centerContinuous"/>
    </xf>
    <xf numFmtId="0" fontId="65" fillId="13" borderId="0" xfId="3" applyFont="1" applyFill="1" applyBorder="1" applyAlignment="1">
      <alignment horizontal="centerContinuous"/>
    </xf>
    <xf numFmtId="0" fontId="65" fillId="13" borderId="0" xfId="3" applyFont="1" applyFill="1" applyBorder="1"/>
    <xf numFmtId="0" fontId="35" fillId="13" borderId="0" xfId="3" applyFont="1" applyFill="1" applyBorder="1"/>
    <xf numFmtId="0" fontId="42" fillId="0" borderId="0" xfId="3" applyFont="1" applyAlignment="1">
      <alignment horizontal="centerContinuous"/>
    </xf>
    <xf numFmtId="209" fontId="44" fillId="0" borderId="5" xfId="3" applyNumberFormat="1" applyFont="1" applyFill="1" applyBorder="1"/>
    <xf numFmtId="210" fontId="35" fillId="0" borderId="50" xfId="3" applyNumberFormat="1" applyFont="1" applyBorder="1" applyAlignment="1">
      <alignment horizontal="right"/>
    </xf>
    <xf numFmtId="177" fontId="35" fillId="0" borderId="42" xfId="3" applyNumberFormat="1" applyFont="1" applyBorder="1" applyAlignment="1">
      <alignment horizontal="right"/>
    </xf>
    <xf numFmtId="229" fontId="35" fillId="0" borderId="42" xfId="3" applyNumberFormat="1" applyFont="1" applyBorder="1" applyAlignment="1">
      <alignment horizontal="right"/>
    </xf>
    <xf numFmtId="223" fontId="35" fillId="0" borderId="42" xfId="3" applyNumberFormat="1" applyFont="1" applyBorder="1"/>
    <xf numFmtId="212" fontId="33" fillId="0" borderId="42" xfId="3" applyNumberFormat="1" applyFont="1" applyBorder="1"/>
    <xf numFmtId="210" fontId="33" fillId="0" borderId="43" xfId="3" applyNumberFormat="1" applyFont="1" applyBorder="1" applyAlignment="1">
      <alignment horizontal="right" indent="1"/>
    </xf>
    <xf numFmtId="229" fontId="33" fillId="0" borderId="40" xfId="3" applyNumberFormat="1" applyFont="1" applyBorder="1"/>
    <xf numFmtId="229" fontId="35" fillId="0" borderId="40" xfId="3" applyNumberFormat="1" applyFont="1" applyBorder="1"/>
    <xf numFmtId="177" fontId="35" fillId="0" borderId="0" xfId="3" applyNumberFormat="1" applyFont="1" applyBorder="1" applyAlignment="1">
      <alignment horizontal="right"/>
    </xf>
    <xf numFmtId="223" fontId="35" fillId="0" borderId="0" xfId="3" applyNumberFormat="1" applyFont="1" applyBorder="1"/>
    <xf numFmtId="164" fontId="106" fillId="0" borderId="0" xfId="3" applyNumberFormat="1" applyFont="1" applyBorder="1"/>
    <xf numFmtId="208" fontId="35" fillId="0" borderId="50" xfId="3" applyNumberFormat="1" applyFont="1" applyFill="1" applyBorder="1" applyAlignment="1">
      <alignment horizontal="right"/>
    </xf>
    <xf numFmtId="217" fontId="35" fillId="0" borderId="42" xfId="3" applyNumberFormat="1" applyFont="1" applyFill="1" applyBorder="1" applyAlignment="1">
      <alignment horizontal="right"/>
    </xf>
    <xf numFmtId="229" fontId="35" fillId="0" borderId="43" xfId="3" applyNumberFormat="1" applyFont="1" applyFill="1" applyBorder="1" applyAlignment="1">
      <alignment horizontal="right"/>
    </xf>
    <xf numFmtId="215" fontId="33" fillId="0" borderId="0" xfId="3" applyNumberFormat="1" applyFont="1" applyFill="1" applyBorder="1"/>
    <xf numFmtId="208" fontId="35" fillId="0" borderId="53" xfId="3" applyNumberFormat="1" applyFont="1" applyFill="1" applyBorder="1" applyAlignment="1">
      <alignment horizontal="right"/>
    </xf>
    <xf numFmtId="217" fontId="35" fillId="0" borderId="0" xfId="3" quotePrefix="1" applyNumberFormat="1" applyFont="1" applyAlignment="1">
      <alignment horizontal="center"/>
    </xf>
    <xf numFmtId="217" fontId="107" fillId="0" borderId="0" xfId="3" applyNumberFormat="1" applyFont="1"/>
    <xf numFmtId="217" fontId="33" fillId="0" borderId="0" xfId="3" applyNumberFormat="1" applyFont="1" applyFill="1" applyAlignment="1">
      <alignment horizontal="left"/>
    </xf>
    <xf numFmtId="208" fontId="35" fillId="0" borderId="8" xfId="3" applyNumberFormat="1" applyFont="1" applyFill="1" applyBorder="1"/>
    <xf numFmtId="164" fontId="35" fillId="0" borderId="2" xfId="3" applyNumberFormat="1" applyFont="1" applyBorder="1"/>
    <xf numFmtId="232" fontId="33" fillId="0" borderId="0" xfId="3" applyNumberFormat="1" applyFont="1" applyFill="1" applyBorder="1"/>
    <xf numFmtId="0" fontId="35" fillId="0" borderId="0" xfId="3" applyNumberFormat="1" applyFont="1" applyFill="1" applyBorder="1"/>
    <xf numFmtId="208" fontId="35" fillId="0" borderId="0" xfId="3" applyNumberFormat="1" applyFont="1" applyBorder="1" applyAlignment="1">
      <alignment horizontal="centerContinuous"/>
    </xf>
    <xf numFmtId="226" fontId="35" fillId="0" borderId="0" xfId="3" applyNumberFormat="1" applyFont="1" applyFill="1" applyBorder="1" applyAlignment="1">
      <alignment horizontal="centerContinuous"/>
    </xf>
    <xf numFmtId="227" fontId="44" fillId="0" borderId="0" xfId="3" applyNumberFormat="1" applyFont="1" applyFill="1" applyBorder="1" applyAlignment="1">
      <alignment horizontal="centerContinuous"/>
    </xf>
    <xf numFmtId="227" fontId="35" fillId="0" borderId="0" xfId="3" applyNumberFormat="1" applyFont="1" applyFill="1" applyBorder="1" applyAlignment="1">
      <alignment horizontal="centerContinuous"/>
    </xf>
    <xf numFmtId="0" fontId="43" fillId="0" borderId="0" xfId="3" applyFont="1" applyBorder="1" applyAlignment="1">
      <alignment horizontal="center"/>
    </xf>
    <xf numFmtId="0" fontId="44" fillId="0" borderId="40" xfId="3" applyFont="1" applyFill="1" applyBorder="1"/>
    <xf numFmtId="0" fontId="35" fillId="0" borderId="26" xfId="3" applyFont="1" applyFill="1" applyBorder="1"/>
    <xf numFmtId="247" fontId="35" fillId="0" borderId="0" xfId="3" applyNumberFormat="1" applyFont="1" applyBorder="1" applyAlignment="1">
      <alignment horizontal="center"/>
    </xf>
    <xf numFmtId="0" fontId="44" fillId="0" borderId="0" xfId="3" applyFont="1" applyFill="1" applyAlignment="1">
      <alignment horizontal="left"/>
    </xf>
    <xf numFmtId="164" fontId="35" fillId="0" borderId="0" xfId="3" applyNumberFormat="1" applyFont="1" applyAlignment="1">
      <alignment horizontal="left"/>
    </xf>
    <xf numFmtId="225" fontId="44" fillId="0" borderId="0" xfId="3" applyNumberFormat="1" applyFont="1" applyAlignment="1">
      <alignment horizontal="centerContinuous"/>
    </xf>
    <xf numFmtId="225" fontId="35" fillId="0" borderId="0" xfId="3" applyNumberFormat="1" applyFont="1" applyAlignment="1">
      <alignment horizontal="centerContinuous"/>
    </xf>
    <xf numFmtId="218" fontId="35" fillId="0" borderId="0" xfId="3" applyNumberFormat="1" applyFont="1" applyFill="1" applyAlignment="1">
      <alignment horizontal="right"/>
    </xf>
    <xf numFmtId="247" fontId="44" fillId="0" borderId="50" xfId="3" applyNumberFormat="1" applyFont="1" applyFill="1" applyBorder="1"/>
    <xf numFmtId="247" fontId="44" fillId="0" borderId="42" xfId="3" applyNumberFormat="1" applyFont="1" applyFill="1" applyBorder="1"/>
    <xf numFmtId="217" fontId="35" fillId="0" borderId="43" xfId="3" applyNumberFormat="1" applyFont="1" applyFill="1" applyBorder="1" applyAlignment="1">
      <alignment horizontal="right"/>
    </xf>
    <xf numFmtId="229" fontId="35" fillId="0" borderId="0" xfId="3" applyNumberFormat="1" applyFont="1" applyFill="1" applyBorder="1" applyAlignment="1">
      <alignment horizontal="right"/>
    </xf>
    <xf numFmtId="0" fontId="35" fillId="0" borderId="0" xfId="3" applyNumberFormat="1" applyFont="1" applyBorder="1"/>
    <xf numFmtId="0" fontId="54" fillId="0" borderId="0" xfId="3" applyNumberFormat="1" applyFont="1" applyBorder="1"/>
    <xf numFmtId="224" fontId="35" fillId="0" borderId="0" xfId="3" applyNumberFormat="1" applyFont="1" applyBorder="1"/>
    <xf numFmtId="224" fontId="33" fillId="0" borderId="0" xfId="3" applyNumberFormat="1" applyFont="1" applyBorder="1"/>
    <xf numFmtId="217" fontId="54" fillId="0" borderId="0" xfId="3" applyNumberFormat="1" applyFont="1"/>
    <xf numFmtId="209" fontId="44" fillId="0" borderId="4" xfId="3" applyNumberFormat="1" applyFont="1" applyBorder="1"/>
    <xf numFmtId="0" fontId="42" fillId="0" borderId="0" xfId="3" applyFont="1" applyFill="1" applyAlignment="1">
      <alignment horizontal="left" indent="1"/>
    </xf>
    <xf numFmtId="232" fontId="42" fillId="0" borderId="0" xfId="3" applyNumberFormat="1" applyFont="1" applyFill="1" applyAlignment="1">
      <alignment horizontal="right"/>
    </xf>
    <xf numFmtId="0" fontId="63" fillId="0" borderId="0" xfId="3" applyFont="1" applyFill="1" applyAlignment="1">
      <alignment horizontal="left" indent="1"/>
    </xf>
    <xf numFmtId="229" fontId="42" fillId="0" borderId="0" xfId="3" applyNumberFormat="1" applyFont="1" applyFill="1" applyAlignment="1">
      <alignment horizontal="right"/>
    </xf>
    <xf numFmtId="229" fontId="42" fillId="0" borderId="0" xfId="3" applyNumberFormat="1" applyFont="1"/>
    <xf numFmtId="229" fontId="44" fillId="0" borderId="10" xfId="3" applyNumberFormat="1" applyFont="1" applyBorder="1"/>
    <xf numFmtId="217" fontId="44" fillId="0" borderId="8" xfId="3" applyNumberFormat="1" applyFont="1" applyBorder="1"/>
    <xf numFmtId="224" fontId="35" fillId="0" borderId="0" xfId="3" quotePrefix="1" applyNumberFormat="1" applyFont="1" applyBorder="1"/>
    <xf numFmtId="0" fontId="42" fillId="0" borderId="0" xfId="3" applyFont="1" applyAlignment="1">
      <alignment horizontal="left" indent="1"/>
    </xf>
    <xf numFmtId="177" fontId="42" fillId="0" borderId="0" xfId="3" applyNumberFormat="1" applyFont="1"/>
    <xf numFmtId="167" fontId="35" fillId="0" borderId="8" xfId="3" applyNumberFormat="1" applyFont="1" applyBorder="1"/>
    <xf numFmtId="0" fontId="35" fillId="0" borderId="8" xfId="3" quotePrefix="1" applyFont="1" applyBorder="1"/>
    <xf numFmtId="164" fontId="35" fillId="0" borderId="8" xfId="3" applyNumberFormat="1" applyFont="1" applyBorder="1"/>
    <xf numFmtId="0" fontId="35" fillId="0" borderId="0" xfId="3" quotePrefix="1" applyFont="1" applyBorder="1"/>
    <xf numFmtId="0" fontId="58" fillId="0" borderId="0" xfId="3" applyFont="1" applyBorder="1"/>
    <xf numFmtId="0" fontId="35" fillId="0" borderId="7" xfId="3" applyFont="1" applyFill="1" applyBorder="1" applyAlignment="1">
      <alignment horizontal="left"/>
    </xf>
    <xf numFmtId="0" fontId="41" fillId="0" borderId="7" xfId="3" applyFont="1" applyFill="1" applyBorder="1"/>
    <xf numFmtId="0" fontId="35" fillId="0" borderId="7" xfId="3" applyFont="1" applyFill="1" applyBorder="1"/>
    <xf numFmtId="210" fontId="35" fillId="0" borderId="7" xfId="3" applyNumberFormat="1" applyFont="1" applyFill="1" applyBorder="1"/>
    <xf numFmtId="164" fontId="35" fillId="0" borderId="0" xfId="3" applyNumberFormat="1" applyFont="1" applyFill="1" applyBorder="1"/>
    <xf numFmtId="208" fontId="44" fillId="0" borderId="0" xfId="3" applyNumberFormat="1" applyFont="1" applyFill="1" applyBorder="1"/>
    <xf numFmtId="227" fontId="35" fillId="0" borderId="4" xfId="3" applyNumberFormat="1" applyFont="1" applyFill="1" applyBorder="1" applyAlignment="1">
      <alignment horizontal="center"/>
    </xf>
    <xf numFmtId="217" fontId="33" fillId="0" borderId="26" xfId="3" applyNumberFormat="1" applyFont="1" applyFill="1" applyBorder="1"/>
    <xf numFmtId="210" fontId="41" fillId="0" borderId="7" xfId="3" applyNumberFormat="1" applyFont="1" applyFill="1" applyBorder="1"/>
    <xf numFmtId="223" fontId="33" fillId="0" borderId="25" xfId="3" applyNumberFormat="1" applyFont="1" applyFill="1" applyBorder="1" applyAlignment="1">
      <alignment horizontal="right"/>
    </xf>
    <xf numFmtId="208" fontId="35" fillId="0" borderId="24" xfId="3" applyNumberFormat="1" applyFont="1" applyFill="1" applyBorder="1" applyAlignment="1">
      <alignment horizontal="right"/>
    </xf>
    <xf numFmtId="210" fontId="35" fillId="0" borderId="24" xfId="3" applyNumberFormat="1" applyFont="1" applyFill="1" applyBorder="1" applyAlignment="1">
      <alignment horizontal="right"/>
    </xf>
    <xf numFmtId="208" fontId="35" fillId="0" borderId="8" xfId="3" applyNumberFormat="1" applyFont="1" applyFill="1" applyBorder="1" applyAlignment="1">
      <alignment horizontal="right"/>
    </xf>
    <xf numFmtId="223" fontId="33" fillId="0" borderId="0" xfId="3" applyNumberFormat="1" applyFont="1" applyFill="1" applyBorder="1" applyAlignment="1">
      <alignment horizontal="right"/>
    </xf>
    <xf numFmtId="223" fontId="35" fillId="0" borderId="25" xfId="3" applyNumberFormat="1" applyFont="1" applyFill="1" applyBorder="1" applyAlignment="1">
      <alignment horizontal="right"/>
    </xf>
    <xf numFmtId="223" fontId="35" fillId="0" borderId="0" xfId="3" applyNumberFormat="1" applyFont="1" applyFill="1" applyBorder="1" applyAlignment="1">
      <alignment horizontal="right"/>
    </xf>
    <xf numFmtId="167" fontId="35" fillId="0" borderId="0" xfId="3" applyNumberFormat="1" applyFont="1"/>
    <xf numFmtId="164" fontId="35" fillId="0" borderId="0" xfId="3" applyNumberFormat="1" applyFont="1"/>
    <xf numFmtId="0" fontId="58" fillId="0" borderId="0" xfId="3" applyFont="1"/>
    <xf numFmtId="229" fontId="44" fillId="0" borderId="0" xfId="3" applyNumberFormat="1" applyFont="1" applyBorder="1" applyAlignment="1">
      <alignment horizontal="center"/>
    </xf>
    <xf numFmtId="210" fontId="35" fillId="0" borderId="25" xfId="3" applyNumberFormat="1" applyFont="1" applyFill="1" applyBorder="1"/>
    <xf numFmtId="210" fontId="35" fillId="0" borderId="26" xfId="3" applyNumberFormat="1" applyFont="1" applyBorder="1"/>
    <xf numFmtId="217" fontId="54" fillId="0" borderId="0" xfId="3" applyNumberFormat="1" applyFont="1" applyFill="1" applyAlignment="1">
      <alignment horizontal="left"/>
    </xf>
    <xf numFmtId="217" fontId="44" fillId="0" borderId="0" xfId="3" quotePrefix="1" applyNumberFormat="1" applyFont="1" applyFill="1" applyAlignment="1">
      <alignment horizontal="right"/>
    </xf>
    <xf numFmtId="0" fontId="35" fillId="0" borderId="0" xfId="3" quotePrefix="1" applyFont="1" applyAlignment="1">
      <alignment horizontal="right"/>
    </xf>
    <xf numFmtId="228" fontId="35" fillId="0" borderId="0" xfId="3" applyNumberFormat="1" applyFont="1"/>
    <xf numFmtId="210" fontId="35" fillId="0" borderId="25" xfId="3" applyNumberFormat="1" applyFont="1" applyFill="1" applyBorder="1" applyAlignment="1">
      <alignment horizontal="right"/>
    </xf>
    <xf numFmtId="0" fontId="35" fillId="0" borderId="0" xfId="3" applyNumberFormat="1" applyFont="1" applyFill="1" applyAlignment="1">
      <alignment horizontal="right"/>
    </xf>
    <xf numFmtId="208" fontId="35" fillId="0" borderId="25" xfId="3" applyNumberFormat="1" applyFont="1" applyFill="1" applyBorder="1" applyAlignment="1">
      <alignment horizontal="right"/>
    </xf>
    <xf numFmtId="229" fontId="33" fillId="0" borderId="0" xfId="3" applyNumberFormat="1" applyFont="1"/>
    <xf numFmtId="210" fontId="41" fillId="0" borderId="26" xfId="3" applyNumberFormat="1" applyFont="1" applyBorder="1"/>
    <xf numFmtId="210" fontId="41" fillId="0" borderId="25" xfId="3" applyNumberFormat="1" applyFont="1" applyBorder="1"/>
    <xf numFmtId="210" fontId="41" fillId="0" borderId="26" xfId="3" applyNumberFormat="1" applyFont="1" applyFill="1" applyBorder="1"/>
    <xf numFmtId="210" fontId="41" fillId="0" borderId="25" xfId="3" applyNumberFormat="1" applyFont="1" applyFill="1" applyBorder="1"/>
    <xf numFmtId="210" fontId="41" fillId="0" borderId="24" xfId="3" applyNumberFormat="1" applyFont="1" applyFill="1" applyBorder="1"/>
    <xf numFmtId="210" fontId="77" fillId="0" borderId="0" xfId="3" applyNumberFormat="1" applyFont="1" applyFill="1" applyBorder="1"/>
    <xf numFmtId="175" fontId="33" fillId="0" borderId="0" xfId="3" applyNumberFormat="1" applyFont="1"/>
    <xf numFmtId="0" fontId="35" fillId="0" borderId="0" xfId="3" applyNumberFormat="1" applyFont="1" applyBorder="1" applyAlignment="1">
      <alignment horizontal="right"/>
    </xf>
    <xf numFmtId="217" fontId="33" fillId="0" borderId="0" xfId="3" applyNumberFormat="1" applyFont="1" applyFill="1"/>
    <xf numFmtId="178" fontId="33" fillId="0" borderId="0" xfId="3" applyNumberFormat="1" applyFont="1"/>
    <xf numFmtId="208" fontId="35" fillId="0" borderId="53" xfId="3" applyNumberFormat="1" applyFont="1" applyBorder="1" applyAlignment="1">
      <alignment horizontal="right"/>
    </xf>
    <xf numFmtId="223" fontId="54" fillId="0" borderId="0" xfId="3" applyNumberFormat="1" applyFont="1"/>
    <xf numFmtId="220" fontId="59" fillId="11" borderId="0" xfId="3" applyNumberFormat="1" applyFont="1" applyFill="1" applyBorder="1"/>
    <xf numFmtId="169" fontId="44" fillId="0" borderId="0" xfId="3" applyNumberFormat="1" applyFont="1"/>
    <xf numFmtId="0" fontId="59" fillId="11" borderId="0" xfId="3" applyFont="1" applyFill="1" applyAlignment="1">
      <alignment horizontal="center"/>
    </xf>
    <xf numFmtId="217" fontId="41" fillId="0" borderId="0" xfId="3" applyNumberFormat="1" applyFont="1"/>
    <xf numFmtId="0" fontId="35" fillId="14" borderId="0" xfId="3" applyFont="1" applyFill="1" applyBorder="1"/>
    <xf numFmtId="0" fontId="70" fillId="14" borderId="0" xfId="3" applyFont="1" applyFill="1" applyBorder="1"/>
    <xf numFmtId="164" fontId="33" fillId="14" borderId="0" xfId="3" applyNumberFormat="1" applyFont="1" applyFill="1" applyBorder="1"/>
    <xf numFmtId="164" fontId="106" fillId="14" borderId="0" xfId="3" applyNumberFormat="1" applyFont="1" applyFill="1" applyBorder="1"/>
    <xf numFmtId="164" fontId="35" fillId="14" borderId="0" xfId="3" applyNumberFormat="1" applyFont="1" applyFill="1" applyBorder="1"/>
    <xf numFmtId="217" fontId="33" fillId="0" borderId="0" xfId="3" applyNumberFormat="1" applyFont="1" applyAlignment="1">
      <alignment horizontal="left"/>
    </xf>
    <xf numFmtId="0" fontId="35" fillId="14" borderId="0" xfId="3" applyNumberFormat="1" applyFont="1" applyFill="1" applyBorder="1"/>
    <xf numFmtId="169" fontId="35" fillId="14" borderId="0" xfId="3" applyNumberFormat="1" applyFont="1" applyFill="1" applyBorder="1"/>
    <xf numFmtId="0" fontId="54" fillId="14" borderId="0" xfId="3" applyNumberFormat="1" applyFont="1" applyFill="1" applyBorder="1"/>
    <xf numFmtId="167" fontId="35" fillId="14" borderId="0" xfId="3" applyNumberFormat="1" applyFont="1" applyFill="1" applyBorder="1"/>
    <xf numFmtId="177" fontId="35" fillId="14" borderId="0" xfId="3" applyNumberFormat="1" applyFont="1" applyFill="1" applyBorder="1"/>
    <xf numFmtId="210" fontId="44" fillId="0" borderId="26" xfId="3" applyNumberFormat="1" applyFont="1" applyFill="1" applyBorder="1" applyAlignment="1">
      <alignment horizontal="right" indent="1"/>
    </xf>
    <xf numFmtId="209" fontId="44" fillId="0" borderId="25" xfId="3" applyNumberFormat="1" applyFont="1" applyFill="1" applyBorder="1" applyAlignment="1">
      <alignment horizontal="right"/>
    </xf>
    <xf numFmtId="210" fontId="44" fillId="0" borderId="0" xfId="3" applyNumberFormat="1" applyFont="1" applyBorder="1" applyAlignment="1">
      <alignment horizontal="right" indent="1"/>
    </xf>
    <xf numFmtId="0" fontId="51" fillId="14" borderId="34" xfId="3" applyFont="1" applyFill="1" applyBorder="1"/>
    <xf numFmtId="0" fontId="35" fillId="14" borderId="0" xfId="0" applyFont="1" applyFill="1"/>
    <xf numFmtId="0" fontId="35" fillId="14" borderId="0" xfId="3" applyFont="1" applyFill="1"/>
    <xf numFmtId="210" fontId="35" fillId="0" borderId="25" xfId="3" applyNumberFormat="1" applyFont="1" applyBorder="1"/>
    <xf numFmtId="217" fontId="54" fillId="0" borderId="0" xfId="3" applyNumberFormat="1" applyFont="1" applyAlignment="1">
      <alignment horizontal="left"/>
    </xf>
    <xf numFmtId="217" fontId="44" fillId="0" borderId="0" xfId="3" quotePrefix="1" applyNumberFormat="1" applyFont="1" applyAlignment="1">
      <alignment horizontal="right"/>
    </xf>
    <xf numFmtId="228" fontId="35" fillId="14" borderId="0" xfId="3" applyNumberFormat="1" applyFont="1" applyFill="1"/>
    <xf numFmtId="0" fontId="35" fillId="14" borderId="0" xfId="3" applyFont="1" applyFill="1" applyBorder="1" applyAlignment="1">
      <alignment horizontal="center"/>
    </xf>
    <xf numFmtId="210" fontId="35" fillId="14" borderId="0" xfId="3" applyNumberFormat="1" applyFont="1" applyFill="1" applyBorder="1" applyAlignment="1">
      <alignment horizontal="right"/>
    </xf>
    <xf numFmtId="210" fontId="35" fillId="14" borderId="0" xfId="3" applyNumberFormat="1" applyFont="1" applyFill="1" applyBorder="1"/>
    <xf numFmtId="0" fontId="40" fillId="14" borderId="0" xfId="3" applyFont="1" applyFill="1" applyAlignment="1">
      <alignment horizontal="center"/>
    </xf>
    <xf numFmtId="217" fontId="41" fillId="14" borderId="0" xfId="3" applyNumberFormat="1" applyFont="1" applyFill="1"/>
    <xf numFmtId="235" fontId="71" fillId="10" borderId="7" xfId="3" applyNumberFormat="1" applyFont="1" applyFill="1" applyBorder="1" applyAlignment="1">
      <alignment horizontal="centerContinuous"/>
    </xf>
    <xf numFmtId="210" fontId="35" fillId="0" borderId="0" xfId="3" applyNumberFormat="1" applyFont="1" applyBorder="1" applyAlignment="1">
      <alignment horizontal="centerContinuous"/>
    </xf>
    <xf numFmtId="175" fontId="33" fillId="0" borderId="0" xfId="3" applyNumberFormat="1" applyFont="1" applyBorder="1"/>
    <xf numFmtId="210" fontId="35" fillId="0" borderId="24" xfId="3" applyNumberFormat="1" applyFont="1" applyFill="1" applyBorder="1"/>
    <xf numFmtId="217" fontId="54" fillId="0" borderId="0" xfId="3" applyNumberFormat="1" applyFont="1" applyFill="1"/>
    <xf numFmtId="209" fontId="41" fillId="0" borderId="26" xfId="3" applyNumberFormat="1" applyFont="1" applyBorder="1"/>
    <xf numFmtId="209" fontId="41" fillId="0" borderId="25" xfId="3" applyNumberFormat="1" applyFont="1" applyBorder="1"/>
    <xf numFmtId="209" fontId="41" fillId="0" borderId="25" xfId="3" applyNumberFormat="1" applyFont="1" applyFill="1" applyBorder="1"/>
    <xf numFmtId="209" fontId="41" fillId="0" borderId="24" xfId="3" applyNumberFormat="1" applyFont="1" applyBorder="1"/>
    <xf numFmtId="209" fontId="41" fillId="0" borderId="0" xfId="3" applyNumberFormat="1" applyFont="1" applyBorder="1"/>
    <xf numFmtId="7" fontId="35" fillId="0" borderId="0" xfId="3" applyNumberFormat="1" applyFont="1" applyFill="1" applyBorder="1"/>
    <xf numFmtId="215" fontId="44" fillId="0" borderId="0" xfId="3" applyNumberFormat="1" applyFont="1" applyFill="1" applyBorder="1"/>
    <xf numFmtId="215" fontId="54" fillId="0" borderId="0" xfId="3" applyNumberFormat="1" applyFont="1" applyFill="1" applyBorder="1"/>
    <xf numFmtId="37" fontId="33" fillId="0" borderId="0" xfId="3" applyNumberFormat="1" applyFont="1" applyFill="1" applyBorder="1"/>
    <xf numFmtId="177" fontId="33" fillId="0" borderId="0" xfId="3" applyNumberFormat="1" applyFont="1" applyBorder="1" applyAlignment="1">
      <alignment horizontal="right"/>
    </xf>
    <xf numFmtId="217" fontId="44" fillId="0" borderId="0" xfId="3" applyNumberFormat="1" applyFont="1" applyBorder="1" applyAlignment="1">
      <alignment horizontal="right"/>
    </xf>
    <xf numFmtId="220" fontId="59" fillId="11" borderId="0" xfId="3" applyNumberFormat="1" applyFont="1" applyFill="1" applyBorder="1" applyAlignment="1">
      <alignment horizontal="center"/>
    </xf>
    <xf numFmtId="231" fontId="59" fillId="11" borderId="35" xfId="3" applyNumberFormat="1" applyFont="1" applyFill="1" applyBorder="1" applyAlignment="1">
      <alignment horizontal="center"/>
    </xf>
    <xf numFmtId="225" fontId="59" fillId="11" borderId="0" xfId="3" applyNumberFormat="1" applyFont="1" applyFill="1" applyBorder="1" applyAlignment="1">
      <alignment horizontal="center"/>
    </xf>
    <xf numFmtId="168" fontId="33" fillId="0" borderId="0" xfId="3" applyNumberFormat="1" applyFont="1"/>
    <xf numFmtId="210" fontId="35" fillId="0" borderId="24" xfId="3" applyNumberFormat="1" applyFont="1" applyBorder="1"/>
    <xf numFmtId="0" fontId="41" fillId="0" borderId="0" xfId="3" applyFont="1" applyBorder="1" applyAlignment="1">
      <alignment horizontal="left" indent="1"/>
    </xf>
    <xf numFmtId="210" fontId="35" fillId="0" borderId="0" xfId="3" applyNumberFormat="1" applyFont="1" applyFill="1" applyBorder="1" applyAlignment="1">
      <alignment horizontal="center"/>
    </xf>
    <xf numFmtId="210" fontId="35" fillId="0" borderId="26" xfId="3" applyNumberFormat="1" applyFont="1" applyFill="1" applyBorder="1"/>
    <xf numFmtId="210" fontId="35" fillId="0" borderId="0" xfId="3" applyNumberFormat="1" applyFont="1" applyBorder="1" applyAlignment="1">
      <alignment horizontal="center"/>
    </xf>
    <xf numFmtId="208" fontId="33" fillId="0" borderId="0" xfId="3" applyNumberFormat="1" applyFont="1" applyBorder="1" applyAlignment="1">
      <alignment horizontal="center"/>
    </xf>
    <xf numFmtId="9" fontId="35" fillId="0" borderId="0" xfId="3" applyNumberFormat="1" applyFont="1" applyBorder="1" applyAlignment="1">
      <alignment horizontal="center"/>
    </xf>
    <xf numFmtId="210" fontId="35" fillId="0" borderId="53" xfId="3" applyNumberFormat="1" applyFont="1" applyBorder="1"/>
    <xf numFmtId="210" fontId="35" fillId="0" borderId="54" xfId="3" applyNumberFormat="1" applyFont="1" applyBorder="1"/>
    <xf numFmtId="210" fontId="35" fillId="0" borderId="55" xfId="3" applyNumberFormat="1" applyFont="1" applyBorder="1"/>
    <xf numFmtId="10" fontId="35" fillId="0" borderId="0" xfId="3" applyNumberFormat="1" applyFont="1" applyBorder="1"/>
    <xf numFmtId="240" fontId="35" fillId="0" borderId="41" xfId="3" applyNumberFormat="1" applyFont="1" applyBorder="1"/>
    <xf numFmtId="240" fontId="35" fillId="0" borderId="42" xfId="3" applyNumberFormat="1" applyFont="1" applyBorder="1"/>
    <xf numFmtId="240" fontId="35" fillId="0" borderId="43" xfId="3" applyNumberFormat="1" applyFont="1" applyBorder="1"/>
    <xf numFmtId="0" fontId="33" fillId="0" borderId="41" xfId="3" applyFont="1" applyBorder="1" applyAlignment="1">
      <alignment horizontal="center"/>
    </xf>
    <xf numFmtId="223" fontId="33" fillId="0" borderId="42" xfId="3" applyNumberFormat="1" applyFont="1" applyBorder="1"/>
    <xf numFmtId="240" fontId="33" fillId="0" borderId="42" xfId="3" applyNumberFormat="1" applyFont="1" applyBorder="1"/>
    <xf numFmtId="240" fontId="33" fillId="0" borderId="43" xfId="3" applyNumberFormat="1" applyFont="1" applyBorder="1"/>
    <xf numFmtId="209" fontId="44" fillId="0" borderId="0" xfId="3" applyNumberFormat="1" applyFont="1" applyFill="1" applyBorder="1" applyAlignment="1">
      <alignment horizontal="right"/>
    </xf>
    <xf numFmtId="0" fontId="45" fillId="0" borderId="0" xfId="3" applyNumberFormat="1" applyFont="1" applyFill="1" applyAlignment="1">
      <alignment horizontal="right"/>
    </xf>
    <xf numFmtId="217" fontId="33" fillId="0" borderId="0" xfId="3" applyNumberFormat="1" applyFont="1" applyFill="1" applyAlignment="1">
      <alignment horizontal="right"/>
    </xf>
    <xf numFmtId="212" fontId="44" fillId="0" borderId="26" xfId="3" applyNumberFormat="1" applyFont="1" applyFill="1" applyBorder="1"/>
    <xf numFmtId="212" fontId="33" fillId="0" borderId="0" xfId="3" applyNumberFormat="1" applyFont="1" applyFill="1" applyBorder="1" applyAlignment="1">
      <alignment horizontal="left"/>
    </xf>
    <xf numFmtId="175" fontId="38" fillId="0" borderId="0" xfId="3" applyNumberFormat="1" applyFont="1"/>
    <xf numFmtId="176" fontId="38" fillId="0" borderId="0" xfId="3" applyNumberFormat="1" applyFont="1"/>
    <xf numFmtId="177" fontId="38" fillId="0" borderId="0" xfId="3" applyNumberFormat="1" applyFont="1"/>
    <xf numFmtId="164" fontId="38" fillId="0" borderId="0" xfId="3" applyNumberFormat="1" applyFont="1"/>
    <xf numFmtId="0" fontId="42" fillId="0" borderId="0" xfId="3" applyFont="1" applyAlignment="1">
      <alignment horizontal="left"/>
    </xf>
    <xf numFmtId="37" fontId="38" fillId="7" borderId="5" xfId="3" applyNumberFormat="1" applyFont="1" applyFill="1" applyBorder="1" applyAlignment="1">
      <alignment horizontal="centerContinuous"/>
    </xf>
    <xf numFmtId="225" fontId="41" fillId="0" borderId="0" xfId="3" applyNumberFormat="1" applyFont="1" applyFill="1" applyBorder="1" applyAlignment="1">
      <alignment horizontal="center"/>
    </xf>
    <xf numFmtId="227" fontId="41" fillId="0" borderId="0" xfId="3" applyNumberFormat="1" applyFont="1" applyFill="1" applyBorder="1" applyAlignment="1">
      <alignment horizontal="center"/>
    </xf>
    <xf numFmtId="0" fontId="41" fillId="0" borderId="8" xfId="3" applyFont="1" applyBorder="1"/>
    <xf numFmtId="221" fontId="41" fillId="0" borderId="8" xfId="3" applyNumberFormat="1" applyFont="1" applyFill="1" applyBorder="1" applyAlignment="1">
      <alignment horizontal="center"/>
    </xf>
    <xf numFmtId="222" fontId="41" fillId="0" borderId="8" xfId="3" applyNumberFormat="1" applyFont="1" applyFill="1" applyBorder="1" applyAlignment="1">
      <alignment horizontal="center"/>
    </xf>
    <xf numFmtId="0" fontId="41" fillId="0" borderId="0" xfId="3" applyFont="1" applyBorder="1" applyAlignment="1">
      <alignment horizontal="center"/>
    </xf>
    <xf numFmtId="0" fontId="67" fillId="0" borderId="0" xfId="3" applyFont="1"/>
    <xf numFmtId="37" fontId="41" fillId="0" borderId="5" xfId="3" applyNumberFormat="1" applyFont="1" applyBorder="1" applyAlignment="1">
      <alignment horizontal="centerContinuous"/>
    </xf>
    <xf numFmtId="217" fontId="35" fillId="0" borderId="18" xfId="3" applyNumberFormat="1" applyFont="1" applyBorder="1"/>
    <xf numFmtId="217" fontId="35" fillId="0" borderId="17" xfId="3" applyNumberFormat="1" applyFont="1" applyBorder="1"/>
    <xf numFmtId="0" fontId="33" fillId="0" borderId="8" xfId="3" applyFont="1" applyBorder="1" applyAlignment="1">
      <alignment horizontal="center"/>
    </xf>
    <xf numFmtId="0" fontId="33" fillId="0" borderId="8" xfId="3" applyFont="1" applyBorder="1"/>
    <xf numFmtId="215" fontId="56" fillId="0" borderId="0" xfId="3" applyNumberFormat="1" applyFont="1" applyBorder="1" applyAlignment="1">
      <alignment horizontal="center"/>
    </xf>
    <xf numFmtId="215" fontId="46" fillId="0" borderId="0" xfId="3" applyNumberFormat="1" applyFont="1" applyAlignment="1">
      <alignment horizontal="center"/>
    </xf>
    <xf numFmtId="177" fontId="33" fillId="0" borderId="0" xfId="3" applyNumberFormat="1" applyFont="1"/>
    <xf numFmtId="0" fontId="34" fillId="0" borderId="0" xfId="3" applyFont="1"/>
    <xf numFmtId="215" fontId="46" fillId="0" borderId="0" xfId="3" applyNumberFormat="1" applyFont="1" applyBorder="1" applyAlignment="1">
      <alignment horizontal="center"/>
    </xf>
    <xf numFmtId="0" fontId="66" fillId="0" borderId="7" xfId="3" applyFont="1" applyFill="1" applyBorder="1" applyAlignment="1">
      <alignment horizontal="left"/>
    </xf>
    <xf numFmtId="0" fontId="35" fillId="0" borderId="7" xfId="3" applyFont="1" applyFill="1" applyBorder="1" applyAlignment="1">
      <alignment horizontal="centerContinuous"/>
    </xf>
    <xf numFmtId="231" fontId="41" fillId="0" borderId="2" xfId="3" applyNumberFormat="1" applyFont="1" applyFill="1" applyBorder="1" applyAlignment="1">
      <alignment horizontal="center"/>
    </xf>
    <xf numFmtId="225" fontId="41" fillId="0" borderId="2" xfId="3" applyNumberFormat="1" applyFont="1" applyFill="1" applyBorder="1" applyAlignment="1">
      <alignment horizontal="center"/>
    </xf>
    <xf numFmtId="227" fontId="41" fillId="0" borderId="2" xfId="3" applyNumberFormat="1" applyFont="1" applyFill="1" applyBorder="1" applyAlignment="1">
      <alignment horizontal="center"/>
    </xf>
    <xf numFmtId="210" fontId="44" fillId="0" borderId="40" xfId="68" applyNumberFormat="1" applyFont="1" applyBorder="1" applyAlignment="1">
      <alignment horizontal="right"/>
    </xf>
    <xf numFmtId="210" fontId="35" fillId="0" borderId="40" xfId="68" applyNumberFormat="1" applyFont="1" applyBorder="1" applyAlignment="1">
      <alignment horizontal="right"/>
    </xf>
    <xf numFmtId="210" fontId="44" fillId="0" borderId="40" xfId="3" applyNumberFormat="1" applyFont="1" applyBorder="1" applyAlignment="1">
      <alignment horizontal="right"/>
    </xf>
    <xf numFmtId="210" fontId="35" fillId="0" borderId="40" xfId="3" applyNumberFormat="1" applyFont="1" applyBorder="1" applyAlignment="1">
      <alignment horizontal="right"/>
    </xf>
    <xf numFmtId="210" fontId="35" fillId="0" borderId="0" xfId="68" applyNumberFormat="1" applyFont="1" applyBorder="1" applyAlignment="1">
      <alignment horizontal="right"/>
    </xf>
    <xf numFmtId="208" fontId="35" fillId="0" borderId="30" xfId="3" applyNumberFormat="1" applyFont="1" applyBorder="1"/>
    <xf numFmtId="210" fontId="35" fillId="0" borderId="30" xfId="3" applyNumberFormat="1" applyFont="1" applyBorder="1"/>
    <xf numFmtId="217" fontId="42" fillId="0" borderId="30" xfId="3" applyNumberFormat="1" applyFont="1" applyBorder="1"/>
    <xf numFmtId="210" fontId="41" fillId="0" borderId="0" xfId="3" applyNumberFormat="1" applyFont="1" applyFill="1" applyBorder="1"/>
    <xf numFmtId="0" fontId="44" fillId="0" borderId="0" xfId="3" applyFont="1" applyFill="1" applyBorder="1" applyAlignment="1">
      <alignment horizontal="centerContinuous"/>
    </xf>
    <xf numFmtId="0" fontId="49" fillId="0" borderId="0" xfId="3" applyFont="1" applyFill="1" applyBorder="1" applyAlignment="1">
      <alignment horizontal="right" indent="1"/>
    </xf>
    <xf numFmtId="234" fontId="35" fillId="0" borderId="0" xfId="3" applyNumberFormat="1" applyFont="1" applyBorder="1"/>
    <xf numFmtId="209" fontId="41" fillId="0" borderId="0" xfId="3" applyNumberFormat="1" applyFont="1" applyFill="1" applyBorder="1"/>
    <xf numFmtId="215" fontId="54" fillId="0" borderId="0" xfId="3" applyNumberFormat="1" applyFont="1" applyBorder="1"/>
    <xf numFmtId="208" fontId="35" fillId="0" borderId="25" xfId="3" applyNumberFormat="1" applyFont="1" applyFill="1" applyBorder="1"/>
    <xf numFmtId="217" fontId="33" fillId="0" borderId="0" xfId="3" applyNumberFormat="1" applyFont="1" applyBorder="1" applyAlignment="1">
      <alignment horizontal="right"/>
    </xf>
    <xf numFmtId="221" fontId="41" fillId="0" borderId="0" xfId="3" applyNumberFormat="1" applyFont="1" applyFill="1" applyBorder="1" applyAlignment="1">
      <alignment horizontal="left"/>
    </xf>
    <xf numFmtId="221" fontId="41" fillId="0" borderId="0" xfId="3" applyNumberFormat="1" applyFont="1" applyFill="1" applyBorder="1" applyAlignment="1">
      <alignment horizontal="center"/>
    </xf>
    <xf numFmtId="220" fontId="41" fillId="0" borderId="8" xfId="3" applyNumberFormat="1" applyFont="1" applyFill="1" applyBorder="1" applyAlignment="1">
      <alignment horizontal="center"/>
    </xf>
    <xf numFmtId="220" fontId="41" fillId="0" borderId="4" xfId="3" applyNumberFormat="1" applyFont="1" applyFill="1" applyBorder="1" applyAlignment="1">
      <alignment horizontal="center"/>
    </xf>
    <xf numFmtId="221" fontId="41" fillId="0" borderId="4" xfId="3" applyNumberFormat="1" applyFont="1" applyFill="1" applyBorder="1" applyAlignment="1">
      <alignment horizontal="center"/>
    </xf>
    <xf numFmtId="222" fontId="41" fillId="0" borderId="4" xfId="3" applyNumberFormat="1" applyFont="1" applyFill="1" applyBorder="1" applyAlignment="1">
      <alignment horizontal="center"/>
    </xf>
    <xf numFmtId="0" fontId="67" fillId="0" borderId="0" xfId="3" applyFont="1" applyBorder="1"/>
    <xf numFmtId="37" fontId="41" fillId="0" borderId="5" xfId="3" applyNumberFormat="1" applyFont="1" applyBorder="1" applyAlignment="1">
      <alignment horizontal="center"/>
    </xf>
    <xf numFmtId="217" fontId="35" fillId="0" borderId="17" xfId="3" applyNumberFormat="1" applyFont="1" applyFill="1" applyBorder="1"/>
    <xf numFmtId="177" fontId="33" fillId="0" borderId="0" xfId="3" applyNumberFormat="1" applyFont="1" applyFill="1"/>
    <xf numFmtId="217" fontId="35" fillId="0" borderId="4" xfId="3" applyNumberFormat="1" applyFont="1" applyBorder="1"/>
    <xf numFmtId="0" fontId="108" fillId="0" borderId="0" xfId="3" applyFont="1" applyFill="1"/>
    <xf numFmtId="0" fontId="104" fillId="0" borderId="0" xfId="3" applyFont="1" applyBorder="1"/>
    <xf numFmtId="0" fontId="37" fillId="0" borderId="0" xfId="3" applyFont="1" applyFill="1" applyBorder="1" applyAlignment="1">
      <alignment horizontal="centerContinuous"/>
    </xf>
    <xf numFmtId="0" fontId="70" fillId="0" borderId="0" xfId="3" applyFont="1" applyFill="1" applyBorder="1"/>
    <xf numFmtId="0" fontId="70" fillId="0" borderId="0" xfId="3" applyFont="1" applyFill="1" applyBorder="1" applyAlignment="1">
      <alignment horizontal="centerContinuous"/>
    </xf>
    <xf numFmtId="210" fontId="45" fillId="0" borderId="0" xfId="3" applyNumberFormat="1" applyFont="1" applyFill="1" applyBorder="1"/>
    <xf numFmtId="0" fontId="70" fillId="0" borderId="7" xfId="3" applyFont="1" applyFill="1" applyBorder="1" applyAlignment="1">
      <alignment horizontal="centerContinuous"/>
    </xf>
    <xf numFmtId="0" fontId="63" fillId="0" borderId="0" xfId="3" quotePrefix="1" applyFont="1" applyFill="1" applyAlignment="1">
      <alignment horizontal="left"/>
    </xf>
    <xf numFmtId="0" fontId="104" fillId="0" borderId="0" xfId="3" applyFont="1" applyFill="1"/>
    <xf numFmtId="0" fontId="104" fillId="0" borderId="0" xfId="3" quotePrefix="1" applyFont="1" applyFill="1" applyAlignment="1">
      <alignment horizontal="center"/>
    </xf>
    <xf numFmtId="0" fontId="109" fillId="0" borderId="0" xfId="3" applyFont="1" applyFill="1" applyBorder="1" applyAlignment="1">
      <alignment horizontal="left"/>
    </xf>
    <xf numFmtId="171" fontId="104" fillId="0" borderId="0" xfId="3" quotePrefix="1" applyNumberFormat="1" applyFont="1" applyFill="1" applyAlignment="1">
      <alignment horizontal="left"/>
    </xf>
    <xf numFmtId="171" fontId="104" fillId="0" borderId="0" xfId="3" applyNumberFormat="1" applyFont="1" applyFill="1"/>
    <xf numFmtId="0" fontId="43" fillId="0" borderId="0" xfId="3" applyFont="1" applyFill="1" applyAlignment="1">
      <alignment horizontal="left"/>
    </xf>
    <xf numFmtId="0" fontId="35" fillId="0" borderId="0" xfId="3" quotePrefix="1" applyFont="1" applyFill="1" applyAlignment="1">
      <alignment horizontal="center"/>
    </xf>
    <xf numFmtId="171" fontId="43" fillId="0" borderId="0" xfId="3" applyNumberFormat="1" applyFont="1" applyFill="1" applyAlignment="1">
      <alignment horizontal="left"/>
    </xf>
    <xf numFmtId="171" fontId="35" fillId="0" borderId="0" xfId="3" applyNumberFormat="1" applyFont="1" applyFill="1"/>
    <xf numFmtId="216" fontId="33" fillId="0" borderId="8" xfId="3" applyNumberFormat="1" applyFont="1" applyFill="1" applyBorder="1" applyAlignment="1">
      <alignment horizontal="right" indent="1"/>
    </xf>
    <xf numFmtId="223" fontId="33" fillId="0" borderId="8" xfId="3" applyNumberFormat="1" applyFont="1" applyFill="1" applyBorder="1" applyAlignment="1">
      <alignment horizontal="right" indent="1"/>
    </xf>
    <xf numFmtId="0" fontId="33" fillId="0" borderId="0" xfId="3" applyFont="1" applyFill="1"/>
    <xf numFmtId="208" fontId="33" fillId="0" borderId="0" xfId="3" quotePrefix="1" applyNumberFormat="1" applyFont="1" applyFill="1" applyBorder="1" applyAlignment="1">
      <alignment horizontal="right"/>
    </xf>
    <xf numFmtId="167" fontId="33" fillId="0" borderId="0" xfId="3" quotePrefix="1" applyNumberFormat="1" applyFont="1" applyFill="1" applyBorder="1" applyAlignment="1">
      <alignment horizontal="right"/>
    </xf>
    <xf numFmtId="216" fontId="33" fillId="0" borderId="0" xfId="3" applyNumberFormat="1" applyFont="1" applyFill="1" applyBorder="1" applyAlignment="1">
      <alignment horizontal="right" indent="1"/>
    </xf>
    <xf numFmtId="223" fontId="33" fillId="0" borderId="0" xfId="3" applyNumberFormat="1" applyFont="1" applyFill="1" applyBorder="1" applyAlignment="1">
      <alignment horizontal="right" indent="1"/>
    </xf>
    <xf numFmtId="210" fontId="33" fillId="0" borderId="0" xfId="3" quotePrefix="1" applyNumberFormat="1" applyFont="1" applyFill="1" applyBorder="1" applyAlignment="1">
      <alignment horizontal="right"/>
    </xf>
    <xf numFmtId="168" fontId="33" fillId="0" borderId="0" xfId="3" quotePrefix="1" applyNumberFormat="1" applyFont="1" applyFill="1" applyBorder="1" applyAlignment="1">
      <alignment horizontal="right"/>
    </xf>
    <xf numFmtId="168" fontId="33" fillId="0" borderId="0" xfId="3" applyNumberFormat="1" applyFont="1" applyFill="1" applyBorder="1"/>
    <xf numFmtId="0" fontId="45" fillId="0" borderId="0" xfId="3" applyFont="1" applyFill="1" applyAlignment="1">
      <alignment horizontal="left" indent="1"/>
    </xf>
    <xf numFmtId="168" fontId="45" fillId="0" borderId="0" xfId="3" applyNumberFormat="1" applyFont="1" applyFill="1" applyBorder="1"/>
    <xf numFmtId="0" fontId="45" fillId="0" borderId="0" xfId="3" applyFont="1" applyFill="1" applyAlignment="1">
      <alignment horizontal="left"/>
    </xf>
    <xf numFmtId="208" fontId="45" fillId="0" borderId="27" xfId="3" applyNumberFormat="1" applyFont="1" applyFill="1" applyBorder="1"/>
    <xf numFmtId="167" fontId="45" fillId="0" borderId="0" xfId="3" applyNumberFormat="1" applyFont="1" applyFill="1" applyBorder="1"/>
    <xf numFmtId="210" fontId="45" fillId="0" borderId="27" xfId="3" applyNumberFormat="1" applyFont="1" applyFill="1" applyBorder="1"/>
    <xf numFmtId="0" fontId="104" fillId="0" borderId="0" xfId="3" quotePrefix="1" applyFont="1" applyFill="1" applyAlignment="1">
      <alignment horizontal="left"/>
    </xf>
    <xf numFmtId="0" fontId="104" fillId="0" borderId="0" xfId="3" applyFont="1" applyFill="1" applyBorder="1"/>
    <xf numFmtId="175" fontId="104" fillId="0" borderId="0" xfId="3" applyNumberFormat="1" applyFont="1" applyFill="1" applyBorder="1" applyAlignment="1">
      <alignment horizontal="right"/>
    </xf>
    <xf numFmtId="171" fontId="104" fillId="0" borderId="0" xfId="3" applyNumberFormat="1" applyFont="1" applyFill="1" applyAlignment="1">
      <alignment horizontal="right"/>
    </xf>
    <xf numFmtId="171" fontId="104" fillId="0" borderId="0" xfId="3" quotePrefix="1" applyNumberFormat="1" applyFont="1" applyFill="1" applyBorder="1" applyAlignment="1">
      <alignment horizontal="left"/>
    </xf>
    <xf numFmtId="171" fontId="104" fillId="0" borderId="0" xfId="3" applyNumberFormat="1" applyFont="1" applyFill="1" applyBorder="1" applyAlignment="1">
      <alignment horizontal="right"/>
    </xf>
    <xf numFmtId="0" fontId="55" fillId="0" borderId="8" xfId="3" applyFont="1" applyFill="1" applyBorder="1"/>
    <xf numFmtId="0" fontId="110" fillId="0" borderId="8" xfId="3" applyFont="1" applyFill="1" applyBorder="1"/>
    <xf numFmtId="175" fontId="110" fillId="0" borderId="8" xfId="3" applyNumberFormat="1" applyFont="1" applyFill="1" applyBorder="1" applyAlignment="1">
      <alignment horizontal="right"/>
    </xf>
    <xf numFmtId="171" fontId="110" fillId="0" borderId="8" xfId="3" quotePrefix="1" applyNumberFormat="1" applyFont="1" applyFill="1" applyBorder="1" applyAlignment="1">
      <alignment horizontal="left"/>
    </xf>
    <xf numFmtId="171" fontId="110" fillId="0" borderId="8" xfId="3" applyNumberFormat="1" applyFont="1" applyFill="1" applyBorder="1" applyAlignment="1">
      <alignment horizontal="right"/>
    </xf>
    <xf numFmtId="0" fontId="54" fillId="0" borderId="0" xfId="3" applyFont="1" applyBorder="1"/>
    <xf numFmtId="171" fontId="35" fillId="0" borderId="0" xfId="3" quotePrefix="1" applyNumberFormat="1" applyFont="1" applyAlignment="1">
      <alignment horizontal="left"/>
    </xf>
    <xf numFmtId="171" fontId="35" fillId="0" borderId="0" xfId="3" applyNumberFormat="1" applyFont="1" applyAlignment="1">
      <alignment horizontal="right"/>
    </xf>
    <xf numFmtId="0" fontId="109" fillId="0" borderId="0" xfId="3" applyFont="1" applyBorder="1" applyAlignment="1">
      <alignment horizontal="left"/>
    </xf>
    <xf numFmtId="0" fontId="104" fillId="0" borderId="0" xfId="3" quotePrefix="1" applyFont="1" applyBorder="1" applyAlignment="1">
      <alignment horizontal="center"/>
    </xf>
    <xf numFmtId="171" fontId="104" fillId="0" borderId="0" xfId="3" quotePrefix="1" applyNumberFormat="1" applyFont="1" applyBorder="1" applyAlignment="1">
      <alignment horizontal="left"/>
    </xf>
    <xf numFmtId="171" fontId="104" fillId="0" borderId="0" xfId="3" applyNumberFormat="1" applyFont="1" applyBorder="1"/>
    <xf numFmtId="0" fontId="43" fillId="0" borderId="0" xfId="3" applyFont="1" applyBorder="1" applyAlignment="1">
      <alignment horizontal="left"/>
    </xf>
    <xf numFmtId="0" fontId="35" fillId="0" borderId="0" xfId="3" quotePrefix="1" applyFont="1" applyBorder="1" applyAlignment="1">
      <alignment horizontal="center"/>
    </xf>
    <xf numFmtId="171" fontId="43" fillId="0" borderId="0" xfId="3" applyNumberFormat="1" applyFont="1" applyBorder="1" applyAlignment="1">
      <alignment horizontal="left"/>
    </xf>
    <xf numFmtId="171" fontId="35" fillId="0" borderId="0" xfId="3" applyNumberFormat="1" applyFont="1" applyBorder="1"/>
    <xf numFmtId="0" fontId="72" fillId="0" borderId="0" xfId="3" applyFont="1" applyBorder="1"/>
    <xf numFmtId="1" fontId="35" fillId="0" borderId="0" xfId="3" applyNumberFormat="1" applyFont="1" applyBorder="1" applyAlignment="1">
      <alignment horizontal="center"/>
    </xf>
    <xf numFmtId="0" fontId="35" fillId="0" borderId="0" xfId="3" quotePrefix="1" applyFont="1" applyBorder="1" applyAlignment="1">
      <alignment horizontal="centerContinuous"/>
    </xf>
    <xf numFmtId="216" fontId="54" fillId="0" borderId="0" xfId="3" quotePrefix="1" applyNumberFormat="1" applyFont="1" applyBorder="1" applyAlignment="1">
      <alignment horizontal="center"/>
    </xf>
    <xf numFmtId="14" fontId="45" fillId="0" borderId="0" xfId="3" quotePrefix="1" applyNumberFormat="1" applyFont="1" applyBorder="1" applyAlignment="1">
      <alignment horizontal="center"/>
    </xf>
    <xf numFmtId="216" fontId="33" fillId="0" borderId="0" xfId="3" applyNumberFormat="1" applyFont="1" applyBorder="1" applyAlignment="1">
      <alignment horizontal="right" indent="1"/>
    </xf>
    <xf numFmtId="223" fontId="33" fillId="0" borderId="0" xfId="3" applyNumberFormat="1" applyFont="1" applyBorder="1" applyAlignment="1">
      <alignment horizontal="right" indent="1"/>
    </xf>
    <xf numFmtId="208" fontId="33" fillId="0" borderId="0" xfId="3" quotePrefix="1" applyNumberFormat="1" applyFont="1" applyBorder="1" applyAlignment="1">
      <alignment horizontal="right"/>
    </xf>
    <xf numFmtId="167" fontId="33" fillId="0" borderId="0" xfId="3" quotePrefix="1" applyNumberFormat="1" applyFont="1" applyBorder="1" applyAlignment="1">
      <alignment horizontal="right"/>
    </xf>
    <xf numFmtId="210" fontId="33" fillId="0" borderId="0" xfId="3" quotePrefix="1" applyNumberFormat="1" applyFont="1" applyBorder="1" applyAlignment="1">
      <alignment horizontal="right"/>
    </xf>
    <xf numFmtId="168" fontId="33" fillId="0" borderId="0" xfId="3" quotePrefix="1" applyNumberFormat="1" applyFont="1" applyBorder="1" applyAlignment="1">
      <alignment horizontal="right"/>
    </xf>
    <xf numFmtId="0" fontId="45" fillId="0" borderId="0" xfId="3" applyFont="1" applyBorder="1" applyAlignment="1">
      <alignment horizontal="left" indent="1"/>
    </xf>
    <xf numFmtId="0" fontId="45" fillId="0" borderId="0" xfId="3" applyFont="1" applyBorder="1" applyAlignment="1">
      <alignment horizontal="left"/>
    </xf>
    <xf numFmtId="167" fontId="45" fillId="0" borderId="0" xfId="3" applyNumberFormat="1" applyFont="1" applyBorder="1"/>
    <xf numFmtId="0" fontId="111" fillId="0" borderId="0" xfId="3" applyFont="1" applyBorder="1"/>
    <xf numFmtId="0" fontId="62" fillId="13" borderId="18" xfId="3" applyFont="1" applyFill="1" applyBorder="1" applyAlignment="1">
      <alignment horizontal="centerContinuous"/>
    </xf>
    <xf numFmtId="0" fontId="51" fillId="13" borderId="4" xfId="3" applyFont="1" applyFill="1" applyBorder="1" applyAlignment="1">
      <alignment horizontal="centerContinuous"/>
    </xf>
    <xf numFmtId="0" fontId="51" fillId="13" borderId="17" xfId="3" applyFont="1" applyFill="1" applyBorder="1" applyAlignment="1">
      <alignment horizontal="centerContinuous"/>
    </xf>
    <xf numFmtId="0" fontId="37" fillId="0" borderId="0" xfId="3" applyFont="1" applyBorder="1" applyAlignment="1">
      <alignment horizontal="centerContinuous"/>
    </xf>
    <xf numFmtId="0" fontId="72" fillId="0" borderId="0" xfId="3" applyFont="1" applyBorder="1" applyAlignment="1">
      <alignment horizontal="left"/>
    </xf>
    <xf numFmtId="216" fontId="44" fillId="0" borderId="4" xfId="3" applyNumberFormat="1" applyFont="1" applyBorder="1" applyAlignment="1">
      <alignment horizontal="center"/>
    </xf>
    <xf numFmtId="208" fontId="33" fillId="0" borderId="2" xfId="3" applyNumberFormat="1" applyFont="1" applyBorder="1"/>
    <xf numFmtId="208" fontId="35" fillId="0" borderId="2" xfId="3" applyNumberFormat="1" applyFont="1" applyBorder="1"/>
    <xf numFmtId="208" fontId="35" fillId="0" borderId="27" xfId="3" applyNumberFormat="1" applyFont="1" applyBorder="1"/>
    <xf numFmtId="210" fontId="42" fillId="0" borderId="0" xfId="3" applyNumberFormat="1" applyFont="1"/>
    <xf numFmtId="230" fontId="35" fillId="0" borderId="0" xfId="3" applyNumberFormat="1" applyFont="1"/>
    <xf numFmtId="238" fontId="35" fillId="0" borderId="0" xfId="3" applyNumberFormat="1" applyFont="1"/>
    <xf numFmtId="0" fontId="43" fillId="0" borderId="0" xfId="3" quotePrefix="1" applyFont="1" applyAlignment="1">
      <alignment horizontal="left"/>
    </xf>
    <xf numFmtId="0" fontId="112" fillId="0" borderId="0" xfId="3" applyFont="1" applyFill="1" applyBorder="1" applyAlignment="1">
      <alignment horizontal="centerContinuous"/>
    </xf>
    <xf numFmtId="176" fontId="44" fillId="0" borderId="0" xfId="47" applyNumberFormat="1" applyFont="1" applyFill="1"/>
    <xf numFmtId="164" fontId="42" fillId="0" borderId="8" xfId="3" applyNumberFormat="1" applyFont="1" applyBorder="1"/>
    <xf numFmtId="0" fontId="70" fillId="0" borderId="0" xfId="3" applyFont="1" applyBorder="1" applyAlignment="1"/>
    <xf numFmtId="0" fontId="34" fillId="0" borderId="0" xfId="3" applyFont="1" applyFill="1" applyBorder="1"/>
    <xf numFmtId="1" fontId="41" fillId="11" borderId="0" xfId="3" applyNumberFormat="1" applyFont="1" applyFill="1" applyAlignment="1">
      <alignment horizontal="center"/>
    </xf>
    <xf numFmtId="1" fontId="41" fillId="11" borderId="0" xfId="3" applyNumberFormat="1" applyFont="1" applyFill="1" applyBorder="1" applyAlignment="1">
      <alignment horizontal="center"/>
    </xf>
    <xf numFmtId="0" fontId="41" fillId="11" borderId="0" xfId="3" quotePrefix="1" applyFont="1" applyFill="1" applyAlignment="1">
      <alignment horizontal="centerContinuous"/>
    </xf>
    <xf numFmtId="0" fontId="41" fillId="11" borderId="0" xfId="3" applyFont="1" applyFill="1" applyAlignment="1">
      <alignment horizontal="center"/>
    </xf>
    <xf numFmtId="216" fontId="79" fillId="11" borderId="2" xfId="3" quotePrefix="1" applyNumberFormat="1" applyFont="1" applyFill="1" applyBorder="1" applyAlignment="1">
      <alignment horizontal="center"/>
    </xf>
    <xf numFmtId="14" fontId="64" fillId="11" borderId="0" xfId="3" quotePrefix="1" applyNumberFormat="1" applyFont="1" applyFill="1" applyBorder="1" applyAlignment="1">
      <alignment horizontal="center"/>
    </xf>
    <xf numFmtId="0" fontId="41" fillId="11" borderId="2" xfId="3" quotePrefix="1" applyFont="1" applyFill="1" applyBorder="1" applyAlignment="1">
      <alignment horizontal="centerContinuous"/>
    </xf>
    <xf numFmtId="171" fontId="35" fillId="0" borderId="0" xfId="3" quotePrefix="1" applyNumberFormat="1" applyFont="1" applyFill="1" applyAlignment="1">
      <alignment horizontal="left"/>
    </xf>
    <xf numFmtId="171" fontId="35" fillId="0" borderId="0" xfId="3" applyNumberFormat="1" applyFont="1" applyFill="1" applyAlignment="1">
      <alignment horizontal="right"/>
    </xf>
    <xf numFmtId="0" fontId="44" fillId="0" borderId="0" xfId="0" applyFont="1" applyFill="1"/>
    <xf numFmtId="216" fontId="44" fillId="0" borderId="0" xfId="3" applyNumberFormat="1" applyFont="1" applyFill="1" applyBorder="1" applyAlignment="1">
      <alignment horizontal="center"/>
    </xf>
    <xf numFmtId="0" fontId="113" fillId="0" borderId="0" xfId="3" applyFont="1" applyFill="1" applyAlignment="1">
      <alignment horizontal="right"/>
    </xf>
    <xf numFmtId="0" fontId="49" fillId="14" borderId="40" xfId="3" applyFont="1" applyFill="1" applyBorder="1"/>
    <xf numFmtId="1" fontId="35" fillId="11" borderId="0" xfId="3" applyNumberFormat="1" applyFont="1" applyFill="1" applyAlignment="1">
      <alignment horizontal="center"/>
    </xf>
    <xf numFmtId="1" fontId="35" fillId="11" borderId="0" xfId="3" applyNumberFormat="1" applyFont="1" applyFill="1" applyBorder="1" applyAlignment="1">
      <alignment horizontal="center"/>
    </xf>
    <xf numFmtId="0" fontId="35" fillId="11" borderId="0" xfId="3" quotePrefix="1" applyFont="1" applyFill="1" applyAlignment="1">
      <alignment horizontal="centerContinuous"/>
    </xf>
    <xf numFmtId="0" fontId="35" fillId="11" borderId="0" xfId="3" applyFont="1" applyFill="1" applyAlignment="1">
      <alignment horizontal="center"/>
    </xf>
    <xf numFmtId="216" fontId="44" fillId="11" borderId="2" xfId="3" quotePrefix="1" applyNumberFormat="1" applyFont="1" applyFill="1" applyBorder="1" applyAlignment="1">
      <alignment horizontal="center"/>
    </xf>
    <xf numFmtId="14" fontId="45" fillId="11" borderId="0" xfId="3" quotePrefix="1" applyNumberFormat="1" applyFont="1" applyFill="1" applyBorder="1" applyAlignment="1">
      <alignment horizontal="center"/>
    </xf>
    <xf numFmtId="0" fontId="35" fillId="11" borderId="2" xfId="3" quotePrefix="1" applyFont="1" applyFill="1" applyBorder="1" applyAlignment="1">
      <alignment horizontal="centerContinuous"/>
    </xf>
    <xf numFmtId="0" fontId="114" fillId="13" borderId="0" xfId="70" applyFont="1" applyFill="1"/>
    <xf numFmtId="0" fontId="114" fillId="0" borderId="0" xfId="70" applyFont="1" applyFill="1" applyBorder="1"/>
    <xf numFmtId="0" fontId="115" fillId="0" borderId="0" xfId="70" applyFont="1" applyFill="1" applyBorder="1" applyProtection="1">
      <protection locked="0"/>
    </xf>
    <xf numFmtId="0" fontId="88" fillId="0" borderId="0" xfId="70" applyFont="1" applyFill="1" applyBorder="1" applyAlignment="1">
      <alignment horizontal="right"/>
    </xf>
    <xf numFmtId="0" fontId="114" fillId="0" borderId="0" xfId="70" applyFont="1" applyFill="1" applyBorder="1" applyProtection="1">
      <protection locked="0"/>
    </xf>
    <xf numFmtId="0" fontId="117" fillId="0" borderId="0" xfId="71" applyFont="1" applyFill="1" applyBorder="1" applyProtection="1">
      <protection locked="0"/>
    </xf>
    <xf numFmtId="0" fontId="114" fillId="0" borderId="40" xfId="70" applyFont="1" applyFill="1" applyBorder="1"/>
    <xf numFmtId="0" fontId="118" fillId="0" borderId="0" xfId="72" applyFont="1" applyFill="1" applyBorder="1"/>
    <xf numFmtId="0" fontId="119" fillId="10" borderId="0" xfId="70" applyFont="1" applyFill="1" applyBorder="1"/>
    <xf numFmtId="0" fontId="114" fillId="10" borderId="0" xfId="70" applyFont="1" applyFill="1" applyBorder="1"/>
    <xf numFmtId="0" fontId="114" fillId="14" borderId="0" xfId="70" applyFont="1" applyFill="1"/>
    <xf numFmtId="0" fontId="119" fillId="10" borderId="0" xfId="70" applyFont="1" applyFill="1"/>
    <xf numFmtId="217" fontId="35" fillId="0" borderId="38" xfId="3" applyNumberFormat="1" applyFont="1" applyBorder="1" applyAlignment="1">
      <alignment horizontal="right"/>
    </xf>
    <xf numFmtId="0" fontId="88" fillId="0" borderId="2" xfId="70" applyFont="1" applyFill="1" applyBorder="1" applyProtection="1">
      <protection locked="0"/>
    </xf>
    <xf numFmtId="210" fontId="45" fillId="0" borderId="0" xfId="47" applyNumberFormat="1" applyFont="1" applyFill="1" applyBorder="1"/>
    <xf numFmtId="210" fontId="35" fillId="0" borderId="0" xfId="3" applyNumberFormat="1" applyFont="1" applyFill="1" applyAlignment="1">
      <alignment horizontal="left" indent="1"/>
    </xf>
    <xf numFmtId="210" fontId="33" fillId="0" borderId="37" xfId="3" applyNumberFormat="1" applyFont="1" applyBorder="1" applyAlignment="1">
      <alignment horizontal="right"/>
    </xf>
    <xf numFmtId="250" fontId="35" fillId="0" borderId="0" xfId="3" applyNumberFormat="1" applyFont="1"/>
    <xf numFmtId="217" fontId="35" fillId="0" borderId="0" xfId="3" applyNumberFormat="1" applyFont="1" applyFill="1" applyBorder="1"/>
    <xf numFmtId="7" fontId="41" fillId="0" borderId="0" xfId="3" applyNumberFormat="1" applyFont="1" applyFill="1"/>
    <xf numFmtId="251" fontId="33" fillId="0" borderId="0" xfId="3" applyNumberFormat="1" applyFont="1" applyBorder="1"/>
    <xf numFmtId="251" fontId="35" fillId="0" borderId="0" xfId="3" applyNumberFormat="1" applyFont="1" applyBorder="1"/>
    <xf numFmtId="240" fontId="44" fillId="0" borderId="0" xfId="3" applyNumberFormat="1" applyFont="1" applyBorder="1"/>
    <xf numFmtId="0" fontId="133" fillId="0" borderId="0" xfId="3" applyFont="1" applyBorder="1"/>
    <xf numFmtId="0" fontId="134" fillId="0" borderId="0" xfId="3" applyFont="1"/>
    <xf numFmtId="214" fontId="135" fillId="0" borderId="0" xfId="3" applyNumberFormat="1" applyFont="1" applyFill="1" applyBorder="1" applyAlignment="1">
      <alignment horizontal="right"/>
    </xf>
    <xf numFmtId="214" fontId="2" fillId="0" borderId="0" xfId="3" applyNumberFormat="1" applyFont="1" applyFill="1" applyBorder="1" applyAlignment="1">
      <alignment horizontal="right"/>
    </xf>
    <xf numFmtId="0" fontId="134" fillId="0" borderId="0" xfId="3" applyFont="1" applyBorder="1"/>
    <xf numFmtId="0" fontId="2" fillId="0" borderId="0" xfId="3" applyFont="1" applyBorder="1"/>
    <xf numFmtId="0" fontId="136" fillId="0" borderId="0" xfId="3" applyFont="1" applyFill="1" applyBorder="1"/>
    <xf numFmtId="0" fontId="2" fillId="0" borderId="0" xfId="3" applyFont="1" applyBorder="1" applyAlignment="1">
      <alignment horizontal="centerContinuous"/>
    </xf>
    <xf numFmtId="0" fontId="137" fillId="0" borderId="0" xfId="3" applyFont="1" applyBorder="1"/>
    <xf numFmtId="0" fontId="138" fillId="0" borderId="7" xfId="3" applyFont="1" applyBorder="1" applyAlignment="1">
      <alignment horizontal="left"/>
    </xf>
    <xf numFmtId="0" fontId="137" fillId="0" borderId="7" xfId="3" applyFont="1" applyBorder="1" applyAlignment="1">
      <alignment horizontal="centerContinuous"/>
    </xf>
    <xf numFmtId="0" fontId="137" fillId="0" borderId="0" xfId="3" applyFont="1" applyBorder="1" applyAlignment="1">
      <alignment horizontal="centerContinuous"/>
    </xf>
    <xf numFmtId="0" fontId="139" fillId="0" borderId="0" xfId="3" applyFont="1" applyBorder="1" applyAlignment="1">
      <alignment horizontal="right"/>
    </xf>
    <xf numFmtId="0" fontId="2" fillId="0" borderId="0" xfId="3" applyFont="1"/>
    <xf numFmtId="0" fontId="2" fillId="0" borderId="0" xfId="3" applyFont="1" applyAlignment="1">
      <alignment horizontal="centerContinuous"/>
    </xf>
    <xf numFmtId="0" fontId="2" fillId="0" borderId="0" xfId="3" applyFont="1" applyBorder="1" applyAlignment="1">
      <alignment horizontal="center"/>
    </xf>
    <xf numFmtId="0" fontId="140" fillId="0" borderId="4" xfId="3" applyFont="1" applyBorder="1" applyAlignment="1">
      <alignment horizontal="centerContinuous"/>
    </xf>
    <xf numFmtId="0" fontId="140" fillId="0" borderId="17" xfId="3" applyFont="1" applyBorder="1" applyAlignment="1">
      <alignment horizontal="centerContinuous"/>
    </xf>
    <xf numFmtId="0" fontId="141" fillId="9" borderId="2" xfId="3" applyFont="1" applyFill="1" applyBorder="1" applyAlignment="1">
      <alignment horizontal="centerContinuous"/>
    </xf>
    <xf numFmtId="229" fontId="142" fillId="0" borderId="40" xfId="3" applyNumberFormat="1" applyFont="1" applyBorder="1"/>
    <xf numFmtId="222" fontId="2" fillId="0" borderId="0" xfId="3" applyNumberFormat="1" applyFont="1" applyFill="1" applyBorder="1" applyAlignment="1">
      <alignment horizontal="center"/>
    </xf>
    <xf numFmtId="217" fontId="142" fillId="0" borderId="0" xfId="3" applyNumberFormat="1" applyFont="1" applyBorder="1"/>
    <xf numFmtId="0" fontId="143" fillId="0" borderId="0" xfId="3" applyFont="1" applyAlignment="1">
      <alignment horizontal="left" indent="1"/>
    </xf>
    <xf numFmtId="0" fontId="143" fillId="0" borderId="0" xfId="3" applyFont="1"/>
    <xf numFmtId="217" fontId="143" fillId="0" borderId="0" xfId="3" applyNumberFormat="1" applyFont="1"/>
    <xf numFmtId="210" fontId="142" fillId="0" borderId="0" xfId="3" applyNumberFormat="1" applyFont="1" applyBorder="1"/>
    <xf numFmtId="217" fontId="143" fillId="0" borderId="0" xfId="3" applyNumberFormat="1" applyFont="1" applyBorder="1"/>
    <xf numFmtId="216" fontId="135" fillId="0" borderId="0" xfId="3" applyNumberFormat="1" applyFont="1" applyBorder="1"/>
    <xf numFmtId="164" fontId="135" fillId="0" borderId="0" xfId="3" applyNumberFormat="1" applyFont="1"/>
    <xf numFmtId="210" fontId="2" fillId="0" borderId="2" xfId="3" applyNumberFormat="1" applyFont="1" applyBorder="1"/>
    <xf numFmtId="0" fontId="2" fillId="0" borderId="0" xfId="3" applyFont="1" applyBorder="1" applyAlignment="1">
      <alignment horizontal="left" indent="1"/>
    </xf>
    <xf numFmtId="210" fontId="2" fillId="0" borderId="0" xfId="3" applyNumberFormat="1" applyFont="1" applyBorder="1"/>
    <xf numFmtId="210" fontId="2" fillId="0" borderId="53" xfId="3" applyNumberFormat="1" applyFont="1" applyBorder="1"/>
    <xf numFmtId="210" fontId="2" fillId="0" borderId="40" xfId="3" applyNumberFormat="1" applyFont="1" applyBorder="1"/>
    <xf numFmtId="208" fontId="2" fillId="0" borderId="53" xfId="3" applyNumberFormat="1" applyFont="1" applyBorder="1"/>
    <xf numFmtId="208" fontId="2" fillId="0" borderId="25" xfId="3" applyNumberFormat="1" applyFont="1" applyBorder="1"/>
    <xf numFmtId="208" fontId="2" fillId="0" borderId="24" xfId="3" applyNumberFormat="1" applyFont="1" applyBorder="1"/>
    <xf numFmtId="208" fontId="2" fillId="0" borderId="40" xfId="3" applyNumberFormat="1" applyFont="1" applyBorder="1"/>
    <xf numFmtId="217" fontId="143" fillId="0" borderId="0" xfId="3" applyNumberFormat="1" applyFont="1" applyAlignment="1">
      <alignment horizontal="right"/>
    </xf>
    <xf numFmtId="210" fontId="144" fillId="0" borderId="0" xfId="3" quotePrefix="1" applyNumberFormat="1" applyFont="1" applyAlignment="1">
      <alignment horizontal="right"/>
    </xf>
    <xf numFmtId="0" fontId="145" fillId="0" borderId="0" xfId="3" applyFont="1"/>
    <xf numFmtId="169" fontId="141" fillId="0" borderId="0" xfId="3" applyNumberFormat="1" applyFont="1" applyAlignment="1">
      <alignment horizontal="centerContinuous"/>
    </xf>
    <xf numFmtId="169" fontId="145" fillId="0" borderId="0" xfId="3" applyNumberFormat="1" applyFont="1" applyAlignment="1">
      <alignment horizontal="centerContinuous"/>
    </xf>
    <xf numFmtId="0" fontId="145" fillId="0" borderId="0" xfId="3" applyFont="1" applyBorder="1"/>
    <xf numFmtId="217" fontId="2" fillId="0" borderId="18" xfId="3" applyNumberFormat="1" applyFont="1" applyBorder="1" applyAlignment="1">
      <alignment horizontal="center"/>
    </xf>
    <xf numFmtId="217" fontId="2" fillId="0" borderId="4" xfId="3" applyNumberFormat="1" applyFont="1" applyBorder="1" applyAlignment="1">
      <alignment horizontal="center"/>
    </xf>
    <xf numFmtId="217" fontId="2" fillId="0" borderId="17" xfId="3" applyNumberFormat="1" applyFont="1" applyBorder="1" applyAlignment="1">
      <alignment horizontal="center"/>
    </xf>
    <xf numFmtId="208" fontId="2" fillId="0" borderId="11" xfId="3" applyNumberFormat="1" applyFont="1" applyBorder="1"/>
    <xf numFmtId="208" fontId="2" fillId="0" borderId="0" xfId="3" applyNumberFormat="1" applyFont="1" applyBorder="1"/>
    <xf numFmtId="208" fontId="2" fillId="0" borderId="10" xfId="3" applyNumberFormat="1" applyFont="1" applyBorder="1"/>
    <xf numFmtId="210" fontId="146" fillId="0" borderId="11" xfId="3" applyNumberFormat="1" applyFont="1" applyBorder="1"/>
    <xf numFmtId="210" fontId="146" fillId="0" borderId="0" xfId="3" applyNumberFormat="1" applyFont="1" applyBorder="1"/>
    <xf numFmtId="210" fontId="146" fillId="0" borderId="10" xfId="3" applyNumberFormat="1" applyFont="1" applyBorder="1"/>
    <xf numFmtId="209" fontId="145" fillId="0" borderId="11" xfId="3" applyNumberFormat="1" applyFont="1" applyBorder="1"/>
    <xf numFmtId="209" fontId="145" fillId="0" borderId="0" xfId="3" applyNumberFormat="1" applyFont="1" applyBorder="1"/>
    <xf numFmtId="209" fontId="145" fillId="0" borderId="10" xfId="3" applyNumberFormat="1" applyFont="1" applyBorder="1"/>
    <xf numFmtId="217" fontId="2" fillId="0" borderId="11" xfId="3" applyNumberFormat="1" applyFont="1" applyBorder="1"/>
    <xf numFmtId="217" fontId="2" fillId="0" borderId="0" xfId="3" applyNumberFormat="1" applyFont="1" applyBorder="1"/>
    <xf numFmtId="217" fontId="2" fillId="0" borderId="10" xfId="3" applyNumberFormat="1" applyFont="1" applyBorder="1"/>
    <xf numFmtId="217" fontId="2" fillId="0" borderId="3" xfId="3" applyNumberFormat="1" applyFont="1" applyBorder="1"/>
    <xf numFmtId="217" fontId="2" fillId="0" borderId="2" xfId="3" applyNumberFormat="1" applyFont="1" applyBorder="1"/>
    <xf numFmtId="217" fontId="2" fillId="0" borderId="15" xfId="3" applyNumberFormat="1" applyFont="1" applyBorder="1"/>
    <xf numFmtId="0" fontId="2" fillId="0" borderId="0" xfId="3" applyNumberFormat="1" applyFont="1" applyBorder="1"/>
    <xf numFmtId="164" fontId="2" fillId="0" borderId="0" xfId="3" applyNumberFormat="1" applyFont="1" applyBorder="1"/>
    <xf numFmtId="180" fontId="141" fillId="0" borderId="0" xfId="3" applyNumberFormat="1" applyFont="1" applyAlignment="1">
      <alignment horizontal="center"/>
    </xf>
    <xf numFmtId="180" fontId="145" fillId="0" borderId="0" xfId="3" applyNumberFormat="1" applyFont="1" applyAlignment="1">
      <alignment horizontal="center"/>
    </xf>
    <xf numFmtId="229" fontId="2" fillId="0" borderId="3" xfId="3" applyNumberFormat="1" applyFont="1" applyFill="1" applyBorder="1"/>
    <xf numFmtId="229" fontId="2" fillId="0" borderId="2" xfId="3" applyNumberFormat="1" applyFont="1" applyFill="1" applyBorder="1"/>
    <xf numFmtId="229" fontId="2" fillId="0" borderId="15" xfId="3" applyNumberFormat="1" applyFont="1" applyFill="1" applyBorder="1"/>
    <xf numFmtId="0" fontId="147" fillId="0" borderId="40" xfId="3" applyFont="1" applyBorder="1"/>
    <xf numFmtId="0" fontId="148" fillId="0" borderId="40" xfId="3" applyFont="1" applyBorder="1"/>
    <xf numFmtId="0" fontId="2" fillId="0" borderId="40" xfId="3" applyFont="1" applyBorder="1"/>
    <xf numFmtId="0" fontId="148" fillId="0" borderId="0" xfId="3" applyFont="1" applyBorder="1"/>
    <xf numFmtId="210" fontId="2" fillId="0" borderId="0" xfId="3" applyNumberFormat="1" applyFont="1"/>
    <xf numFmtId="0" fontId="140" fillId="0" borderId="7" xfId="3" applyFont="1" applyBorder="1"/>
    <xf numFmtId="0" fontId="2" fillId="0" borderId="7" xfId="3" applyFont="1" applyBorder="1"/>
    <xf numFmtId="0" fontId="140" fillId="0" borderId="0" xfId="3" applyFont="1" applyBorder="1"/>
    <xf numFmtId="0" fontId="2" fillId="0" borderId="18" xfId="3" applyFont="1" applyBorder="1"/>
    <xf numFmtId="0" fontId="149" fillId="0" borderId="5" xfId="3" applyFont="1" applyBorder="1" applyAlignment="1">
      <alignment horizontal="center"/>
    </xf>
    <xf numFmtId="0" fontId="2" fillId="0" borderId="4" xfId="3" applyFont="1" applyBorder="1"/>
    <xf numFmtId="0" fontId="2" fillId="0" borderId="17" xfId="3" applyFont="1" applyBorder="1"/>
    <xf numFmtId="214" fontId="2" fillId="0" borderId="18" xfId="3" applyNumberFormat="1" applyFont="1" applyFill="1" applyBorder="1" applyAlignment="1">
      <alignment horizontal="right"/>
    </xf>
    <xf numFmtId="214" fontId="2" fillId="0" borderId="4" xfId="3" applyNumberFormat="1" applyFont="1" applyFill="1" applyBorder="1" applyAlignment="1">
      <alignment horizontal="right"/>
    </xf>
    <xf numFmtId="214" fontId="2" fillId="0" borderId="17" xfId="3" applyNumberFormat="1" applyFont="1" applyFill="1" applyBorder="1" applyAlignment="1">
      <alignment horizontal="right"/>
    </xf>
    <xf numFmtId="0" fontId="146" fillId="0" borderId="51" xfId="3" applyFont="1" applyBorder="1"/>
    <xf numFmtId="210" fontId="2" fillId="0" borderId="44" xfId="3" applyNumberFormat="1" applyFont="1" applyBorder="1"/>
    <xf numFmtId="0" fontId="142" fillId="0" borderId="0" xfId="3" applyFont="1" applyBorder="1" applyAlignment="1">
      <alignment horizontal="center"/>
    </xf>
    <xf numFmtId="0" fontId="2" fillId="0" borderId="11" xfId="3" applyFont="1" applyBorder="1" applyAlignment="1">
      <alignment horizontal="left" indent="1"/>
    </xf>
    <xf numFmtId="210" fontId="2" fillId="0" borderId="10" xfId="3" applyNumberFormat="1" applyFont="1" applyBorder="1"/>
    <xf numFmtId="0" fontId="2" fillId="0" borderId="3" xfId="3" applyFont="1" applyBorder="1" applyAlignment="1">
      <alignment horizontal="left" indent="1"/>
    </xf>
    <xf numFmtId="0" fontId="2" fillId="0" borderId="2" xfId="3" applyFont="1" applyBorder="1"/>
    <xf numFmtId="210" fontId="2" fillId="0" borderId="15" xfId="3" applyNumberFormat="1" applyFont="1" applyBorder="1"/>
    <xf numFmtId="0" fontId="147" fillId="0" borderId="0" xfId="3" applyFont="1" applyBorder="1"/>
    <xf numFmtId="216" fontId="135" fillId="0" borderId="0" xfId="3" applyNumberFormat="1" applyFont="1" applyAlignment="1">
      <alignment horizontal="right"/>
    </xf>
    <xf numFmtId="0" fontId="148" fillId="0" borderId="2" xfId="3" applyFont="1" applyBorder="1"/>
    <xf numFmtId="0" fontId="147" fillId="0" borderId="2" xfId="3" applyFont="1" applyBorder="1"/>
    <xf numFmtId="167" fontId="148" fillId="0" borderId="2" xfId="3" applyNumberFormat="1" applyFont="1" applyBorder="1"/>
    <xf numFmtId="167" fontId="2" fillId="0" borderId="2" xfId="3" applyNumberFormat="1" applyFont="1" applyBorder="1"/>
    <xf numFmtId="167" fontId="147" fillId="0" borderId="0" xfId="3" applyNumberFormat="1" applyFont="1" applyBorder="1" applyAlignment="1">
      <alignment horizontal="center"/>
    </xf>
    <xf numFmtId="209" fontId="147" fillId="0" borderId="0" xfId="3" applyNumberFormat="1" applyFont="1" applyBorder="1" applyAlignment="1">
      <alignment horizontal="center"/>
    </xf>
    <xf numFmtId="215" fontId="147" fillId="0" borderId="0" xfId="3" applyNumberFormat="1" applyFont="1" applyBorder="1"/>
    <xf numFmtId="210" fontId="147" fillId="0" borderId="40" xfId="3" applyNumberFormat="1" applyFont="1" applyBorder="1" applyAlignment="1">
      <alignment horizontal="right" indent="1"/>
    </xf>
    <xf numFmtId="210" fontId="147" fillId="0" borderId="0" xfId="3" applyNumberFormat="1" applyFont="1" applyBorder="1" applyAlignment="1">
      <alignment horizontal="right" indent="1"/>
    </xf>
    <xf numFmtId="209" fontId="147" fillId="0" borderId="40" xfId="3" applyNumberFormat="1" applyFont="1" applyBorder="1"/>
    <xf numFmtId="212" fontId="147" fillId="0" borderId="0" xfId="3" applyNumberFormat="1" applyFont="1" applyBorder="1"/>
    <xf numFmtId="212" fontId="58" fillId="0" borderId="0" xfId="3" applyNumberFormat="1" applyFont="1" applyFill="1"/>
    <xf numFmtId="0" fontId="150" fillId="0" borderId="0" xfId="3" applyFont="1" applyFill="1" applyBorder="1"/>
    <xf numFmtId="0" fontId="151" fillId="0" borderId="0" xfId="3" applyFont="1" applyAlignment="1">
      <alignment horizontal="left"/>
    </xf>
    <xf numFmtId="0" fontId="152" fillId="0" borderId="18" xfId="3" applyFont="1" applyBorder="1" applyAlignment="1">
      <alignment horizontal="centerContinuous"/>
    </xf>
    <xf numFmtId="0" fontId="153" fillId="0" borderId="7" xfId="3" applyFont="1" applyBorder="1" applyAlignment="1">
      <alignment horizontal="right"/>
    </xf>
    <xf numFmtId="208" fontId="154" fillId="0" borderId="40" xfId="3" applyNumberFormat="1" applyFont="1" applyBorder="1"/>
    <xf numFmtId="217" fontId="151" fillId="0" borderId="0" xfId="3" quotePrefix="1" applyNumberFormat="1" applyFont="1" applyBorder="1" applyAlignment="1">
      <alignment horizontal="right"/>
    </xf>
    <xf numFmtId="210" fontId="154" fillId="0" borderId="0" xfId="3" applyNumberFormat="1" applyFont="1" applyBorder="1"/>
    <xf numFmtId="210" fontId="154" fillId="0" borderId="0" xfId="3" applyNumberFormat="1" applyFont="1"/>
    <xf numFmtId="210" fontId="154" fillId="0" borderId="2" xfId="3" applyNumberFormat="1" applyFont="1" applyBorder="1"/>
    <xf numFmtId="208" fontId="154" fillId="0" borderId="53" xfId="3" applyNumberFormat="1" applyFont="1" applyBorder="1"/>
    <xf numFmtId="208" fontId="154" fillId="0" borderId="25" xfId="3" applyNumberFormat="1" applyFont="1" applyBorder="1"/>
    <xf numFmtId="208" fontId="154" fillId="0" borderId="24" xfId="3" applyNumberFormat="1" applyFont="1" applyBorder="1"/>
    <xf numFmtId="217" fontId="151" fillId="0" borderId="0" xfId="3" quotePrefix="1" applyNumberFormat="1" applyFont="1" applyAlignment="1">
      <alignment horizontal="right"/>
    </xf>
    <xf numFmtId="0" fontId="154" fillId="0" borderId="0" xfId="3" applyFont="1"/>
    <xf numFmtId="164" fontId="154" fillId="0" borderId="0" xfId="3" applyNumberFormat="1" applyFont="1"/>
    <xf numFmtId="210" fontId="155" fillId="0" borderId="11" xfId="3" applyNumberFormat="1" applyFont="1" applyBorder="1"/>
    <xf numFmtId="0" fontId="156" fillId="0" borderId="0" xfId="3" applyFont="1" applyBorder="1"/>
    <xf numFmtId="214" fontId="154" fillId="0" borderId="17" xfId="3" applyNumberFormat="1" applyFont="1" applyFill="1" applyBorder="1" applyAlignment="1">
      <alignment horizontal="right"/>
    </xf>
    <xf numFmtId="214" fontId="154" fillId="0" borderId="0" xfId="3" applyNumberFormat="1" applyFont="1" applyFill="1" applyBorder="1" applyAlignment="1">
      <alignment horizontal="right"/>
    </xf>
    <xf numFmtId="210" fontId="156" fillId="0" borderId="40" xfId="3" applyNumberFormat="1" applyFont="1" applyBorder="1" applyAlignment="1">
      <alignment horizontal="right" indent="1"/>
    </xf>
    <xf numFmtId="209" fontId="156" fillId="0" borderId="40" xfId="3" applyNumberFormat="1" applyFont="1" applyBorder="1"/>
    <xf numFmtId="210" fontId="156" fillId="0" borderId="0" xfId="3" applyNumberFormat="1" applyFont="1" applyBorder="1" applyAlignment="1">
      <alignment horizontal="right" indent="1"/>
    </xf>
    <xf numFmtId="212" fontId="156" fillId="0" borderId="0" xfId="3" applyNumberFormat="1" applyFont="1" applyBorder="1"/>
  </cellXfs>
  <cellStyles count="92">
    <cellStyle name="$0.0;($0.0)" xfId="1"/>
    <cellStyle name="$0.00;($0.00)" xfId="2"/>
    <cellStyle name="******************************************" xfId="3"/>
    <cellStyle name="0000" xfId="4"/>
    <cellStyle name="000000" xfId="5"/>
    <cellStyle name="After Percent" xfId="6"/>
    <cellStyle name="after_multiple" xfId="7"/>
    <cellStyle name="blank" xfId="8"/>
    <cellStyle name="Body_$Dollars" xfId="9"/>
    <cellStyle name="Center" xfId="10"/>
    <cellStyle name="ChartingText" xfId="73"/>
    <cellStyle name="CHPTop" xfId="74"/>
    <cellStyle name="ColumnHeaderNormal" xfId="75"/>
    <cellStyle name="Comma" xfId="11" builtinId="3"/>
    <cellStyle name="Comma [1]" xfId="12"/>
    <cellStyle name="Comma 1 (show zero)" xfId="13"/>
    <cellStyle name="Comma 2" xfId="76"/>
    <cellStyle name="Comma 3" xfId="77"/>
    <cellStyle name="Currency [1]" xfId="14"/>
    <cellStyle name="Currency0" xfId="15"/>
    <cellStyle name="Currency1" xfId="16"/>
    <cellStyle name="Currency2" xfId="17"/>
    <cellStyle name="Date" xfId="18"/>
    <cellStyle name="Dollar [1]" xfId="19"/>
    <cellStyle name="Dollars" xfId="20"/>
    <cellStyle name="ExchangeRatio" xfId="21"/>
    <cellStyle name="EY%colcalc" xfId="22"/>
    <cellStyle name="EY%input" xfId="23"/>
    <cellStyle name="EY%rowcalc" xfId="24"/>
    <cellStyle name="EY0dp" xfId="25"/>
    <cellStyle name="EY1dp" xfId="26"/>
    <cellStyle name="EY2dp" xfId="27"/>
    <cellStyle name="EY3dp" xfId="28"/>
    <cellStyle name="EYColumnHeading" xfId="29"/>
    <cellStyle name="EYHeading1" xfId="30"/>
    <cellStyle name="EYheading2" xfId="31"/>
    <cellStyle name="EYheading3" xfId="32"/>
    <cellStyle name="EYnumber" xfId="33"/>
    <cellStyle name="EYSheetHeader1" xfId="34"/>
    <cellStyle name="EYtext" xfId="35"/>
    <cellStyle name="Grey" xfId="36"/>
    <cellStyle name="Header" xfId="37"/>
    <cellStyle name="Header1" xfId="38"/>
    <cellStyle name="Header2" xfId="39"/>
    <cellStyle name="Hyperlink" xfId="71" builtinId="8"/>
    <cellStyle name="Hyperlink 2 2" xfId="72"/>
    <cellStyle name="Input" xfId="40" builtinId="20" customBuiltin="1"/>
    <cellStyle name="Input [yellow]" xfId="41"/>
    <cellStyle name="integer" xfId="42"/>
    <cellStyle name="Invisible" xfId="78"/>
    <cellStyle name="MonthDate" xfId="43"/>
    <cellStyle name="Multiple" xfId="44"/>
    <cellStyle name="NewColumnHeaderNormal" xfId="79"/>
    <cellStyle name="NewSectionHeaderNormal" xfId="80"/>
    <cellStyle name="NewTitleNormal" xfId="81"/>
    <cellStyle name="Normal" xfId="0" builtinId="0"/>
    <cellStyle name="Normal - Style1" xfId="45"/>
    <cellStyle name="Normal 2" xfId="69"/>
    <cellStyle name="Normal 2 2" xfId="70"/>
    <cellStyle name="Normal 3" xfId="82"/>
    <cellStyle name="Normal_Blank Model - Revised" xfId="46"/>
    <cellStyle name="Normal_sheet" xfId="47"/>
    <cellStyle name="Number0" xfId="48"/>
    <cellStyle name="Number1" xfId="49"/>
    <cellStyle name="Number2" xfId="50"/>
    <cellStyle name="Percent" xfId="68" builtinId="5"/>
    <cellStyle name="Percent (0)" xfId="51"/>
    <cellStyle name="Percent [2]" xfId="52"/>
    <cellStyle name="Percent 2" xfId="83"/>
    <cellStyle name="Percent 3" xfId="84"/>
    <cellStyle name="PSChar" xfId="53"/>
    <cellStyle name="PSDate" xfId="54"/>
    <cellStyle name="PSDec" xfId="55"/>
    <cellStyle name="PSHeading" xfId="56"/>
    <cellStyle name="PSInt" xfId="57"/>
    <cellStyle name="PSSpacer" xfId="58"/>
    <cellStyle name="Regular" xfId="59"/>
    <cellStyle name="SectionHeaderNormal" xfId="85"/>
    <cellStyle name="Short Date" xfId="60"/>
    <cellStyle name="SubScript" xfId="86"/>
    <cellStyle name="SuperScript" xfId="87"/>
    <cellStyle name="t" xfId="61"/>
    <cellStyle name="Table_Header" xfId="62"/>
    <cellStyle name="taples Plaza" xfId="63"/>
    <cellStyle name="TextBold" xfId="88"/>
    <cellStyle name="TextItalic" xfId="89"/>
    <cellStyle name="TextNormal" xfId="90"/>
    <cellStyle name="TitleNormal" xfId="91"/>
    <cellStyle name="Underline_Double" xfId="64"/>
    <cellStyle name="Validation" xfId="65"/>
    <cellStyle name="WhiteCells" xfId="66"/>
    <cellStyle name="WingDing" xfId="67"/>
  </cellStyles>
  <dxfs count="22"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40000"/>
      <rgbColor rgb="0000FF00"/>
      <rgbColor rgb="000000FF"/>
      <rgbColor rgb="00FFFF00"/>
      <rgbColor rgb="00FF00FF"/>
      <rgbColor rgb="0000FFFF"/>
      <rgbColor rgb="00800000"/>
      <rgbColor rgb="00008000"/>
      <rgbColor rgb="00001C5C"/>
      <rgbColor rgb="00461A3E"/>
      <rgbColor rgb="00461A3E"/>
      <rgbColor rgb="00008080"/>
      <rgbColor rgb="00C0C0C0"/>
      <rgbColor rgb="00808080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4F83B3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B6760"/>
      <rgbColor rgb="00B3AEA4"/>
      <rgbColor rgb="00032043"/>
      <rgbColor rgb="00339966"/>
      <rgbColor rgb="003E862E"/>
      <rgbColor rgb="00CC0000"/>
      <rgbColor rgb="00EDAD1D"/>
      <rgbColor rgb="00993366"/>
      <rgbColor rgb="004F83B3"/>
      <rgbColor rgb="00333333"/>
    </indexedColors>
    <mruColors>
      <color rgb="FFE6E7E8"/>
      <color rgb="FFED942D"/>
      <color rgb="FF132E57"/>
      <color rgb="FFED9423"/>
      <color rgb="FFFA621C"/>
      <color rgb="FFFFFF66"/>
      <color rgb="FFFFFF00"/>
      <color rgb="FF17375E"/>
      <color rgb="FF9999FF"/>
      <color rgb="FF3760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659287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23AAFE5-1D2B-445D-A422-7ECC1F99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799" y="762000"/>
          <a:ext cx="3354863" cy="1581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42</xdr:row>
      <xdr:rowOff>134470</xdr:rowOff>
    </xdr:from>
    <xdr:to>
      <xdr:col>1</xdr:col>
      <xdr:colOff>221875</xdr:colOff>
      <xdr:row>48</xdr:row>
      <xdr:rowOff>12887</xdr:rowOff>
    </xdr:to>
    <xdr:sp macro="" textlink="">
      <xdr:nvSpPr>
        <xdr:cNvPr id="10" name="Rectangle 411">
          <a:extLst>
            <a:ext uri="{FF2B5EF4-FFF2-40B4-BE49-F238E27FC236}">
              <a16:creationId xmlns="" xmlns:a16="http://schemas.microsoft.com/office/drawing/2014/main" id="{00000000-0008-0000-1900-00000A000000}"/>
            </a:ext>
          </a:extLst>
        </xdr:cNvPr>
        <xdr:cNvSpPr>
          <a:spLocks noChangeArrowheads="1"/>
        </xdr:cNvSpPr>
      </xdr:nvSpPr>
      <xdr:spPr bwMode="auto">
        <a:xfrm>
          <a:off x="142874" y="6745941"/>
          <a:ext cx="235883" cy="8197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Exit Multiple</a:t>
          </a:r>
        </a:p>
      </xdr:txBody>
    </xdr:sp>
    <xdr:clientData/>
  </xdr:twoCellAnchor>
  <xdr:twoCellAnchor>
    <xdr:from>
      <xdr:col>1</xdr:col>
      <xdr:colOff>187138</xdr:colOff>
      <xdr:row>43</xdr:row>
      <xdr:rowOff>0</xdr:rowOff>
    </xdr:from>
    <xdr:to>
      <xdr:col>1</xdr:col>
      <xdr:colOff>187138</xdr:colOff>
      <xdr:row>48</xdr:row>
      <xdr:rowOff>0</xdr:rowOff>
    </xdr:to>
    <xdr:sp macro="" textlink="">
      <xdr:nvSpPr>
        <xdr:cNvPr id="11" name="Line 412">
          <a:extLst>
            <a:ext uri="{FF2B5EF4-FFF2-40B4-BE49-F238E27FC236}">
              <a16:creationId xmlns="" xmlns:a16="http://schemas.microsoft.com/office/drawing/2014/main" id="{00000000-0008-0000-1900-00000B000000}"/>
            </a:ext>
          </a:extLst>
        </xdr:cNvPr>
        <xdr:cNvSpPr>
          <a:spLocks noChangeShapeType="1"/>
        </xdr:cNvSpPr>
      </xdr:nvSpPr>
      <xdr:spPr bwMode="auto">
        <a:xfrm flipV="1">
          <a:off x="634813" y="6838950"/>
          <a:ext cx="0" cy="952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42</xdr:row>
      <xdr:rowOff>134470</xdr:rowOff>
    </xdr:from>
    <xdr:to>
      <xdr:col>1</xdr:col>
      <xdr:colOff>221875</xdr:colOff>
      <xdr:row>48</xdr:row>
      <xdr:rowOff>12887</xdr:rowOff>
    </xdr:to>
    <xdr:sp macro="" textlink="">
      <xdr:nvSpPr>
        <xdr:cNvPr id="8" name="Rectangle 411">
          <a:extLst>
            <a:ext uri="{FF2B5EF4-FFF2-40B4-BE49-F238E27FC236}">
              <a16:creationId xmlns="" xmlns:a16="http://schemas.microsoft.com/office/drawing/2014/main" id="{00000000-0008-0000-1A00-000008000000}"/>
            </a:ext>
          </a:extLst>
        </xdr:cNvPr>
        <xdr:cNvSpPr>
          <a:spLocks noChangeArrowheads="1"/>
        </xdr:cNvSpPr>
      </xdr:nvSpPr>
      <xdr:spPr bwMode="auto">
        <a:xfrm>
          <a:off x="142874" y="6745941"/>
          <a:ext cx="235883" cy="8197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Exit Multiple</a:t>
          </a:r>
        </a:p>
      </xdr:txBody>
    </xdr:sp>
    <xdr:clientData/>
  </xdr:twoCellAnchor>
  <xdr:twoCellAnchor>
    <xdr:from>
      <xdr:col>1</xdr:col>
      <xdr:colOff>187138</xdr:colOff>
      <xdr:row>43</xdr:row>
      <xdr:rowOff>0</xdr:rowOff>
    </xdr:from>
    <xdr:to>
      <xdr:col>1</xdr:col>
      <xdr:colOff>187138</xdr:colOff>
      <xdr:row>48</xdr:row>
      <xdr:rowOff>0</xdr:rowOff>
    </xdr:to>
    <xdr:sp macro="" textlink="">
      <xdr:nvSpPr>
        <xdr:cNvPr id="9" name="Line 412">
          <a:extLst>
            <a:ext uri="{FF2B5EF4-FFF2-40B4-BE49-F238E27FC236}">
              <a16:creationId xmlns="" xmlns:a16="http://schemas.microsoft.com/office/drawing/2014/main" id="{00000000-0008-0000-1A00-000009000000}"/>
            </a:ext>
          </a:extLst>
        </xdr:cNvPr>
        <xdr:cNvSpPr>
          <a:spLocks noChangeShapeType="1"/>
        </xdr:cNvSpPr>
      </xdr:nvSpPr>
      <xdr:spPr bwMode="auto">
        <a:xfrm flipV="1">
          <a:off x="634813" y="6972300"/>
          <a:ext cx="0" cy="809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14</xdr:row>
          <xdr:rowOff>104775</xdr:rowOff>
        </xdr:from>
        <xdr:to>
          <xdr:col>20</xdr:col>
          <xdr:colOff>581025</xdr:colOff>
          <xdr:row>18</xdr:row>
          <xdr:rowOff>28575</xdr:rowOff>
        </xdr:to>
        <xdr:sp macro="" textlink="">
          <xdr:nvSpPr>
            <xdr:cNvPr id="202753" name="Button 1" hidden="1">
              <a:extLst>
                <a:ext uri="{63B3BB69-23CF-44E3-9099-C40C66FF867C}">
                  <a14:compatExt spid="_x0000_s202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142875</xdr:colOff>
          <xdr:row>14</xdr:row>
          <xdr:rowOff>104775</xdr:rowOff>
        </xdr:from>
        <xdr:to>
          <xdr:col>22</xdr:col>
          <xdr:colOff>485775</xdr:colOff>
          <xdr:row>18</xdr:row>
          <xdr:rowOff>28575</xdr:rowOff>
        </xdr:to>
        <xdr:sp macro="" textlink="">
          <xdr:nvSpPr>
            <xdr:cNvPr id="202754" name="Button 2" hidden="1">
              <a:extLst>
                <a:ext uri="{63B3BB69-23CF-44E3-9099-C40C66FF867C}">
                  <a14:compatExt spid="_x0000_s202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19607</xdr:colOff>
      <xdr:row>20</xdr:row>
      <xdr:rowOff>155201</xdr:rowOff>
    </xdr:from>
    <xdr:to>
      <xdr:col>3</xdr:col>
      <xdr:colOff>437029</xdr:colOff>
      <xdr:row>25</xdr:row>
      <xdr:rowOff>145676</xdr:rowOff>
    </xdr:to>
    <xdr:sp macro="" textlink="">
      <xdr:nvSpPr>
        <xdr:cNvPr id="4" name="Rectangle 1">
          <a:extLst>
            <a:ext uri="{FF2B5EF4-FFF2-40B4-BE49-F238E27FC236}">
              <a16:creationId xmlns="" xmlns:a16="http://schemas.microsoft.com/office/drawing/2014/main" id="{00000000-0008-0000-1C00-000004000000}"/>
            </a:ext>
          </a:extLst>
        </xdr:cNvPr>
        <xdr:cNvSpPr>
          <a:spLocks noChangeArrowheads="1"/>
        </xdr:cNvSpPr>
      </xdr:nvSpPr>
      <xdr:spPr bwMode="auto">
        <a:xfrm>
          <a:off x="1476372" y="3382495"/>
          <a:ext cx="417422" cy="7748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Exit Multiple</a:t>
          </a:r>
        </a:p>
      </xdr:txBody>
    </xdr:sp>
    <xdr:clientData/>
  </xdr:twoCellAnchor>
  <xdr:twoCellAnchor>
    <xdr:from>
      <xdr:col>3</xdr:col>
      <xdr:colOff>19607</xdr:colOff>
      <xdr:row>32</xdr:row>
      <xdr:rowOff>155201</xdr:rowOff>
    </xdr:from>
    <xdr:to>
      <xdr:col>3</xdr:col>
      <xdr:colOff>437029</xdr:colOff>
      <xdr:row>37</xdr:row>
      <xdr:rowOff>145676</xdr:rowOff>
    </xdr:to>
    <xdr:sp macro="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1C00-000009000000}"/>
            </a:ext>
          </a:extLst>
        </xdr:cNvPr>
        <xdr:cNvSpPr>
          <a:spLocks noChangeArrowheads="1"/>
        </xdr:cNvSpPr>
      </xdr:nvSpPr>
      <xdr:spPr bwMode="auto">
        <a:xfrm>
          <a:off x="1476372" y="3382495"/>
          <a:ext cx="417422" cy="7748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Exit Multiple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14</xdr:row>
          <xdr:rowOff>104775</xdr:rowOff>
        </xdr:from>
        <xdr:to>
          <xdr:col>20</xdr:col>
          <xdr:colOff>581025</xdr:colOff>
          <xdr:row>18</xdr:row>
          <xdr:rowOff>28575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142875</xdr:colOff>
          <xdr:row>14</xdr:row>
          <xdr:rowOff>104775</xdr:rowOff>
        </xdr:from>
        <xdr:to>
          <xdr:col>22</xdr:col>
          <xdr:colOff>495300</xdr:colOff>
          <xdr:row>18</xdr:row>
          <xdr:rowOff>28575</xdr:rowOff>
        </xdr:to>
        <xdr:sp macro="" textlink="">
          <xdr:nvSpPr>
            <xdr:cNvPr id="203778" name="Button 2" hidden="1">
              <a:extLst>
                <a:ext uri="{63B3BB69-23CF-44E3-9099-C40C66FF867C}">
                  <a14:compatExt spid="_x0000_s203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19607</xdr:colOff>
      <xdr:row>20</xdr:row>
      <xdr:rowOff>155201</xdr:rowOff>
    </xdr:from>
    <xdr:to>
      <xdr:col>3</xdr:col>
      <xdr:colOff>437029</xdr:colOff>
      <xdr:row>25</xdr:row>
      <xdr:rowOff>145676</xdr:rowOff>
    </xdr:to>
    <xdr:sp macro="" textlink="">
      <xdr:nvSpPr>
        <xdr:cNvPr id="4" name="Rectangle 1">
          <a:extLst>
            <a:ext uri="{FF2B5EF4-FFF2-40B4-BE49-F238E27FC236}">
              <a16:creationId xmlns="" xmlns:a16="http://schemas.microsoft.com/office/drawing/2014/main" id="{00000000-0008-0000-1D00-000004000000}"/>
            </a:ext>
          </a:extLst>
        </xdr:cNvPr>
        <xdr:cNvSpPr>
          <a:spLocks noChangeArrowheads="1"/>
        </xdr:cNvSpPr>
      </xdr:nvSpPr>
      <xdr:spPr bwMode="auto">
        <a:xfrm>
          <a:off x="1476932" y="3612776"/>
          <a:ext cx="417422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Exit Multiple</a:t>
          </a:r>
        </a:p>
      </xdr:txBody>
    </xdr:sp>
    <xdr:clientData/>
  </xdr:twoCellAnchor>
  <xdr:twoCellAnchor>
    <xdr:from>
      <xdr:col>3</xdr:col>
      <xdr:colOff>19607</xdr:colOff>
      <xdr:row>32</xdr:row>
      <xdr:rowOff>155201</xdr:rowOff>
    </xdr:from>
    <xdr:to>
      <xdr:col>3</xdr:col>
      <xdr:colOff>437029</xdr:colOff>
      <xdr:row>37</xdr:row>
      <xdr:rowOff>145676</xdr:rowOff>
    </xdr:to>
    <xdr:sp macro="" textlink="">
      <xdr:nvSpPr>
        <xdr:cNvPr id="5" name="Rectangle 1">
          <a:extLst>
            <a:ext uri="{FF2B5EF4-FFF2-40B4-BE49-F238E27FC236}">
              <a16:creationId xmlns="" xmlns:a16="http://schemas.microsoft.com/office/drawing/2014/main" id="{00000000-0008-0000-1D00-000005000000}"/>
            </a:ext>
          </a:extLst>
        </xdr:cNvPr>
        <xdr:cNvSpPr>
          <a:spLocks noChangeArrowheads="1"/>
        </xdr:cNvSpPr>
      </xdr:nvSpPr>
      <xdr:spPr bwMode="auto">
        <a:xfrm>
          <a:off x="1476932" y="5555876"/>
          <a:ext cx="417422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Exit Multiple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13</xdr:row>
          <xdr:rowOff>104775</xdr:rowOff>
        </xdr:from>
        <xdr:to>
          <xdr:col>20</xdr:col>
          <xdr:colOff>581025</xdr:colOff>
          <xdr:row>16</xdr:row>
          <xdr:rowOff>85725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142875</xdr:colOff>
          <xdr:row>13</xdr:row>
          <xdr:rowOff>104775</xdr:rowOff>
        </xdr:from>
        <xdr:to>
          <xdr:col>22</xdr:col>
          <xdr:colOff>485775</xdr:colOff>
          <xdr:row>16</xdr:row>
          <xdr:rowOff>85725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ug%20Allen\Presentations\creative%203_8_99%20excel%20sup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Fcst"/>
      <sheetName val="J_N slide (2)"/>
      <sheetName val="A (2)"/>
      <sheetName val="J_N slide"/>
      <sheetName val="Order taking _fulfillment (2)"/>
      <sheetName val="Sheet1"/>
      <sheetName val="A"/>
      <sheetName val="Order taking _fulfillment"/>
      <sheetName val="Net Sales Graph"/>
      <sheetName val="Op inc graph"/>
      <sheetName val="op inc as pct t"/>
      <sheetName val="Fall Plan"/>
      <sheetName val="Balance Sheet"/>
      <sheetName val="Fiscal Year"/>
      <sheetName val="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1">
          <cell r="K11">
            <v>2.572728592865095E-2</v>
          </cell>
        </row>
        <row r="12">
          <cell r="K12">
            <v>2.7652109685162959E-2</v>
          </cell>
        </row>
        <row r="13">
          <cell r="K13">
            <v>5.1020408163265307E-2</v>
          </cell>
        </row>
        <row r="14">
          <cell r="K14">
            <v>4.4298773461705888E-2</v>
          </cell>
        </row>
        <row r="15">
          <cell r="K15">
            <v>6.1410836189762938E-2</v>
          </cell>
        </row>
        <row r="16">
          <cell r="K16">
            <v>6.0866833074412194E-2</v>
          </cell>
        </row>
        <row r="17">
          <cell r="K17">
            <v>6.4106534530814496E-2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3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Relationship Id="rId4" Type="http://schemas.openxmlformats.org/officeDocument/2006/relationships/comments" Target="../comments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Relationship Id="rId4" Type="http://schemas.openxmlformats.org/officeDocument/2006/relationships/comments" Target="../comments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2.bin"/><Relationship Id="rId4" Type="http://schemas.openxmlformats.org/officeDocument/2006/relationships/comments" Target="../comments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Relationship Id="rId5" Type="http://schemas.openxmlformats.org/officeDocument/2006/relationships/comments" Target="../comments13.xml"/><Relationship Id="rId4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4" Type="http://schemas.openxmlformats.org/officeDocument/2006/relationships/comments" Target="../comments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9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Relationship Id="rId4" Type="http://schemas.openxmlformats.org/officeDocument/2006/relationships/comments" Target="../comments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rinterSettings" Target="../printerSettings/printerSettings54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4" Type="http://schemas.openxmlformats.org/officeDocument/2006/relationships/comments" Target="../comments16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rinterSettings" Target="../printerSettings/printerSettings58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48"/>
  <sheetViews>
    <sheetView showGridLines="0" tabSelected="1" zoomScaleNormal="100" workbookViewId="0"/>
  </sheetViews>
  <sheetFormatPr defaultColWidth="10.6640625" defaultRowHeight="16.5"/>
  <cols>
    <col min="1" max="2" width="12.83203125" style="1336" customWidth="1"/>
    <col min="3" max="3" width="34" style="1336" customWidth="1"/>
    <col min="4" max="22" width="12.83203125" style="1336" customWidth="1"/>
    <col min="23" max="25" width="10.6640625" style="1336"/>
    <col min="26" max="26" width="10.6640625" style="1336" customWidth="1"/>
    <col min="27" max="16384" width="10.6640625" style="1336"/>
  </cols>
  <sheetData>
    <row r="1" spans="2:15" ht="19.5" customHeight="1"/>
    <row r="2" spans="2:15" ht="19.5" customHeight="1"/>
    <row r="3" spans="2:15" ht="19.5" customHeight="1"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1337"/>
      <c r="O3" s="1337"/>
    </row>
    <row r="4" spans="2:15" ht="19.5" customHeight="1">
      <c r="B4" s="1337"/>
      <c r="C4" s="1337"/>
      <c r="D4" s="1337"/>
      <c r="E4" s="1337"/>
      <c r="F4" s="1337"/>
      <c r="G4" s="1337"/>
      <c r="H4" s="1337"/>
      <c r="I4" s="1337"/>
      <c r="J4" s="1337"/>
      <c r="K4" s="1337"/>
      <c r="L4" s="1337"/>
      <c r="M4" s="1337"/>
      <c r="N4" s="1337"/>
      <c r="O4" s="1337"/>
    </row>
    <row r="5" spans="2:15" ht="19.5" customHeight="1">
      <c r="B5" s="1337"/>
      <c r="C5" s="1337"/>
      <c r="D5" s="1337"/>
      <c r="E5" s="1337"/>
      <c r="F5" s="1337"/>
      <c r="G5" s="1337"/>
      <c r="H5" s="1337"/>
      <c r="I5" s="1337"/>
      <c r="J5" s="1337"/>
      <c r="K5" s="1337"/>
      <c r="L5" s="1337"/>
      <c r="M5" s="1337"/>
      <c r="N5" s="1337"/>
      <c r="O5" s="1337"/>
    </row>
    <row r="6" spans="2:15" ht="19.5" customHeight="1">
      <c r="B6" s="1337"/>
      <c r="C6" s="1337"/>
      <c r="D6" s="1337"/>
      <c r="E6" s="1337"/>
      <c r="F6" s="1337"/>
      <c r="G6" s="1337"/>
      <c r="H6" s="1337"/>
      <c r="I6" s="1337"/>
      <c r="J6" s="1337"/>
      <c r="K6" s="1337"/>
      <c r="L6" s="1337"/>
      <c r="M6" s="1337"/>
      <c r="N6" s="1337"/>
      <c r="O6" s="1337"/>
    </row>
    <row r="7" spans="2:15" ht="19.5" customHeight="1">
      <c r="B7" s="1337"/>
      <c r="C7" s="1337"/>
      <c r="D7" s="1337"/>
      <c r="E7" s="1337"/>
      <c r="F7" s="1337"/>
      <c r="G7" s="1337"/>
      <c r="H7" s="1337"/>
      <c r="I7" s="1337"/>
      <c r="J7" s="1337"/>
      <c r="K7" s="1337"/>
      <c r="L7" s="1337"/>
      <c r="M7" s="1337"/>
      <c r="N7" s="1337"/>
      <c r="O7" s="1337"/>
    </row>
    <row r="8" spans="2:15" ht="19.5" customHeight="1">
      <c r="B8" s="1337"/>
      <c r="C8" s="1337"/>
      <c r="D8" s="1337"/>
      <c r="E8" s="1337"/>
      <c r="F8" s="1337"/>
      <c r="G8" s="1337"/>
      <c r="H8" s="1337"/>
      <c r="I8" s="1337"/>
      <c r="J8" s="1337"/>
      <c r="K8" s="1337"/>
      <c r="L8" s="1337"/>
      <c r="M8" s="1337"/>
      <c r="N8" s="1337"/>
      <c r="O8" s="1337"/>
    </row>
    <row r="9" spans="2:15" ht="19.5" customHeight="1">
      <c r="B9" s="1337"/>
      <c r="C9" s="1337"/>
      <c r="D9" s="1337"/>
      <c r="E9" s="1337"/>
      <c r="F9" s="1337"/>
      <c r="G9" s="1337"/>
      <c r="H9" s="1337"/>
      <c r="I9" s="1337"/>
      <c r="J9" s="1337"/>
      <c r="K9" s="1337"/>
      <c r="L9" s="1337"/>
      <c r="M9" s="1337"/>
      <c r="N9" s="1337"/>
      <c r="O9" s="1337"/>
    </row>
    <row r="10" spans="2:15" ht="19.5" customHeight="1">
      <c r="B10" s="1337"/>
      <c r="C10" s="1337"/>
      <c r="D10" s="1337"/>
      <c r="E10" s="1337"/>
      <c r="F10" s="1337"/>
      <c r="G10" s="1337"/>
      <c r="H10" s="1337"/>
      <c r="I10" s="1337"/>
      <c r="J10" s="1337"/>
      <c r="K10" s="1337"/>
      <c r="L10" s="1337"/>
      <c r="M10" s="1337"/>
      <c r="N10" s="1337"/>
      <c r="O10" s="1337"/>
    </row>
    <row r="11" spans="2:15" ht="19.5" customHeight="1">
      <c r="B11" s="1337"/>
      <c r="C11" s="1337"/>
      <c r="D11" s="1337"/>
      <c r="E11" s="1337"/>
      <c r="F11" s="1337"/>
      <c r="G11" s="1337"/>
      <c r="H11" s="1337"/>
      <c r="I11" s="1337"/>
      <c r="J11" s="1337"/>
      <c r="K11" s="1337"/>
      <c r="L11" s="1337"/>
      <c r="M11" s="1337"/>
      <c r="N11" s="1337"/>
      <c r="O11" s="1337"/>
    </row>
    <row r="12" spans="2:15" ht="27">
      <c r="B12" s="1337"/>
      <c r="C12" s="1338" t="s">
        <v>656</v>
      </c>
      <c r="D12" s="1337"/>
      <c r="E12" s="1337"/>
      <c r="F12" s="1337"/>
      <c r="G12" s="1337"/>
      <c r="H12" s="1337"/>
      <c r="I12" s="1337"/>
      <c r="J12" s="1337"/>
      <c r="K12" s="1337"/>
      <c r="L12" s="1337"/>
      <c r="M12" s="1337"/>
      <c r="N12" s="1339" t="s">
        <v>643</v>
      </c>
      <c r="O12" s="1337"/>
    </row>
    <row r="13" spans="2:15" ht="19.5" customHeight="1">
      <c r="B13" s="1337"/>
      <c r="C13" s="1340"/>
      <c r="D13" s="1337"/>
      <c r="E13" s="1337"/>
      <c r="F13" s="1337"/>
      <c r="G13" s="1337"/>
      <c r="H13" s="1337"/>
      <c r="I13" s="1337"/>
      <c r="J13" s="1337"/>
      <c r="K13" s="1337"/>
      <c r="L13" s="1337"/>
      <c r="M13" s="1337"/>
      <c r="N13" s="1337"/>
      <c r="O13" s="1337"/>
    </row>
    <row r="14" spans="2:15" ht="19.5" customHeight="1">
      <c r="B14" s="1337"/>
      <c r="C14" s="1349" t="s">
        <v>644</v>
      </c>
      <c r="D14" s="1337"/>
      <c r="E14" s="1337"/>
      <c r="F14" s="1337"/>
      <c r="G14" s="1337"/>
      <c r="H14" s="1337"/>
      <c r="I14" s="1337"/>
      <c r="J14" s="1337"/>
      <c r="K14" s="1337"/>
      <c r="L14" s="1337"/>
      <c r="M14" s="1337"/>
      <c r="N14" s="1337"/>
      <c r="O14" s="1337"/>
    </row>
    <row r="15" spans="2:15" ht="19.5" customHeight="1">
      <c r="B15" s="1337"/>
      <c r="C15" s="1341" t="s">
        <v>492</v>
      </c>
      <c r="D15" s="1337"/>
      <c r="E15" s="1337"/>
      <c r="F15" s="1337"/>
      <c r="G15" s="1337"/>
      <c r="H15" s="1337"/>
      <c r="I15" s="1337"/>
      <c r="J15" s="1337"/>
      <c r="K15" s="1337"/>
      <c r="L15" s="1337"/>
      <c r="M15" s="1337"/>
      <c r="N15" s="1337"/>
      <c r="O15" s="1337"/>
    </row>
    <row r="16" spans="2:15" ht="19.5" customHeight="1">
      <c r="B16" s="1337"/>
      <c r="C16" s="1341" t="s">
        <v>654</v>
      </c>
      <c r="D16" s="1337"/>
      <c r="E16" s="1337"/>
      <c r="F16" s="1337"/>
      <c r="G16" s="1337"/>
      <c r="H16" s="1337"/>
      <c r="I16" s="1337"/>
      <c r="J16" s="1337"/>
      <c r="K16" s="1337"/>
      <c r="L16" s="1337"/>
      <c r="M16" s="1337"/>
      <c r="N16" s="1337"/>
      <c r="O16" s="1337"/>
    </row>
    <row r="17" spans="2:15" ht="19.5" customHeight="1">
      <c r="B17" s="1337"/>
      <c r="C17" s="1341" t="s">
        <v>655</v>
      </c>
      <c r="D17" s="1337"/>
      <c r="E17" s="1337"/>
      <c r="F17" s="1337"/>
      <c r="G17" s="1337"/>
      <c r="H17" s="1337"/>
      <c r="I17" s="1337"/>
      <c r="J17" s="1337"/>
      <c r="K17" s="1337"/>
      <c r="L17" s="1337"/>
      <c r="M17" s="1337"/>
      <c r="N17" s="1337"/>
      <c r="O17" s="1337"/>
    </row>
    <row r="18" spans="2:15" ht="19.5" customHeight="1">
      <c r="B18" s="1337"/>
      <c r="C18" s="1341" t="s">
        <v>653</v>
      </c>
      <c r="D18" s="1337"/>
      <c r="E18" s="1337"/>
      <c r="F18" s="1337"/>
      <c r="G18" s="1337"/>
      <c r="H18" s="1337"/>
      <c r="I18" s="1337"/>
      <c r="J18" s="1337"/>
      <c r="K18" s="1337"/>
      <c r="L18" s="1337"/>
      <c r="M18" s="1337"/>
      <c r="N18" s="1337"/>
      <c r="O18" s="1337"/>
    </row>
    <row r="19" spans="2:15" ht="19.5" customHeight="1">
      <c r="B19" s="1337"/>
      <c r="C19" s="1341" t="s">
        <v>547</v>
      </c>
      <c r="D19" s="1337"/>
      <c r="E19" s="1337"/>
      <c r="F19" s="1337"/>
      <c r="G19" s="1337"/>
      <c r="H19" s="1337"/>
      <c r="I19" s="1337"/>
      <c r="J19" s="1337"/>
      <c r="K19" s="1337"/>
      <c r="L19" s="1337"/>
      <c r="M19" s="1337"/>
      <c r="N19" s="1337"/>
      <c r="O19" s="1337"/>
    </row>
    <row r="20" spans="2:15" ht="19.5" customHeight="1">
      <c r="B20" s="1337"/>
      <c r="C20" s="1341"/>
      <c r="D20" s="1337"/>
      <c r="E20" s="1337"/>
      <c r="F20" s="1337"/>
      <c r="G20" s="1337"/>
      <c r="H20" s="1337"/>
      <c r="I20" s="1337"/>
      <c r="J20" s="1337"/>
      <c r="K20" s="1337"/>
      <c r="L20" s="1337"/>
      <c r="M20" s="1337"/>
      <c r="N20" s="1337"/>
      <c r="O20" s="1337"/>
    </row>
    <row r="21" spans="2:15" ht="19.5" customHeight="1">
      <c r="B21" s="1337"/>
      <c r="C21" s="1337" t="s">
        <v>645</v>
      </c>
      <c r="D21" s="1337"/>
      <c r="E21" s="1337"/>
      <c r="F21" s="1337"/>
      <c r="G21" s="1337"/>
      <c r="H21" s="1337"/>
      <c r="I21" s="1337"/>
      <c r="J21" s="1337"/>
      <c r="K21" s="1337"/>
      <c r="L21" s="1337"/>
      <c r="M21" s="1337"/>
      <c r="N21" s="1337"/>
      <c r="O21" s="1337"/>
    </row>
    <row r="22" spans="2:15" ht="19.5" customHeight="1">
      <c r="B22" s="1337"/>
      <c r="C22" s="1342" t="s">
        <v>646</v>
      </c>
      <c r="D22" s="1342"/>
      <c r="E22" s="1342"/>
      <c r="F22" s="1342"/>
      <c r="G22" s="1342"/>
      <c r="H22" s="1342"/>
      <c r="I22" s="1342"/>
      <c r="J22" s="1342"/>
      <c r="K22" s="1342"/>
      <c r="L22" s="1342"/>
      <c r="M22" s="1342"/>
      <c r="N22" s="1342"/>
      <c r="O22" s="1337"/>
    </row>
    <row r="23" spans="2:15" ht="19.5" customHeight="1">
      <c r="B23" s="1337"/>
      <c r="C23" s="1337" t="s">
        <v>647</v>
      </c>
      <c r="D23" s="1337"/>
      <c r="E23" s="1337"/>
      <c r="F23" s="1337"/>
      <c r="G23" s="1337"/>
      <c r="H23" s="1337"/>
      <c r="I23" s="1337"/>
      <c r="J23" s="1337"/>
      <c r="K23" s="1337"/>
      <c r="L23" s="1337"/>
      <c r="M23" s="1337"/>
      <c r="N23" s="1337"/>
      <c r="O23" s="1337"/>
    </row>
    <row r="24" spans="2:15" ht="19.5" customHeight="1">
      <c r="B24" s="1337"/>
      <c r="C24" s="1343" t="s">
        <v>648</v>
      </c>
      <c r="D24" s="1337"/>
      <c r="E24" s="1337"/>
      <c r="F24" s="1337"/>
      <c r="G24" s="1337"/>
      <c r="H24" s="1337"/>
      <c r="I24" s="1337"/>
      <c r="J24" s="1337"/>
      <c r="K24" s="1337"/>
      <c r="L24" s="1337"/>
      <c r="M24" s="1337"/>
      <c r="N24" s="1337"/>
      <c r="O24" s="1337"/>
    </row>
    <row r="25" spans="2:15" ht="19.5" customHeight="1">
      <c r="B25" s="1337"/>
      <c r="C25" s="1343"/>
      <c r="D25" s="1337"/>
      <c r="E25" s="1337"/>
      <c r="F25" s="1337"/>
      <c r="G25" s="1337"/>
      <c r="H25" s="1337"/>
      <c r="I25" s="1337"/>
      <c r="J25" s="1337"/>
      <c r="K25" s="1337"/>
      <c r="L25" s="1337"/>
      <c r="M25" s="1337"/>
      <c r="N25" s="1337"/>
      <c r="O25" s="1337"/>
    </row>
    <row r="26" spans="2:15" ht="19.5" customHeight="1">
      <c r="B26" s="1337"/>
      <c r="C26" s="1344" t="s">
        <v>649</v>
      </c>
      <c r="D26" s="1345"/>
      <c r="E26" s="1345"/>
      <c r="F26" s="1345"/>
      <c r="G26" s="1345"/>
      <c r="H26" s="1345"/>
      <c r="I26" s="1345"/>
      <c r="J26" s="1345"/>
      <c r="K26" s="1345"/>
      <c r="L26" s="1345"/>
      <c r="M26" s="1345"/>
      <c r="N26" s="1345"/>
      <c r="O26" s="1337"/>
    </row>
    <row r="27" spans="2:15" ht="19.5" customHeight="1">
      <c r="B27" s="1346"/>
      <c r="C27" s="1347" t="s">
        <v>650</v>
      </c>
      <c r="D27" s="1347"/>
      <c r="E27" s="1347"/>
      <c r="F27" s="1347"/>
      <c r="G27" s="1347"/>
      <c r="H27" s="1347"/>
      <c r="I27" s="1347"/>
      <c r="J27" s="1347"/>
      <c r="K27" s="1347"/>
      <c r="L27" s="1347"/>
      <c r="M27" s="1347"/>
      <c r="N27" s="1347"/>
      <c r="O27" s="1346"/>
    </row>
    <row r="28" spans="2:15" ht="19.5" customHeight="1">
      <c r="B28" s="1346"/>
      <c r="C28" s="1347" t="s">
        <v>651</v>
      </c>
      <c r="D28" s="1347"/>
      <c r="E28" s="1347"/>
      <c r="F28" s="1347"/>
      <c r="G28" s="1347"/>
      <c r="H28" s="1347"/>
      <c r="I28" s="1347"/>
      <c r="J28" s="1347"/>
      <c r="K28" s="1347"/>
      <c r="L28" s="1347"/>
      <c r="M28" s="1347"/>
      <c r="N28" s="1347"/>
      <c r="O28" s="1346"/>
    </row>
    <row r="29" spans="2:15" ht="19.5" customHeight="1">
      <c r="B29" s="1346"/>
      <c r="C29" s="1347" t="s">
        <v>652</v>
      </c>
      <c r="D29" s="1347"/>
      <c r="E29" s="1347"/>
      <c r="F29" s="1347"/>
      <c r="G29" s="1347"/>
      <c r="H29" s="1347"/>
      <c r="I29" s="1347"/>
      <c r="J29" s="1347"/>
      <c r="K29" s="1347"/>
      <c r="L29" s="1347"/>
      <c r="M29" s="1347"/>
      <c r="N29" s="1347"/>
      <c r="O29" s="1346"/>
    </row>
    <row r="30" spans="2:15" ht="19.5" customHeight="1">
      <c r="B30" s="1346"/>
      <c r="C30" s="1347"/>
      <c r="D30" s="1347"/>
      <c r="E30" s="1347"/>
      <c r="F30" s="1347"/>
      <c r="G30" s="1347"/>
      <c r="H30" s="1347"/>
      <c r="I30" s="1347"/>
      <c r="J30" s="1347"/>
      <c r="K30" s="1347"/>
      <c r="L30" s="1347"/>
      <c r="M30" s="1347"/>
      <c r="N30" s="1347"/>
      <c r="O30" s="1346"/>
    </row>
    <row r="31" spans="2:15" ht="19.5" customHeight="1">
      <c r="B31" s="1346"/>
      <c r="C31" s="1346"/>
      <c r="D31" s="1346"/>
      <c r="E31" s="1346"/>
      <c r="F31" s="1346"/>
      <c r="G31" s="1346"/>
      <c r="H31" s="1346"/>
      <c r="I31" s="1346"/>
      <c r="J31" s="1346"/>
      <c r="K31" s="1346"/>
      <c r="L31" s="1346"/>
      <c r="M31" s="1346"/>
      <c r="N31" s="1346"/>
      <c r="O31" s="1346"/>
    </row>
    <row r="32" spans="2:15" ht="19.5" customHeight="1"/>
    <row r="33" ht="19.5" customHeight="1"/>
    <row r="34" ht="19.5" customHeight="1"/>
    <row r="35" ht="19.5" customHeight="1"/>
    <row r="36" ht="19.5" customHeight="1"/>
    <row r="37" ht="19.5" customHeight="1"/>
    <row r="38" ht="19.5" customHeight="1"/>
    <row r="39" ht="19.5" customHeight="1"/>
    <row r="40" ht="19.5" customHeight="1"/>
    <row r="41" ht="19.5" customHeight="1"/>
    <row r="42" ht="19.5" customHeight="1"/>
    <row r="43" ht="19.5" customHeight="1"/>
    <row r="44" ht="19.5" customHeight="1"/>
    <row r="45" ht="19.5" customHeight="1"/>
    <row r="46" ht="19.5" customHeight="1"/>
    <row r="47" ht="19.5" customHeight="1"/>
    <row r="48" ht="19.5" customHeight="1"/>
  </sheetData>
  <hyperlinks>
    <hyperlink ref="C24" r:id="rId1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57"/>
  <sheetViews>
    <sheetView showGridLines="0" view="pageBreakPreview" zoomScale="85" zoomScaleNormal="100" zoomScaleSheetLayoutView="85" workbookViewId="0"/>
  </sheetViews>
  <sheetFormatPr defaultRowHeight="12.75"/>
  <cols>
    <col min="1" max="1" width="2.83203125" style="10" customWidth="1"/>
    <col min="2" max="8" width="13.33203125" style="10" customWidth="1"/>
    <col min="9" max="10" width="1.83203125" style="11" customWidth="1"/>
    <col min="11" max="17" width="13.33203125" style="10" customWidth="1"/>
    <col min="18" max="16384" width="9.33203125" style="10"/>
  </cols>
  <sheetData>
    <row r="1" spans="1:17">
      <c r="A1" s="9"/>
    </row>
    <row r="2" spans="1:17" ht="23.25">
      <c r="B2" s="1328" t="s">
        <v>432</v>
      </c>
      <c r="C2" s="387"/>
      <c r="D2" s="387"/>
      <c r="E2" s="387"/>
      <c r="F2" s="387"/>
      <c r="G2" s="387"/>
      <c r="H2" s="387"/>
      <c r="I2" s="388"/>
      <c r="J2" s="388"/>
      <c r="K2" s="387"/>
      <c r="L2" s="387"/>
      <c r="M2" s="387"/>
      <c r="N2" s="387"/>
      <c r="O2" s="387"/>
      <c r="P2" s="387"/>
      <c r="Q2" s="389"/>
    </row>
    <row r="3" spans="1:17" s="11" customFormat="1" ht="20.100000000000001" customHeight="1">
      <c r="A3" s="10"/>
      <c r="B3" s="384" t="s">
        <v>107</v>
      </c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6"/>
    </row>
    <row r="5" spans="1:17">
      <c r="B5" s="10" t="s">
        <v>129</v>
      </c>
      <c r="E5" s="12">
        <v>43593</v>
      </c>
      <c r="I5" s="10"/>
      <c r="J5" s="10"/>
      <c r="L5" s="13"/>
    </row>
    <row r="6" spans="1:17">
      <c r="B6" s="10" t="s">
        <v>225</v>
      </c>
      <c r="E6" s="12">
        <v>43830</v>
      </c>
      <c r="F6" s="14"/>
      <c r="G6" s="15"/>
      <c r="H6" s="15"/>
      <c r="I6" s="10"/>
      <c r="J6" s="10"/>
      <c r="K6" s="15"/>
      <c r="L6" s="16"/>
    </row>
    <row r="7" spans="1:17">
      <c r="G7" s="17"/>
      <c r="H7" s="17"/>
      <c r="I7" s="18"/>
      <c r="J7" s="18"/>
      <c r="K7" s="19"/>
      <c r="L7" s="17"/>
      <c r="M7" s="17"/>
      <c r="N7" s="17"/>
      <c r="O7" s="17"/>
      <c r="P7" s="17"/>
    </row>
    <row r="8" spans="1:17" s="17" customFormat="1" ht="15.75">
      <c r="B8" s="170" t="s">
        <v>108</v>
      </c>
      <c r="C8" s="171"/>
      <c r="D8" s="171"/>
      <c r="E8" s="171"/>
      <c r="F8" s="171"/>
      <c r="G8" s="171"/>
      <c r="H8" s="171"/>
      <c r="I8" s="21"/>
      <c r="J8" s="22"/>
      <c r="K8" s="170" t="s">
        <v>109</v>
      </c>
      <c r="L8" s="170"/>
      <c r="M8" s="170"/>
      <c r="N8" s="170"/>
      <c r="O8" s="170"/>
      <c r="P8" s="170"/>
      <c r="Q8" s="170"/>
    </row>
    <row r="9" spans="1:17" s="17" customFormat="1">
      <c r="B9" s="17" t="s">
        <v>409</v>
      </c>
      <c r="C9" s="23" t="s">
        <v>657</v>
      </c>
      <c r="E9" s="17" t="s">
        <v>110</v>
      </c>
      <c r="G9" s="24">
        <v>27</v>
      </c>
      <c r="H9" s="24"/>
      <c r="I9" s="25"/>
      <c r="J9" s="18"/>
      <c r="K9" s="17" t="s">
        <v>409</v>
      </c>
      <c r="L9" s="23" t="s">
        <v>660</v>
      </c>
      <c r="N9" s="17" t="s">
        <v>110</v>
      </c>
      <c r="P9" s="24">
        <v>25</v>
      </c>
    </row>
    <row r="10" spans="1:17" s="17" customFormat="1">
      <c r="B10" s="17" t="s">
        <v>578</v>
      </c>
      <c r="C10" s="23" t="s">
        <v>658</v>
      </c>
      <c r="G10" s="24"/>
      <c r="H10" s="24"/>
      <c r="I10" s="25"/>
      <c r="J10" s="18"/>
      <c r="K10" s="17" t="s">
        <v>578</v>
      </c>
      <c r="L10" s="23" t="s">
        <v>660</v>
      </c>
      <c r="P10" s="24"/>
    </row>
    <row r="11" spans="1:17" s="17" customFormat="1">
      <c r="B11" s="17" t="s">
        <v>579</v>
      </c>
      <c r="C11" s="23" t="s">
        <v>659</v>
      </c>
      <c r="G11" s="26" t="s">
        <v>185</v>
      </c>
      <c r="H11" s="26"/>
      <c r="I11" s="25"/>
      <c r="J11" s="18"/>
      <c r="K11" s="17" t="s">
        <v>579</v>
      </c>
      <c r="L11" s="23" t="s">
        <v>659</v>
      </c>
      <c r="P11" s="26" t="s">
        <v>185</v>
      </c>
      <c r="Q11" s="26"/>
    </row>
    <row r="12" spans="1:17" s="17" customFormat="1">
      <c r="G12" s="27" t="str">
        <f>TEXT(C17,"m/d/yy")</f>
        <v>3/1/19</v>
      </c>
      <c r="H12" s="27" t="str">
        <f>TEXT(C15,"m/d/yy")</f>
        <v>3/1/19</v>
      </c>
      <c r="I12" s="25"/>
      <c r="J12" s="18"/>
      <c r="P12" s="27" t="str">
        <f>TEXT(L17,"m/d/yy")</f>
        <v>3/1/19</v>
      </c>
      <c r="Q12" s="27" t="str">
        <f>TEXT(L15,"m/d/yy")</f>
        <v>3/1/19</v>
      </c>
    </row>
    <row r="13" spans="1:17" s="17" customFormat="1">
      <c r="B13" s="17" t="s">
        <v>408</v>
      </c>
      <c r="C13" s="28">
        <v>2018</v>
      </c>
      <c r="E13" s="17" t="s">
        <v>118</v>
      </c>
      <c r="G13" s="29">
        <v>11.3431</v>
      </c>
      <c r="H13" s="30">
        <v>11.3431</v>
      </c>
      <c r="I13" s="25"/>
      <c r="J13" s="18"/>
      <c r="K13" s="17" t="s">
        <v>408</v>
      </c>
      <c r="L13" s="31">
        <v>2018</v>
      </c>
      <c r="N13" s="17" t="s">
        <v>118</v>
      </c>
      <c r="P13" s="29">
        <v>6.8926499999999997</v>
      </c>
      <c r="Q13" s="30">
        <v>6.8926499999999997</v>
      </c>
    </row>
    <row r="14" spans="1:17" s="17" customFormat="1">
      <c r="B14" s="17" t="s">
        <v>404</v>
      </c>
      <c r="C14" s="12">
        <v>43465</v>
      </c>
      <c r="E14" s="17" t="s">
        <v>111</v>
      </c>
      <c r="G14" s="32">
        <f>D31</f>
        <v>1.2170000000000001</v>
      </c>
      <c r="H14" s="32"/>
      <c r="I14" s="25"/>
      <c r="J14" s="18"/>
      <c r="K14" s="17" t="s">
        <v>404</v>
      </c>
      <c r="L14" s="12">
        <v>43465</v>
      </c>
      <c r="N14" s="17" t="s">
        <v>111</v>
      </c>
      <c r="P14" s="32">
        <f>M31</f>
        <v>0.1</v>
      </c>
    </row>
    <row r="15" spans="1:17" s="17" customFormat="1">
      <c r="B15" s="17" t="s">
        <v>637</v>
      </c>
      <c r="C15" s="12">
        <v>43525</v>
      </c>
      <c r="E15" s="17" t="s">
        <v>314</v>
      </c>
      <c r="G15" s="33">
        <f>E31</f>
        <v>6.13</v>
      </c>
      <c r="H15" s="33"/>
      <c r="I15" s="25"/>
      <c r="J15" s="18"/>
      <c r="K15" s="17" t="s">
        <v>637</v>
      </c>
      <c r="L15" s="12">
        <v>43525</v>
      </c>
      <c r="N15" s="17" t="s">
        <v>314</v>
      </c>
      <c r="P15" s="33">
        <f>N31</f>
        <v>20</v>
      </c>
    </row>
    <row r="16" spans="1:17" s="17" customFormat="1">
      <c r="B16" s="17" t="s">
        <v>237</v>
      </c>
      <c r="C16" s="12">
        <v>43555</v>
      </c>
      <c r="E16" s="17" t="s">
        <v>112</v>
      </c>
      <c r="G16" s="32">
        <f>IF(aprice&gt;aexercise,aoptions*(aprice-aexercise)/aprice,0)</f>
        <v>0.94069592592592599</v>
      </c>
      <c r="H16" s="32"/>
      <c r="I16" s="25"/>
      <c r="J16" s="18"/>
      <c r="K16" s="17" t="s">
        <v>237</v>
      </c>
      <c r="L16" s="12">
        <v>43555</v>
      </c>
      <c r="N16" s="17" t="s">
        <v>112</v>
      </c>
      <c r="P16" s="32">
        <f>IF(tprice&gt;texercise,toptions*(tprice-texercise)/tprice,0)</f>
        <v>0.02</v>
      </c>
    </row>
    <row r="17" spans="2:16" s="17" customFormat="1">
      <c r="B17" s="17" t="s">
        <v>637</v>
      </c>
      <c r="C17" s="12">
        <v>43525</v>
      </c>
      <c r="E17" s="17" t="s">
        <v>180</v>
      </c>
      <c r="G17" s="34">
        <f>ashares+G16</f>
        <v>12.283795925925926</v>
      </c>
      <c r="H17" s="32"/>
      <c r="I17" s="25"/>
      <c r="J17" s="18"/>
      <c r="K17" s="17" t="s">
        <v>637</v>
      </c>
      <c r="L17" s="12">
        <v>43525</v>
      </c>
      <c r="N17" s="17" t="s">
        <v>180</v>
      </c>
      <c r="P17" s="34">
        <f>tshares+P16</f>
        <v>6.9126499999999993</v>
      </c>
    </row>
    <row r="18" spans="2:16" s="17" customFormat="1">
      <c r="B18" s="17" t="s">
        <v>238</v>
      </c>
      <c r="C18" s="12">
        <v>43525</v>
      </c>
      <c r="I18" s="25"/>
      <c r="J18" s="18"/>
      <c r="K18" s="17" t="s">
        <v>238</v>
      </c>
      <c r="L18" s="12">
        <v>43525</v>
      </c>
    </row>
    <row r="19" spans="2:16" s="17" customFormat="1">
      <c r="E19" s="17" t="s">
        <v>406</v>
      </c>
      <c r="G19" s="35">
        <v>0.2</v>
      </c>
      <c r="H19" s="35"/>
      <c r="I19" s="25"/>
      <c r="J19" s="18"/>
      <c r="N19" s="17" t="s">
        <v>406</v>
      </c>
      <c r="P19" s="35">
        <v>0.2</v>
      </c>
    </row>
    <row r="20" spans="2:16" s="17" customFormat="1">
      <c r="B20" s="17" t="s">
        <v>169</v>
      </c>
      <c r="C20" s="36">
        <v>0.25</v>
      </c>
      <c r="G20" s="37"/>
      <c r="H20" s="37"/>
      <c r="I20" s="25"/>
      <c r="J20" s="18"/>
      <c r="K20" s="17" t="s">
        <v>169</v>
      </c>
      <c r="L20" s="36">
        <v>0.25</v>
      </c>
    </row>
    <row r="21" spans="2:16" s="17" customFormat="1">
      <c r="B21" s="17" t="s">
        <v>405</v>
      </c>
      <c r="C21" s="36">
        <v>0.1</v>
      </c>
      <c r="I21" s="25"/>
      <c r="J21" s="18"/>
      <c r="K21" s="17" t="s">
        <v>405</v>
      </c>
      <c r="L21" s="36">
        <v>0.15</v>
      </c>
    </row>
    <row r="22" spans="2:16" s="17" customFormat="1">
      <c r="B22" s="38"/>
      <c r="D22" s="39"/>
      <c r="I22" s="25"/>
      <c r="J22" s="18"/>
      <c r="K22" s="38"/>
    </row>
    <row r="23" spans="2:16">
      <c r="B23" s="167" t="s">
        <v>111</v>
      </c>
      <c r="C23" s="168"/>
      <c r="D23" s="168"/>
      <c r="E23" s="168"/>
      <c r="I23" s="25"/>
      <c r="K23" s="167" t="s">
        <v>111</v>
      </c>
      <c r="L23" s="168"/>
      <c r="M23" s="168"/>
      <c r="N23" s="168"/>
      <c r="P23" s="40"/>
    </row>
    <row r="24" spans="2:16" s="17" customFormat="1">
      <c r="B24" s="41" t="s">
        <v>171</v>
      </c>
      <c r="C24" s="41" t="s">
        <v>248</v>
      </c>
      <c r="D24" s="41" t="s">
        <v>171</v>
      </c>
      <c r="E24" s="41" t="s">
        <v>248</v>
      </c>
      <c r="I24" s="25"/>
      <c r="J24" s="18"/>
      <c r="K24" s="41" t="s">
        <v>171</v>
      </c>
      <c r="L24" s="41" t="s">
        <v>248</v>
      </c>
      <c r="M24" s="41" t="s">
        <v>171</v>
      </c>
      <c r="N24" s="41" t="s">
        <v>248</v>
      </c>
    </row>
    <row r="25" spans="2:16" s="17" customFormat="1">
      <c r="B25" s="42">
        <v>1.2170000000000001</v>
      </c>
      <c r="C25" s="43">
        <v>6.13</v>
      </c>
      <c r="D25" s="44">
        <f t="shared" ref="D25:D30" si="0">IF(aprice&gt;C25,B25,0)</f>
        <v>1.2170000000000001</v>
      </c>
      <c r="E25" s="45">
        <f t="shared" ref="E25:E30" si="1">IF(aprice&gt;C25,C25,0)</f>
        <v>6.13</v>
      </c>
      <c r="I25" s="25"/>
      <c r="J25" s="18"/>
      <c r="K25" s="42">
        <v>0.1</v>
      </c>
      <c r="L25" s="43">
        <v>20</v>
      </c>
      <c r="M25" s="44">
        <f t="shared" ref="M25:M30" si="2">IF(tprice&gt;L25,K25,0)</f>
        <v>0.1</v>
      </c>
      <c r="N25" s="45">
        <f t="shared" ref="N25:N30" si="3">IF(tprice&gt;L25,L25,0)</f>
        <v>20</v>
      </c>
    </row>
    <row r="26" spans="2:16" s="17" customFormat="1">
      <c r="B26" s="46">
        <v>0</v>
      </c>
      <c r="C26" s="47">
        <v>0</v>
      </c>
      <c r="D26" s="48">
        <f t="shared" si="0"/>
        <v>0</v>
      </c>
      <c r="E26" s="48">
        <f t="shared" si="1"/>
        <v>0</v>
      </c>
      <c r="I26" s="25"/>
      <c r="J26" s="18"/>
      <c r="K26" s="46">
        <v>0</v>
      </c>
      <c r="L26" s="47">
        <v>0</v>
      </c>
      <c r="M26" s="48">
        <f t="shared" si="2"/>
        <v>0</v>
      </c>
      <c r="N26" s="48">
        <f t="shared" si="3"/>
        <v>0</v>
      </c>
    </row>
    <row r="27" spans="2:16" s="17" customFormat="1">
      <c r="B27" s="46">
        <v>0</v>
      </c>
      <c r="C27" s="47">
        <v>0</v>
      </c>
      <c r="D27" s="48">
        <f t="shared" si="0"/>
        <v>0</v>
      </c>
      <c r="E27" s="48">
        <f t="shared" si="1"/>
        <v>0</v>
      </c>
      <c r="I27" s="25"/>
      <c r="J27" s="18"/>
      <c r="K27" s="46">
        <v>0</v>
      </c>
      <c r="L27" s="47">
        <v>0</v>
      </c>
      <c r="M27" s="48">
        <f t="shared" si="2"/>
        <v>0</v>
      </c>
      <c r="N27" s="48">
        <f t="shared" si="3"/>
        <v>0</v>
      </c>
    </row>
    <row r="28" spans="2:16" s="17" customFormat="1">
      <c r="B28" s="46">
        <v>0</v>
      </c>
      <c r="C28" s="47">
        <v>0</v>
      </c>
      <c r="D28" s="48">
        <f t="shared" si="0"/>
        <v>0</v>
      </c>
      <c r="E28" s="48">
        <f t="shared" si="1"/>
        <v>0</v>
      </c>
      <c r="I28" s="25"/>
      <c r="J28" s="18"/>
      <c r="K28" s="46">
        <v>0</v>
      </c>
      <c r="L28" s="47">
        <v>0</v>
      </c>
      <c r="M28" s="48">
        <f t="shared" si="2"/>
        <v>0</v>
      </c>
      <c r="N28" s="48">
        <f t="shared" si="3"/>
        <v>0</v>
      </c>
    </row>
    <row r="29" spans="2:16" s="17" customFormat="1">
      <c r="B29" s="46">
        <v>0</v>
      </c>
      <c r="C29" s="47">
        <v>0</v>
      </c>
      <c r="D29" s="48">
        <f t="shared" si="0"/>
        <v>0</v>
      </c>
      <c r="E29" s="48">
        <f t="shared" si="1"/>
        <v>0</v>
      </c>
      <c r="I29" s="49"/>
      <c r="J29" s="50"/>
      <c r="K29" s="46">
        <v>0</v>
      </c>
      <c r="L29" s="47">
        <v>0</v>
      </c>
      <c r="M29" s="48">
        <f t="shared" si="2"/>
        <v>0</v>
      </c>
      <c r="N29" s="48">
        <f t="shared" si="3"/>
        <v>0</v>
      </c>
    </row>
    <row r="30" spans="2:16" s="17" customFormat="1">
      <c r="B30" s="46">
        <v>0</v>
      </c>
      <c r="C30" s="47">
        <v>0</v>
      </c>
      <c r="D30" s="48">
        <f t="shared" si="0"/>
        <v>0</v>
      </c>
      <c r="E30" s="48">
        <f t="shared" si="1"/>
        <v>0</v>
      </c>
      <c r="I30" s="49"/>
      <c r="J30" s="50"/>
      <c r="K30" s="46">
        <v>0</v>
      </c>
      <c r="L30" s="47">
        <v>0</v>
      </c>
      <c r="M30" s="48">
        <f t="shared" si="2"/>
        <v>0</v>
      </c>
      <c r="N30" s="48">
        <f t="shared" si="3"/>
        <v>0</v>
      </c>
    </row>
    <row r="31" spans="2:16" s="17" customFormat="1">
      <c r="B31" s="51">
        <f>SUM(B25:B30)</f>
        <v>1.2170000000000001</v>
      </c>
      <c r="C31" s="52">
        <f>IF(B31=0,0,SUMPRODUCT(B25:B30,C25:C30)/B31)</f>
        <v>6.13</v>
      </c>
      <c r="D31" s="44">
        <f>SUM(D25:D30)</f>
        <v>1.2170000000000001</v>
      </c>
      <c r="E31" s="52">
        <f>IF(D31=0,0,SUMPRODUCT(D25:D30,E25:E30)/D31)</f>
        <v>6.13</v>
      </c>
      <c r="I31" s="49"/>
      <c r="J31" s="50"/>
      <c r="K31" s="51">
        <f>SUM(K25:K30)</f>
        <v>0.1</v>
      </c>
      <c r="L31" s="52">
        <f>IF(K31=0,0,SUMPRODUCT(K25:K30,L25:L30)/K31)</f>
        <v>20</v>
      </c>
      <c r="M31" s="44">
        <f>SUM(M25:M30)</f>
        <v>0.1</v>
      </c>
      <c r="N31" s="52">
        <f>IF(M31=0,0,SUMPRODUCT(M25:M30,N25:N30)/M31)</f>
        <v>20</v>
      </c>
    </row>
    <row r="32" spans="2:16" s="17" customFormat="1">
      <c r="I32" s="49"/>
      <c r="J32" s="50"/>
    </row>
    <row r="33" spans="2:17" s="17" customFormat="1">
      <c r="B33" s="53"/>
      <c r="D33" s="172" t="s">
        <v>496</v>
      </c>
      <c r="E33" s="172"/>
      <c r="F33" s="172"/>
      <c r="G33" s="172"/>
      <c r="H33" s="54"/>
      <c r="I33" s="25"/>
      <c r="J33" s="18"/>
      <c r="M33" s="172" t="s">
        <v>496</v>
      </c>
      <c r="N33" s="172"/>
      <c r="O33" s="172"/>
      <c r="P33" s="172"/>
      <c r="Q33" s="172"/>
    </row>
    <row r="34" spans="2:17" s="17" customFormat="1">
      <c r="B34" s="55" t="str">
        <f>"FY Ended "&amp;TEXT(afye,"mmmm d")&amp;","</f>
        <v>FY Ended December 31,</v>
      </c>
      <c r="D34" s="56" t="str">
        <f>TEXT(afye+365,"mmm-yy")</f>
        <v>Dec-19</v>
      </c>
      <c r="E34" s="56" t="str">
        <f>TEXT(afye+365*2,"mmm-yy")</f>
        <v>Dec-20</v>
      </c>
      <c r="F34" s="56" t="str">
        <f>TEXT(afye+365*3,"mmm-yy")</f>
        <v>Dec-21</v>
      </c>
      <c r="G34" s="56" t="str">
        <f>TEXT(afye+365*4,"mmm-yy")</f>
        <v>Dec-22</v>
      </c>
      <c r="H34" s="57"/>
      <c r="I34" s="58"/>
      <c r="K34" s="55" t="str">
        <f>"FY Ended "&amp;TEXT(tfye,"mmmm d")&amp;","</f>
        <v>FY Ended December 31,</v>
      </c>
      <c r="M34" s="56" t="str">
        <f>TEXT(tfye+365,"mmm-yy")</f>
        <v>Dec-19</v>
      </c>
      <c r="N34" s="56" t="str">
        <f>TEXT(tfye+365*2,"mmm-yy")</f>
        <v>Dec-20</v>
      </c>
      <c r="O34" s="56" t="str">
        <f>TEXT(tfye+365*3,"mmm-yy")</f>
        <v>Dec-21</v>
      </c>
      <c r="P34" s="56" t="str">
        <f>TEXT(tfye+365*4,"mmm-yy")</f>
        <v>Dec-22</v>
      </c>
      <c r="Q34" s="56" t="str">
        <f>TEXT(tfye+365*5,"mmm-yy")</f>
        <v>Dec-23</v>
      </c>
    </row>
    <row r="35" spans="2:17" s="17" customFormat="1">
      <c r="B35" s="3" t="s">
        <v>254</v>
      </c>
      <c r="C35" s="3"/>
      <c r="D35" s="59">
        <v>120</v>
      </c>
      <c r="E35" s="59">
        <v>140</v>
      </c>
      <c r="F35" s="59">
        <v>160</v>
      </c>
      <c r="G35" s="60">
        <v>180</v>
      </c>
      <c r="H35" s="60"/>
      <c r="I35" s="58"/>
      <c r="K35" s="61" t="str">
        <f>+B35</f>
        <v>Net Sales</v>
      </c>
      <c r="L35" s="61"/>
      <c r="M35" s="59">
        <v>50</v>
      </c>
      <c r="N35" s="59">
        <v>55</v>
      </c>
      <c r="O35" s="59">
        <v>60.500000000000007</v>
      </c>
      <c r="P35" s="60">
        <v>66.550000000000011</v>
      </c>
      <c r="Q35" s="60">
        <v>73.205000000000013</v>
      </c>
    </row>
    <row r="36" spans="2:17" s="17" customFormat="1">
      <c r="B36" s="3" t="s">
        <v>505</v>
      </c>
      <c r="C36" s="3"/>
      <c r="D36" s="62">
        <v>0.5</v>
      </c>
      <c r="E36" s="62">
        <v>0.5</v>
      </c>
      <c r="F36" s="62">
        <v>0.5</v>
      </c>
      <c r="G36" s="62">
        <v>0.5</v>
      </c>
      <c r="H36" s="63"/>
      <c r="I36" s="58"/>
      <c r="K36" s="3" t="s">
        <v>505</v>
      </c>
      <c r="M36" s="62">
        <v>0.55000000000000004</v>
      </c>
      <c r="N36" s="62">
        <v>0.55000000000000004</v>
      </c>
      <c r="O36" s="62">
        <v>0.55000000000000004</v>
      </c>
      <c r="P36" s="62">
        <v>0.55000000000000004</v>
      </c>
      <c r="Q36" s="62">
        <v>0.55000000000000004</v>
      </c>
    </row>
    <row r="37" spans="2:17" s="17" customFormat="1">
      <c r="B37" s="3" t="s">
        <v>64</v>
      </c>
      <c r="C37" s="3"/>
      <c r="D37" s="37">
        <v>30</v>
      </c>
      <c r="E37" s="37">
        <v>35</v>
      </c>
      <c r="F37" s="37"/>
      <c r="G37" s="63"/>
      <c r="H37" s="63"/>
      <c r="I37" s="58"/>
      <c r="K37" s="61" t="str">
        <f t="shared" ref="K37:K44" si="4">+B37</f>
        <v>EBIT</v>
      </c>
      <c r="L37" s="64"/>
      <c r="M37" s="37">
        <v>20</v>
      </c>
      <c r="N37" s="37">
        <v>25</v>
      </c>
      <c r="O37" s="37"/>
      <c r="P37" s="63"/>
      <c r="Q37" s="63"/>
    </row>
    <row r="38" spans="2:17">
      <c r="B38" s="3" t="s">
        <v>76</v>
      </c>
      <c r="C38" s="3"/>
      <c r="D38" s="37">
        <v>15</v>
      </c>
      <c r="E38" s="37">
        <v>25</v>
      </c>
      <c r="F38" s="37"/>
      <c r="G38" s="63"/>
      <c r="H38" s="63"/>
      <c r="I38" s="58"/>
      <c r="J38" s="17"/>
      <c r="K38" s="61" t="str">
        <f t="shared" si="4"/>
        <v>Pre-Tax Income</v>
      </c>
      <c r="M38" s="37">
        <v>18</v>
      </c>
      <c r="N38" s="37">
        <v>22</v>
      </c>
      <c r="O38" s="37"/>
      <c r="P38" s="63"/>
      <c r="Q38" s="63"/>
    </row>
    <row r="39" spans="2:17">
      <c r="B39" s="3" t="s">
        <v>65</v>
      </c>
      <c r="C39" s="3"/>
      <c r="D39" s="37">
        <v>10</v>
      </c>
      <c r="E39" s="37">
        <v>15</v>
      </c>
      <c r="F39" s="65">
        <f>+E39*(1+altg)</f>
        <v>16.5</v>
      </c>
      <c r="G39" s="65">
        <f>+F39*(1+altg)</f>
        <v>18.150000000000002</v>
      </c>
      <c r="H39" s="65"/>
      <c r="I39" s="58"/>
      <c r="J39" s="17"/>
      <c r="K39" s="61" t="str">
        <f t="shared" si="4"/>
        <v>Net Income</v>
      </c>
      <c r="M39" s="37">
        <v>13.5</v>
      </c>
      <c r="N39" s="37">
        <v>16.5</v>
      </c>
      <c r="O39" s="65">
        <f>+N39*(1+tltg)</f>
        <v>18.974999999999998</v>
      </c>
      <c r="P39" s="65">
        <f>+O39*(1+tltg)</f>
        <v>21.821249999999996</v>
      </c>
      <c r="Q39" s="65">
        <f>+P39*(1+tltg)</f>
        <v>25.094437499999994</v>
      </c>
    </row>
    <row r="40" spans="2:17">
      <c r="B40" s="3" t="s">
        <v>228</v>
      </c>
      <c r="C40" s="3"/>
      <c r="D40" s="19">
        <f>+D39/D41</f>
        <v>11.764705882352942</v>
      </c>
      <c r="E40" s="19">
        <f>+E39/E41</f>
        <v>17.647058823529413</v>
      </c>
      <c r="F40" s="19">
        <f>+F39/F41</f>
        <v>17.647058823529409</v>
      </c>
      <c r="G40" s="19">
        <f>+G39/G41</f>
        <v>17.647058823529409</v>
      </c>
      <c r="H40" s="19"/>
      <c r="I40" s="58"/>
      <c r="J40" s="17"/>
      <c r="K40" s="61" t="str">
        <f t="shared" si="4"/>
        <v>Weighted Average Shares</v>
      </c>
      <c r="M40" s="19">
        <f>+M39/M41</f>
        <v>6.8181818181818183</v>
      </c>
      <c r="N40" s="19">
        <f>+N39/N41</f>
        <v>7.8571428571428568</v>
      </c>
      <c r="O40" s="19">
        <f>+O39/O41</f>
        <v>7.8571428571428559</v>
      </c>
      <c r="P40" s="19">
        <f>+P39/P41</f>
        <v>7.8571428571428559</v>
      </c>
      <c r="Q40" s="19">
        <f>+Q39/Q41</f>
        <v>7.8571428571428559</v>
      </c>
    </row>
    <row r="41" spans="2:17">
      <c r="B41" s="3" t="s">
        <v>310</v>
      </c>
      <c r="C41" s="3"/>
      <c r="D41" s="66">
        <v>0.85</v>
      </c>
      <c r="E41" s="66">
        <v>0.85</v>
      </c>
      <c r="F41" s="67">
        <f>+E41*(1+altg)</f>
        <v>0.93500000000000005</v>
      </c>
      <c r="G41" s="67">
        <f>+F41*(1+altg)</f>
        <v>1.0285000000000002</v>
      </c>
      <c r="H41" s="67"/>
      <c r="I41" s="58"/>
      <c r="J41" s="17"/>
      <c r="K41" s="61" t="str">
        <f t="shared" si="4"/>
        <v>Diluted EPS</v>
      </c>
      <c r="M41" s="66">
        <v>1.98</v>
      </c>
      <c r="N41" s="66">
        <v>2.1</v>
      </c>
      <c r="O41" s="67">
        <f>+N41*(1+tltg)</f>
        <v>2.415</v>
      </c>
      <c r="P41" s="67">
        <f>+O41*(1+tltg)</f>
        <v>2.77725</v>
      </c>
      <c r="Q41" s="67">
        <f>+P41*(1+tltg)</f>
        <v>3.1938374999999999</v>
      </c>
    </row>
    <row r="42" spans="2:17">
      <c r="B42" s="3"/>
      <c r="C42" s="3"/>
      <c r="D42" s="4"/>
      <c r="E42" s="68"/>
      <c r="F42" s="17"/>
      <c r="G42" s="17"/>
      <c r="H42" s="17"/>
      <c r="I42" s="58"/>
      <c r="J42" s="17"/>
      <c r="K42" s="61"/>
      <c r="M42" s="4"/>
      <c r="N42" s="68"/>
      <c r="O42" s="17"/>
      <c r="P42" s="17"/>
      <c r="Q42" s="17"/>
    </row>
    <row r="43" spans="2:17">
      <c r="B43" s="3" t="s">
        <v>63</v>
      </c>
      <c r="C43" s="3"/>
      <c r="D43" s="59">
        <v>40</v>
      </c>
      <c r="E43" s="59">
        <v>45</v>
      </c>
      <c r="F43" s="59"/>
      <c r="G43" s="60"/>
      <c r="H43" s="60"/>
      <c r="I43" s="58"/>
      <c r="J43" s="17"/>
      <c r="K43" s="61" t="str">
        <f t="shared" si="4"/>
        <v>EBITDA</v>
      </c>
      <c r="M43" s="59">
        <v>25</v>
      </c>
      <c r="N43" s="59">
        <v>30</v>
      </c>
      <c r="O43" s="59"/>
      <c r="P43" s="60"/>
      <c r="Q43" s="60"/>
    </row>
    <row r="44" spans="2:17" s="17" customFormat="1">
      <c r="B44" s="3" t="s">
        <v>122</v>
      </c>
      <c r="C44" s="3"/>
      <c r="D44" s="37">
        <v>10</v>
      </c>
      <c r="E44" s="37">
        <v>12</v>
      </c>
      <c r="F44" s="37"/>
      <c r="G44" s="63"/>
      <c r="H44" s="63"/>
      <c r="I44" s="58"/>
      <c r="K44" s="61" t="str">
        <f t="shared" si="4"/>
        <v>Capital Expenditures</v>
      </c>
      <c r="M44" s="37">
        <v>5</v>
      </c>
      <c r="N44" s="37">
        <v>5.5</v>
      </c>
      <c r="O44" s="37"/>
      <c r="P44" s="63"/>
      <c r="Q44" s="63"/>
    </row>
    <row r="45" spans="2:17" s="17" customFormat="1">
      <c r="B45" s="3"/>
      <c r="C45" s="3"/>
      <c r="D45" s="4"/>
      <c r="E45" s="69"/>
      <c r="I45" s="18"/>
      <c r="J45" s="18"/>
      <c r="M45" s="1354"/>
      <c r="N45" s="1354"/>
    </row>
    <row r="46" spans="2:17" s="17" customFormat="1">
      <c r="I46" s="18"/>
      <c r="J46" s="18"/>
      <c r="M46" s="65"/>
      <c r="N46" s="65"/>
    </row>
    <row r="47" spans="2:17" s="17" customFormat="1">
      <c r="B47" s="70" t="s">
        <v>400</v>
      </c>
      <c r="C47" s="71"/>
      <c r="D47" s="72"/>
      <c r="I47" s="18"/>
      <c r="J47" s="18"/>
      <c r="K47" s="73" t="s">
        <v>315</v>
      </c>
    </row>
    <row r="48" spans="2:17" s="17" customFormat="1">
      <c r="B48" s="74" t="str">
        <f>acq&amp;" Current Quarter"</f>
        <v>COLEMAN CO. Current Quarter</v>
      </c>
      <c r="C48" s="71"/>
      <c r="D48" s="75">
        <f>IF(altmdate=afye,4,ROUND((altmdate-afye)/90,0))</f>
        <v>1</v>
      </c>
      <c r="I48" s="18"/>
      <c r="J48" s="18"/>
      <c r="K48" s="71"/>
      <c r="L48" s="71"/>
      <c r="M48" s="76" t="str">
        <f>TEXT(tfye,"mmm-yy")</f>
        <v>Dec-18</v>
      </c>
      <c r="N48" s="76" t="str">
        <f>TEXT(afye+365,"mmm-yy")</f>
        <v>Dec-19</v>
      </c>
      <c r="O48" s="76" t="str">
        <f>TEXT(afye+365*2,"mmm-yy")</f>
        <v>Dec-20</v>
      </c>
      <c r="P48" s="76" t="str">
        <f>TEXT(afye+365*3,"mmm-yy")</f>
        <v>Dec-21</v>
      </c>
      <c r="Q48" s="76" t="str">
        <f>TEXT(afye+365*4,"mmm-yy")</f>
        <v>Dec-22</v>
      </c>
    </row>
    <row r="49" spans="2:17" s="17" customFormat="1">
      <c r="B49" s="77" t="str">
        <f>tar&amp;" Current Quarter"</f>
        <v>SG ENTERPRISES Current Quarter</v>
      </c>
      <c r="D49" s="78">
        <f>IF(tltmdate=tfye,4,ROUND((tltmdate-tfye)/90,0))</f>
        <v>1</v>
      </c>
      <c r="I49" s="18"/>
      <c r="J49" s="18"/>
      <c r="K49" s="17" t="s">
        <v>65</v>
      </c>
      <c r="M49" s="79">
        <f>'Tar Income Statement'!L19</f>
        <v>8.2568999999999999</v>
      </c>
      <c r="N49" s="80">
        <f>(M49*FYx)+(M39*FY)+(N39*FYz)</f>
        <v>13.5</v>
      </c>
      <c r="O49" s="80">
        <f>(N49*FYx)+(N39*FY)+(O39*FYz)</f>
        <v>16.5</v>
      </c>
      <c r="P49" s="80">
        <f>(O49*FYx)+(O39*FY)+(P39*FYz)</f>
        <v>18.974999999999998</v>
      </c>
      <c r="Q49" s="80">
        <f>(P49*FYx)+(P39*FY)+(Q39*FYz)</f>
        <v>21.821249999999996</v>
      </c>
    </row>
    <row r="50" spans="2:17" s="17" customFormat="1">
      <c r="B50" s="74" t="s">
        <v>396</v>
      </c>
      <c r="C50" s="71"/>
      <c r="D50" s="81">
        <f>IF(tfye&gt;afye,1-D51,0)</f>
        <v>0</v>
      </c>
      <c r="E50" s="19"/>
      <c r="I50" s="18"/>
      <c r="J50" s="18"/>
      <c r="K50" s="53" t="s">
        <v>228</v>
      </c>
      <c r="M50" s="19">
        <f>+M49/M51</f>
        <v>6.7</v>
      </c>
      <c r="N50" s="19">
        <f>+N49/N51</f>
        <v>6.8181818181818183</v>
      </c>
      <c r="O50" s="19">
        <f>+O49/O51</f>
        <v>7.8571428571428568</v>
      </c>
      <c r="P50" s="19">
        <f>+P49/P51</f>
        <v>7.8571428571428559</v>
      </c>
      <c r="Q50" s="19">
        <f>+Q49/Q51</f>
        <v>7.8571428571428559</v>
      </c>
    </row>
    <row r="51" spans="2:17" s="17" customFormat="1">
      <c r="B51" s="77" t="s">
        <v>320</v>
      </c>
      <c r="D51" s="82">
        <f>(12-ABS(ROUND((afye-tfye)/30,0)))/12</f>
        <v>1</v>
      </c>
      <c r="I51" s="18"/>
      <c r="J51" s="18"/>
      <c r="K51" s="53" t="s">
        <v>310</v>
      </c>
      <c r="M51" s="83">
        <f>'Tar Income Statement'!L24</f>
        <v>1.2323731343283582</v>
      </c>
      <c r="N51" s="80">
        <f>(M51*FYx)+(M41*FY)+(N41*FYz)</f>
        <v>1.98</v>
      </c>
      <c r="O51" s="80">
        <f>(M41*FYx)+(N41*FY)+(O41*FYz)</f>
        <v>2.1</v>
      </c>
      <c r="P51" s="80">
        <f>(N41*FYx)+(O41*FY)+(P41*FYz)</f>
        <v>2.415</v>
      </c>
      <c r="Q51" s="80">
        <f>(O41*FYx)+(P41*FY)+(Q41*FYz)</f>
        <v>2.77725</v>
      </c>
    </row>
    <row r="52" spans="2:17" s="17" customFormat="1" ht="13.5">
      <c r="B52" s="84" t="s">
        <v>397</v>
      </c>
      <c r="C52" s="85"/>
      <c r="D52" s="86">
        <f>IF(tfye&lt;afye,1-D51,0)</f>
        <v>0</v>
      </c>
      <c r="E52" s="87"/>
      <c r="F52" s="88"/>
      <c r="G52" s="89"/>
      <c r="H52" s="89"/>
      <c r="I52" s="90"/>
      <c r="J52" s="90"/>
      <c r="K52" s="91"/>
      <c r="L52" s="91"/>
      <c r="M52" s="92"/>
    </row>
    <row r="53" spans="2:17" s="17" customFormat="1">
      <c r="E53" s="61"/>
      <c r="F53" s="61"/>
      <c r="G53" s="61"/>
      <c r="H53" s="61"/>
      <c r="I53" s="93"/>
      <c r="J53" s="93"/>
      <c r="K53" s="61"/>
      <c r="L53" s="61"/>
      <c r="M53" s="94"/>
    </row>
    <row r="54" spans="2:17" s="17" customFormat="1">
      <c r="E54" s="19"/>
      <c r="F54" s="61"/>
      <c r="G54" s="61"/>
      <c r="H54" s="61"/>
      <c r="I54" s="93"/>
      <c r="J54" s="93"/>
      <c r="K54" s="61"/>
      <c r="L54" s="61"/>
      <c r="M54" s="64"/>
    </row>
    <row r="55" spans="2:17" s="17" customFormat="1">
      <c r="I55" s="18"/>
      <c r="J55" s="18"/>
    </row>
    <row r="56" spans="2:17" s="17" customFormat="1">
      <c r="I56" s="18"/>
      <c r="J56" s="18"/>
    </row>
    <row r="57" spans="2:17" s="17" customFormat="1">
      <c r="I57" s="18"/>
      <c r="J57" s="18"/>
    </row>
  </sheetData>
  <customSheetViews>
    <customSheetView guid="{9AE38660-BF5A-49A3-9FC0-AD5890AFC019}" scale="85" showPageBreaks="1" showGridLines="0" fitToPage="1" printArea="1" view="pageBreakPreview" showRuler="0">
      <selection activeCell="J17" sqref="J17"/>
      <pageMargins left="0.35" right="0.35" top="0.35" bottom="0.35" header="0.15" footer="0.15"/>
      <printOptions horizontalCentered="1"/>
      <pageSetup scale="84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scale="77" orientation="landscape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8"/>
  </sheetPr>
  <dimension ref="A1:S15"/>
  <sheetViews>
    <sheetView showGridLines="0" view="pageBreakPreview" zoomScaleNormal="85" workbookViewId="0"/>
  </sheetViews>
  <sheetFormatPr defaultRowHeight="12.75"/>
  <cols>
    <col min="1" max="1" width="2.83203125" style="3" customWidth="1"/>
    <col min="2" max="16" width="9.33203125" style="3"/>
    <col min="17" max="17" width="9.33203125" style="4"/>
    <col min="18" max="16384" width="9.33203125" style="3"/>
  </cols>
  <sheetData>
    <row r="1" spans="1:19">
      <c r="A1" s="2"/>
    </row>
    <row r="13" spans="1:19" ht="35.25">
      <c r="B13" s="5" t="str">
        <f>proj</f>
        <v>Project MODEL</v>
      </c>
    </row>
    <row r="14" spans="1:19" ht="26.25" thickBot="1">
      <c r="B14" s="173" t="str">
        <f>acq&amp;" Historical and Projected Financials &amp; Analysis"</f>
        <v>COLEMAN CO. Historical and Projected Financials &amp; Analysis</v>
      </c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7"/>
      <c r="R14" s="7"/>
      <c r="S14" s="7"/>
    </row>
    <row r="15" spans="1:19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ageSetup orientation="landscape" r:id="rId1"/>
      <headerFooter alignWithMargins="0"/>
    </customSheetView>
  </customSheetViews>
  <phoneticPr fontId="6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1"/>
  </sheetPr>
  <dimension ref="A1:V53"/>
  <sheetViews>
    <sheetView showGridLines="0" view="pageBreakPreview" zoomScale="85" zoomScaleNormal="100" zoomScaleSheetLayoutView="85" workbookViewId="0"/>
  </sheetViews>
  <sheetFormatPr defaultColWidth="10.33203125" defaultRowHeight="12.75"/>
  <cols>
    <col min="1" max="1" width="2.83203125" style="4" customWidth="1"/>
    <col min="2" max="5" width="11.1640625" style="3" customWidth="1"/>
    <col min="6" max="6" width="4.33203125" style="3" customWidth="1"/>
    <col min="7" max="8" width="11.1640625" style="3" customWidth="1"/>
    <col min="9" max="9" width="4.33203125" style="96" customWidth="1"/>
    <col min="10" max="10" width="11.1640625" style="3" customWidth="1"/>
    <col min="11" max="11" width="4.33203125" style="3" customWidth="1"/>
    <col min="12" max="15" width="11.1640625" style="3" customWidth="1"/>
    <col min="16" max="16" width="10.33203125" style="4"/>
    <col min="17" max="20" width="11.1640625" style="4" customWidth="1"/>
    <col min="21" max="16384" width="10.33203125" style="4"/>
  </cols>
  <sheetData>
    <row r="1" spans="1:22">
      <c r="A1" s="2"/>
      <c r="B1" s="95">
        <f>tfye</f>
        <v>43465</v>
      </c>
    </row>
    <row r="2" spans="1:22" ht="23.25" customHeight="1">
      <c r="B2" s="97" t="str">
        <f>proj</f>
        <v>Project MODEL</v>
      </c>
      <c r="C2" s="1210"/>
      <c r="D2" s="1210"/>
      <c r="E2" s="1210"/>
      <c r="F2" s="1210"/>
      <c r="G2" s="1210"/>
      <c r="H2" s="1210"/>
      <c r="I2" s="1325"/>
      <c r="J2" s="1210"/>
      <c r="K2" s="1210"/>
      <c r="L2" s="1210"/>
      <c r="M2" s="1210"/>
      <c r="N2" s="1210"/>
      <c r="O2" s="1327"/>
    </row>
    <row r="3" spans="1:22" ht="20.100000000000001" customHeight="1">
      <c r="B3" s="384" t="str">
        <f>acq&amp;" - Summary Capitalization and Valuation Data"</f>
        <v>COLEMAN CO. - Summary Capitalization and Valuation Data</v>
      </c>
      <c r="C3" s="272"/>
      <c r="D3" s="272"/>
      <c r="E3" s="272"/>
      <c r="F3" s="272"/>
      <c r="G3" s="272"/>
      <c r="H3" s="272"/>
      <c r="I3" s="391"/>
      <c r="J3" s="272"/>
      <c r="K3" s="272"/>
      <c r="L3" s="272"/>
      <c r="M3" s="272"/>
      <c r="N3" s="272"/>
      <c r="O3" s="386"/>
    </row>
    <row r="4" spans="1:22" ht="12.75" customHeight="1">
      <c r="B4" s="100" t="s">
        <v>128</v>
      </c>
      <c r="C4" s="8"/>
      <c r="D4" s="8"/>
      <c r="E4" s="8"/>
      <c r="F4" s="8"/>
      <c r="G4" s="8"/>
      <c r="H4" s="8"/>
      <c r="J4" s="8"/>
      <c r="K4" s="8"/>
      <c r="L4" s="8"/>
      <c r="M4" s="8"/>
      <c r="N4" s="8"/>
      <c r="O4" s="8"/>
    </row>
    <row r="5" spans="1:22" ht="12.75" customHeight="1"/>
    <row r="6" spans="1:22" ht="15" customHeight="1">
      <c r="B6" s="166" t="s">
        <v>203</v>
      </c>
      <c r="C6" s="166"/>
      <c r="D6" s="166"/>
      <c r="E6" s="166"/>
      <c r="F6" s="101"/>
      <c r="G6" s="166" t="s">
        <v>599</v>
      </c>
      <c r="H6" s="166"/>
      <c r="I6" s="166"/>
      <c r="J6" s="166"/>
      <c r="K6" s="101"/>
      <c r="L6" s="166" t="s">
        <v>278</v>
      </c>
      <c r="M6" s="166"/>
      <c r="N6" s="166"/>
      <c r="O6" s="166"/>
      <c r="Q6"/>
      <c r="R6"/>
      <c r="S6"/>
      <c r="T6"/>
      <c r="U6"/>
      <c r="V6"/>
    </row>
    <row r="7" spans="1:22">
      <c r="B7" s="102" t="s">
        <v>204</v>
      </c>
      <c r="E7" s="103" t="str">
        <f>Inputs!C10</f>
        <v>COLE</v>
      </c>
      <c r="G7" s="3" t="s">
        <v>218</v>
      </c>
      <c r="I7" s="3"/>
      <c r="J7" s="95">
        <f>afye</f>
        <v>43465</v>
      </c>
      <c r="O7" s="8" t="s">
        <v>205</v>
      </c>
      <c r="Q7"/>
      <c r="R7"/>
      <c r="S7"/>
      <c r="T7"/>
      <c r="U7"/>
      <c r="V7"/>
    </row>
    <row r="8" spans="1:22">
      <c r="B8" s="102" t="s">
        <v>206</v>
      </c>
      <c r="E8" s="103" t="str">
        <f>Inputs!C11</f>
        <v>NASDAQ</v>
      </c>
      <c r="G8" s="3" t="s">
        <v>237</v>
      </c>
      <c r="I8" s="3"/>
      <c r="J8" s="95">
        <f>altmdate</f>
        <v>43555</v>
      </c>
      <c r="O8" s="106">
        <f>altmdate</f>
        <v>43555</v>
      </c>
      <c r="Q8"/>
      <c r="R8"/>
      <c r="S8"/>
      <c r="T8"/>
      <c r="U8"/>
      <c r="V8"/>
    </row>
    <row r="9" spans="1:22" ht="12.75" customHeight="1">
      <c r="B9" s="107" t="str">
        <f>"Stock Price as of "&amp;TEXT(tdate,"m/d/yy")</f>
        <v>Stock Price as of 5/8/19</v>
      </c>
      <c r="E9" s="108">
        <f>aprice</f>
        <v>27</v>
      </c>
      <c r="I9" s="3"/>
      <c r="J9" s="109"/>
      <c r="L9" s="109" t="str">
        <f>'Acq Sum Financials'!A43&amp;" (b)"</f>
        <v>Adjusted Debt / EBITDAR (b)</v>
      </c>
      <c r="O9" s="110">
        <f>'Acq Balance Sheet'!Q54</f>
        <v>1.1011987278806166</v>
      </c>
      <c r="P9" s="111"/>
      <c r="U9" s="3"/>
      <c r="V9" s="112"/>
    </row>
    <row r="10" spans="1:22">
      <c r="G10" s="3" t="s">
        <v>255</v>
      </c>
      <c r="I10" s="3"/>
      <c r="J10" s="113">
        <f>'Acq Income Statement'!S7</f>
        <v>102.5</v>
      </c>
      <c r="L10" s="109" t="str">
        <f>'Acq Sum Financials'!B44</f>
        <v>Total Debt / EBITDA</v>
      </c>
      <c r="O10" s="114">
        <f>'Acq Balance Sheet'!Q48</f>
        <v>0.27467811158798289</v>
      </c>
      <c r="P10" s="111"/>
    </row>
    <row r="11" spans="1:22">
      <c r="B11" s="3" t="s">
        <v>207</v>
      </c>
      <c r="E11" s="1"/>
      <c r="G11" s="3" t="s">
        <v>114</v>
      </c>
      <c r="I11" s="3"/>
      <c r="J11" s="115">
        <f>'Acq Income Statement'!S40</f>
        <v>32.321874999999991</v>
      </c>
      <c r="L11" s="109" t="str">
        <f>'Acq Sum Financials'!B45</f>
        <v>Net Debt / EBITDA</v>
      </c>
      <c r="O11" s="114" t="str">
        <f>'Acq Balance Sheet'!Q49</f>
        <v>NM</v>
      </c>
    </row>
    <row r="12" spans="1:22">
      <c r="C12" s="3" t="s">
        <v>179</v>
      </c>
      <c r="D12" s="116">
        <v>43281</v>
      </c>
      <c r="E12" s="117">
        <v>29.74</v>
      </c>
      <c r="G12" s="3" t="s">
        <v>176</v>
      </c>
      <c r="I12" s="3"/>
      <c r="J12" s="115">
        <f>'Acq Income Statement'!S41</f>
        <v>29.338499999999996</v>
      </c>
      <c r="L12" s="109" t="str">
        <f>'Acq Sum Financials'!B46</f>
        <v>EBITDA / Interest, Net</v>
      </c>
      <c r="O12" s="114">
        <f>'Acq Balance Sheet'!Q59</f>
        <v>52.008928571428555</v>
      </c>
    </row>
    <row r="13" spans="1:22">
      <c r="C13" s="118" t="s">
        <v>178</v>
      </c>
      <c r="D13" s="119">
        <v>43373</v>
      </c>
      <c r="E13" s="120">
        <v>22.5</v>
      </c>
      <c r="I13" s="3"/>
      <c r="J13" s="121"/>
      <c r="O13" s="109"/>
    </row>
    <row r="14" spans="1:22">
      <c r="B14" s="3" t="s">
        <v>361</v>
      </c>
      <c r="D14" s="122"/>
      <c r="E14" s="123"/>
      <c r="G14" s="3" t="s">
        <v>113</v>
      </c>
      <c r="I14" s="3"/>
      <c r="J14" s="124">
        <f>'Acq Income Statement'!S44</f>
        <v>1.8817241379310341</v>
      </c>
      <c r="L14" s="3" t="s">
        <v>61</v>
      </c>
      <c r="O14" s="125">
        <f>'Acq Balance Sheet'!Q44</f>
        <v>0.10784766574579183</v>
      </c>
    </row>
    <row r="15" spans="1:22" ht="12.75" customHeight="1">
      <c r="C15" s="3" t="s">
        <v>179</v>
      </c>
      <c r="D15" s="116">
        <v>42880</v>
      </c>
      <c r="E15" s="117">
        <v>29.74</v>
      </c>
      <c r="G15" s="109" t="str">
        <f>"FY "&amp;(afy+1)&amp;" EPS estimate (a)"</f>
        <v>FY 2019 EPS estimate (a)</v>
      </c>
      <c r="I15" s="3"/>
      <c r="J15" s="126">
        <f>Inputs!D41</f>
        <v>0.85</v>
      </c>
      <c r="L15" s="3" t="s">
        <v>62</v>
      </c>
      <c r="O15" s="125" t="str">
        <f>'Acq Balance Sheet'!Q45</f>
        <v>NM</v>
      </c>
    </row>
    <row r="16" spans="1:22">
      <c r="C16" s="3" t="s">
        <v>178</v>
      </c>
      <c r="D16" s="116">
        <v>42388</v>
      </c>
      <c r="E16" s="120">
        <v>20.67</v>
      </c>
      <c r="G16" s="109" t="str">
        <f>"FY "&amp;(afy+2)&amp;" EPS estimate (a)"</f>
        <v>FY 2020 EPS estimate (a)</v>
      </c>
      <c r="I16" s="3"/>
      <c r="J16" s="126">
        <f>Inputs!E41</f>
        <v>0.85</v>
      </c>
    </row>
    <row r="17" spans="2:15">
      <c r="G17" s="118" t="s">
        <v>636</v>
      </c>
      <c r="H17" s="118"/>
      <c r="I17" s="118"/>
      <c r="J17" s="127">
        <f>Inputs!C21</f>
        <v>0.1</v>
      </c>
      <c r="K17" s="118"/>
      <c r="L17" s="3" t="s">
        <v>363</v>
      </c>
      <c r="N17" s="3" t="s">
        <v>364</v>
      </c>
      <c r="O17" s="128" t="s">
        <v>661</v>
      </c>
    </row>
    <row r="18" spans="2:15">
      <c r="B18" s="4" t="s">
        <v>603</v>
      </c>
      <c r="C18" s="4"/>
      <c r="D18" s="4"/>
      <c r="E18" s="129">
        <v>5</v>
      </c>
      <c r="G18" s="4"/>
      <c r="H18" s="4"/>
      <c r="I18" s="4"/>
      <c r="J18" s="130"/>
      <c r="K18" s="4"/>
      <c r="N18" s="3" t="s">
        <v>365</v>
      </c>
      <c r="O18" s="128" t="s">
        <v>662</v>
      </c>
    </row>
    <row r="19" spans="2:15">
      <c r="B19" s="3" t="s">
        <v>501</v>
      </c>
      <c r="D19" s="116"/>
      <c r="E19" s="129">
        <v>1</v>
      </c>
      <c r="G19" s="3" t="s">
        <v>209</v>
      </c>
      <c r="I19" s="3"/>
      <c r="J19" s="117">
        <v>0.05</v>
      </c>
      <c r="O19" s="128"/>
    </row>
    <row r="20" spans="2:15">
      <c r="B20" s="3" t="s">
        <v>502</v>
      </c>
      <c r="D20" s="116"/>
      <c r="E20" s="131">
        <f>E19/E25</f>
        <v>8.8159321525861534E-2</v>
      </c>
      <c r="G20" s="3" t="s">
        <v>210</v>
      </c>
      <c r="I20" s="3"/>
      <c r="J20" s="132">
        <f>J19/E9</f>
        <v>1.8518518518518519E-3</v>
      </c>
      <c r="K20" s="102"/>
      <c r="O20" s="128"/>
    </row>
    <row r="21" spans="2:15">
      <c r="D21" s="116"/>
      <c r="E21" s="131"/>
      <c r="G21" s="3" t="s">
        <v>211</v>
      </c>
      <c r="I21" s="3"/>
      <c r="J21" s="133">
        <f>IF(J14&lt;=0,"NM",J19/J14*100)</f>
        <v>2.6571376214037024</v>
      </c>
      <c r="O21" s="128"/>
    </row>
    <row r="22" spans="2:15">
      <c r="D22" s="134"/>
      <c r="E22" s="135"/>
      <c r="I22" s="3"/>
      <c r="J22" s="136"/>
    </row>
    <row r="23" spans="2:15" ht="15" customHeight="1">
      <c r="B23" s="166" t="s">
        <v>212</v>
      </c>
      <c r="C23" s="166"/>
      <c r="D23" s="166"/>
      <c r="E23" s="166"/>
      <c r="F23" s="101"/>
      <c r="G23" s="166" t="s">
        <v>213</v>
      </c>
      <c r="H23" s="166"/>
      <c r="I23" s="166"/>
      <c r="J23" s="166"/>
      <c r="K23" s="101"/>
      <c r="L23" s="166" t="s">
        <v>433</v>
      </c>
      <c r="M23" s="166"/>
      <c r="N23" s="166"/>
      <c r="O23" s="166"/>
    </row>
    <row r="24" spans="2:15">
      <c r="B24" s="137" t="str">
        <f>B9</f>
        <v>Stock Price as of 5/8/19</v>
      </c>
      <c r="E24" s="138">
        <f>E9</f>
        <v>27</v>
      </c>
      <c r="G24" s="139" t="s">
        <v>165</v>
      </c>
      <c r="N24" s="104" t="s">
        <v>223</v>
      </c>
      <c r="O24" s="104" t="s">
        <v>214</v>
      </c>
    </row>
    <row r="25" spans="2:15">
      <c r="B25" s="102" t="s">
        <v>601</v>
      </c>
      <c r="E25" s="140">
        <f>ashares</f>
        <v>11.3431</v>
      </c>
      <c r="G25" s="3" t="str">
        <f>G10</f>
        <v>LTM Net Sales</v>
      </c>
      <c r="J25" s="141">
        <f>$E$32/J10</f>
        <v>2.6458684254742537</v>
      </c>
      <c r="N25" s="142" t="s">
        <v>106</v>
      </c>
      <c r="O25" s="142" t="s">
        <v>67</v>
      </c>
    </row>
    <row r="26" spans="2:15">
      <c r="B26" s="102" t="s">
        <v>602</v>
      </c>
      <c r="E26" s="143">
        <f>Inputs!G16</f>
        <v>0.94069592592592599</v>
      </c>
      <c r="G26" s="3" t="str">
        <f>G11</f>
        <v>LTM EBITDA</v>
      </c>
      <c r="J26" s="144">
        <f>IF(J11&lt;=0,"NM",$E$32/J11)</f>
        <v>8.3906491690569034</v>
      </c>
      <c r="L26" s="1" t="s">
        <v>668</v>
      </c>
      <c r="N26" s="1352">
        <v>1</v>
      </c>
      <c r="O26" s="1348">
        <f>+N26/$N$30</f>
        <v>8.3333333333333329E-2</v>
      </c>
    </row>
    <row r="27" spans="2:15">
      <c r="B27" s="145" t="s">
        <v>145</v>
      </c>
      <c r="E27" s="146">
        <f>E24*(E25+E26)</f>
        <v>331.66248999999999</v>
      </c>
      <c r="G27" s="3" t="str">
        <f>G12</f>
        <v>LTM EBIT</v>
      </c>
      <c r="J27" s="144">
        <f>IF(J12&lt;=0,"NM",$E$32/J12)</f>
        <v>9.2438779627830687</v>
      </c>
      <c r="L27" s="3" t="s">
        <v>224</v>
      </c>
      <c r="N27" s="920">
        <v>0.2</v>
      </c>
      <c r="O27" s="200">
        <f t="shared" ref="O27:O30" si="0">+N27/$N$30</f>
        <v>1.6666666666666666E-2</v>
      </c>
    </row>
    <row r="28" spans="2:15">
      <c r="B28" s="3" t="s">
        <v>239</v>
      </c>
      <c r="E28" s="140">
        <f>'Acq Balance Sheet'!Q33</f>
        <v>9.4</v>
      </c>
      <c r="J28" s="148"/>
      <c r="L28" s="3" t="s">
        <v>335</v>
      </c>
      <c r="N28" s="920">
        <v>4</v>
      </c>
      <c r="O28" s="200">
        <f t="shared" si="0"/>
        <v>0.33333333333333331</v>
      </c>
    </row>
    <row r="29" spans="2:15">
      <c r="B29" s="3" t="s">
        <v>240</v>
      </c>
      <c r="E29" s="140">
        <f>'Acq Balance Sheet'!Q26</f>
        <v>1</v>
      </c>
      <c r="F29" s="147"/>
      <c r="G29" s="139" t="s">
        <v>219</v>
      </c>
      <c r="H29" s="149"/>
      <c r="J29" s="144"/>
      <c r="L29" s="102" t="s">
        <v>217</v>
      </c>
      <c r="N29" s="822">
        <f>+N30-N28-N27-N26</f>
        <v>6.8</v>
      </c>
      <c r="O29" s="193">
        <f t="shared" si="0"/>
        <v>0.56666666666666665</v>
      </c>
    </row>
    <row r="30" spans="2:15">
      <c r="B30" s="3" t="s">
        <v>241</v>
      </c>
      <c r="E30" s="140">
        <f>'Acq Balance Sheet'!Q27</f>
        <v>0.5</v>
      </c>
      <c r="F30" s="147"/>
      <c r="G30" s="3" t="str">
        <f>G$15</f>
        <v>FY 2019 EPS estimate (a)</v>
      </c>
      <c r="J30" s="144">
        <f>IF(J15&lt;=0,"NM",$E$9/J15)</f>
        <v>31.764705882352942</v>
      </c>
      <c r="L30" s="151" t="s">
        <v>67</v>
      </c>
      <c r="N30" s="923">
        <v>12</v>
      </c>
      <c r="O30" s="1348">
        <f t="shared" si="0"/>
        <v>1</v>
      </c>
    </row>
    <row r="31" spans="2:15">
      <c r="B31" s="3" t="s">
        <v>242</v>
      </c>
      <c r="E31" s="143">
        <f>-'Acq Balance Sheet'!Q8</f>
        <v>-71.360976388888943</v>
      </c>
      <c r="G31" s="3" t="str">
        <f>G$16</f>
        <v>FY 2020 EPS estimate (a)</v>
      </c>
      <c r="J31" s="144">
        <f>IF(J16&lt;=0,"NM",$E$9/J16)</f>
        <v>31.764705882352942</v>
      </c>
    </row>
    <row r="32" spans="2:15">
      <c r="B32" s="151" t="s">
        <v>23</v>
      </c>
      <c r="E32" s="153">
        <f>SUM(E27:E31)</f>
        <v>271.20151361111101</v>
      </c>
      <c r="J32" s="148"/>
    </row>
    <row r="33" spans="2:15">
      <c r="B33" s="151"/>
      <c r="E33" s="153"/>
      <c r="G33" s="139" t="s">
        <v>434</v>
      </c>
      <c r="H33" s="149"/>
      <c r="J33" s="154"/>
    </row>
    <row r="34" spans="2:15">
      <c r="B34" s="151"/>
      <c r="E34" s="153"/>
      <c r="G34" s="3" t="str">
        <f>G$15</f>
        <v>FY 2019 EPS estimate (a)</v>
      </c>
      <c r="J34" s="144">
        <f>IF(J30="NM","NM",J30/(J$17*100))</f>
        <v>3.1764705882352944</v>
      </c>
    </row>
    <row r="35" spans="2:15">
      <c r="G35" s="3" t="str">
        <f>G$16</f>
        <v>FY 2020 EPS estimate (a)</v>
      </c>
      <c r="J35" s="144">
        <f>IF(J31="NM","NM",J31/(J$17*100))</f>
        <v>3.1764705882352944</v>
      </c>
    </row>
    <row r="36" spans="2:1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</row>
    <row r="37" spans="2:15" ht="12.75" customHeight="1">
      <c r="B37" s="155" t="str">
        <f>"(a) Source: Mean of Wall Street analysts' estimates as reported by ThomsonONE on "&amp;TEXT(tdate,"mmmm d, yyyy")&amp;"."</f>
        <v>(a) Source: Mean of Wall Street analysts' estimates as reported by ThomsonONE on May 8, 2019.</v>
      </c>
      <c r="C37" s="156"/>
      <c r="D37" s="156"/>
      <c r="E37" s="156"/>
      <c r="F37" s="156"/>
      <c r="G37" s="156"/>
      <c r="H37" s="156"/>
      <c r="I37" s="4"/>
      <c r="J37" s="156"/>
      <c r="K37" s="156"/>
      <c r="L37" s="156"/>
      <c r="M37" s="156"/>
      <c r="N37" s="156"/>
      <c r="O37" s="156"/>
    </row>
    <row r="38" spans="2:15" ht="12.75" customHeight="1">
      <c r="B38" s="157" t="s">
        <v>600</v>
      </c>
      <c r="I38" s="4"/>
    </row>
    <row r="39" spans="2:15" ht="12.75" customHeight="1">
      <c r="B39" s="158" t="str">
        <f>"(c) Shares outstanding as of "&amp;TEXT(Inputs!C17,"mmmm d, yyyy")&amp;". Source: Company's "&amp;IF(aquarter&lt;&gt;4,"Form 10-Q for the period ended "&amp;TEXT(altmdate,"mmmm d, yyyy")&amp;".",YEAR(afye)&amp;" Form 10-K.")</f>
        <v>(c) Shares outstanding as of March 1, 2019. Source: Company's Form 10-Q for the period ended March 31, 2019.</v>
      </c>
      <c r="I39" s="4"/>
    </row>
    <row r="40" spans="2:15" ht="12.75" customHeight="1">
      <c r="B40" s="158" t="str">
        <f>"(d) Assumes the treasury stock method with "&amp;FIXED(aoptions,1)&amp;" million in-the-money options outstanding at a weighted average exercise price of $"&amp;FIXED(aexercise,2)&amp;" per share."</f>
        <v>(d) Assumes the treasury stock method with 1.2 million in-the-money options outstanding at a weighted average exercise price of $6.13 per share.</v>
      </c>
      <c r="I40" s="4"/>
    </row>
    <row r="41" spans="2:15" ht="12.75" customHeight="1">
      <c r="B41" s="159" t="str">
        <f>"(e) Includes exercisable options held by directors and executive officers. Source: Company's Proxy Statement dated "&amp;TEXT(Inputs!C18,"mmmm d, yyyy")&amp;" and Bloomberg."</f>
        <v>(e) Includes exercisable options held by directors and executive officers. Source: Company's Proxy Statement dated March 1, 2019 and Bloomberg.</v>
      </c>
      <c r="I41" s="4"/>
    </row>
    <row r="42" spans="2:15">
      <c r="B42" s="160"/>
      <c r="I42" s="4"/>
    </row>
    <row r="43" spans="2:15">
      <c r="B43" s="160" t="str">
        <f>acq&amp;" Net Debt"</f>
        <v>COLEMAN CO. Net Debt</v>
      </c>
      <c r="E43" s="161">
        <f>SUM(E28:E31)</f>
        <v>-60.460976388888945</v>
      </c>
      <c r="G43" s="162" t="s">
        <v>623</v>
      </c>
      <c r="I43" s="4"/>
    </row>
    <row r="44" spans="2:15">
      <c r="B44" s="160"/>
      <c r="I44" s="4"/>
    </row>
    <row r="45" spans="2:15" ht="13.5">
      <c r="B45" s="163" t="str">
        <f>IF(acqnetdebt&gt;=0,"Net debt represents total debt"&amp;IF(AND(E29=0,E30=0),"",IF(AND(E29=0,E30&lt;&gt;0)," and preferred stock",IF(AND(E29&lt;&gt;0,E30=0)," and minority interest",", minority interest and preferred stock")))&amp;" less cash as of "&amp;TEXT(altmdate,"mmmm d, yyyy")&amp;".","Net cash represents total cash less debt"&amp;IF(AND(E29=0,E30=0),"",IF(AND(E29=0,E30&lt;&gt;0)," and preferred stock",IF(AND(E29&lt;&gt;0,E30=0)," and minority interest",", minority interest and preferred stock")))&amp;" as of "&amp;TEXT(altmdate,"mmmm d, yyyy")&amp;".")</f>
        <v>Net cash represents total cash less debt, minority interest and preferred stock as of March 31, 2019.</v>
      </c>
      <c r="I45" s="4"/>
    </row>
    <row r="46" spans="2:15">
      <c r="B46" s="160"/>
      <c r="I46" s="4"/>
    </row>
    <row r="48" spans="2:15">
      <c r="I48" s="4"/>
    </row>
    <row r="51" spans="9:10">
      <c r="I51" s="4"/>
      <c r="J51" s="164"/>
    </row>
    <row r="52" spans="9:10">
      <c r="I52" s="4"/>
      <c r="J52" s="165"/>
    </row>
    <row r="53" spans="9:10">
      <c r="I53" s="4"/>
      <c r="J53" s="165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indexed="41"/>
  </sheetPr>
  <dimension ref="A1:IM135"/>
  <sheetViews>
    <sheetView showGridLines="0" view="pageBreakPreview" zoomScale="85" zoomScaleNormal="100" zoomScaleSheetLayoutView="85" workbookViewId="0"/>
  </sheetViews>
  <sheetFormatPr defaultColWidth="10.33203125" defaultRowHeight="12.75" outlineLevelRow="1" outlineLevelCol="1"/>
  <cols>
    <col min="1" max="1" width="2.83203125" style="4" customWidth="1"/>
    <col min="2" max="6" width="10.83203125" style="3" customWidth="1"/>
    <col min="7" max="7" width="11.83203125" style="3" hidden="1" customWidth="1" outlineLevel="1"/>
    <col min="8" max="8" width="11.83203125" style="3" customWidth="1" collapsed="1"/>
    <col min="9" max="12" width="11.83203125" style="3" customWidth="1"/>
    <col min="13" max="13" width="2.83203125" style="3" customWidth="1"/>
    <col min="14" max="14" width="11.83203125" style="3" hidden="1" customWidth="1" outlineLevel="1"/>
    <col min="15" max="15" width="11.83203125" style="3" customWidth="1" collapsed="1"/>
    <col min="16" max="16" width="11.83203125" style="3" customWidth="1"/>
    <col min="17" max="17" width="2.83203125" style="3" customWidth="1"/>
    <col min="18" max="18" width="11.83203125" style="3" hidden="1" customWidth="1" outlineLevel="1"/>
    <col min="19" max="19" width="11.83203125" style="3" customWidth="1" collapsed="1"/>
    <col min="20" max="20" width="2.83203125" style="3" customWidth="1"/>
    <col min="21" max="21" width="11.83203125" style="3" customWidth="1"/>
    <col min="22" max="22" width="2.83203125" style="4" customWidth="1"/>
    <col min="23" max="16384" width="10.33203125" style="4"/>
  </cols>
  <sheetData>
    <row r="1" spans="1:21">
      <c r="A1" s="2"/>
    </row>
    <row r="2" spans="1:21" ht="23.25">
      <c r="B2" s="97" t="str">
        <f>proj</f>
        <v>Project MODEL</v>
      </c>
      <c r="C2" s="1210"/>
      <c r="D2" s="1210"/>
      <c r="E2" s="1210"/>
      <c r="F2" s="1210"/>
      <c r="G2" s="1210"/>
      <c r="H2" s="1210"/>
      <c r="I2" s="1210"/>
      <c r="J2" s="1210"/>
      <c r="K2" s="1210"/>
      <c r="L2" s="1210"/>
      <c r="M2" s="1210"/>
      <c r="N2" s="1210"/>
      <c r="O2" s="1210"/>
      <c r="P2" s="1326"/>
      <c r="Q2" s="1210"/>
      <c r="R2" s="1210"/>
      <c r="S2" s="1210"/>
      <c r="T2" s="1210"/>
      <c r="U2" s="1210"/>
    </row>
    <row r="3" spans="1:21" ht="20.100000000000001" customHeight="1">
      <c r="B3" s="384" t="str">
        <f>acq&amp;" - Historical Income Statement"</f>
        <v>COLEMAN CO. - Historical Income Statement</v>
      </c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2"/>
      <c r="U3" s="272"/>
    </row>
    <row r="4" spans="1:21" ht="12.75" customHeight="1">
      <c r="B4" s="176" t="str">
        <f>'Acq Spread Cover'!B4</f>
        <v>(Amounts in Millions, Except Per Share Data)</v>
      </c>
      <c r="C4" s="8"/>
      <c r="D4" s="8"/>
      <c r="E4" s="8"/>
      <c r="F4" s="8"/>
      <c r="G4" s="177"/>
      <c r="H4" s="177"/>
      <c r="I4" s="177"/>
      <c r="J4" s="177"/>
      <c r="K4" s="177"/>
      <c r="L4" s="177"/>
      <c r="M4" s="8"/>
      <c r="N4" s="177"/>
      <c r="O4" s="177"/>
      <c r="P4" s="177"/>
      <c r="Q4" s="8"/>
      <c r="R4" s="8"/>
      <c r="S4" s="8"/>
      <c r="T4" s="8"/>
      <c r="U4" s="8"/>
    </row>
    <row r="5" spans="1:21" ht="12.75" customHeight="1">
      <c r="G5" s="178"/>
      <c r="H5" s="271" t="str">
        <f>"Fiscal Year Ended "&amp;TEXT(afye,"mmmm d,")</f>
        <v>Fiscal Year Ended December 31,</v>
      </c>
      <c r="I5" s="271"/>
      <c r="J5" s="271"/>
      <c r="K5" s="271"/>
      <c r="L5" s="271"/>
      <c r="M5" s="179"/>
      <c r="N5" s="178"/>
      <c r="O5" s="271" t="str">
        <f>CHOOSE(aquarter,"Three","Six","Nine","")&amp;" Months Ended"</f>
        <v>Three Months Ended</v>
      </c>
      <c r="P5" s="271"/>
      <c r="R5" s="178"/>
      <c r="S5" s="271" t="s">
        <v>116</v>
      </c>
      <c r="U5" s="271" t="s">
        <v>183</v>
      </c>
    </row>
    <row r="6" spans="1:21" ht="15" customHeight="1">
      <c r="B6" s="139" t="s">
        <v>606</v>
      </c>
      <c r="G6" s="7">
        <f>H6-1</f>
        <v>2013</v>
      </c>
      <c r="H6" s="7">
        <f>I6-1</f>
        <v>2014</v>
      </c>
      <c r="I6" s="7">
        <f>J6-1</f>
        <v>2015</v>
      </c>
      <c r="J6" s="7">
        <f>K6-1</f>
        <v>2016</v>
      </c>
      <c r="K6" s="7">
        <f>L6-1</f>
        <v>2017</v>
      </c>
      <c r="L6" s="180">
        <f>afy</f>
        <v>2018</v>
      </c>
      <c r="N6" s="105">
        <f>DATE(YEAR(O6)-1,MONTH(O6),DAY(O6))</f>
        <v>42825</v>
      </c>
      <c r="O6" s="105">
        <f>DATE(YEAR(P6)-1,MONTH(P6),DAY(P6))</f>
        <v>43190</v>
      </c>
      <c r="P6" s="181">
        <f>altmdate</f>
        <v>43555</v>
      </c>
      <c r="R6" s="105">
        <f>+O6</f>
        <v>43190</v>
      </c>
      <c r="S6" s="105">
        <f>+P6</f>
        <v>43555</v>
      </c>
      <c r="U6" s="7" t="str">
        <f>"FY"&amp;TEXT(H6-2000,"00")&amp;"-FY"&amp;TEXT(L6-2000,"00")</f>
        <v>FY14-FY18</v>
      </c>
    </row>
    <row r="7" spans="1:21" ht="12.75" customHeight="1">
      <c r="B7" s="3" t="s">
        <v>254</v>
      </c>
      <c r="G7" s="182">
        <v>55</v>
      </c>
      <c r="H7" s="182">
        <v>60</v>
      </c>
      <c r="I7" s="183">
        <v>70</v>
      </c>
      <c r="J7" s="183">
        <v>80</v>
      </c>
      <c r="K7" s="183">
        <v>90</v>
      </c>
      <c r="L7" s="184">
        <v>100</v>
      </c>
      <c r="M7" s="185"/>
      <c r="N7" s="182">
        <v>20</v>
      </c>
      <c r="O7" s="182">
        <v>22.5</v>
      </c>
      <c r="P7" s="184">
        <v>25</v>
      </c>
      <c r="Q7" s="185"/>
      <c r="R7" s="186">
        <f>K7-N7+O7</f>
        <v>92.5</v>
      </c>
      <c r="S7" s="187">
        <f>L7-O7+P7</f>
        <v>102.5</v>
      </c>
      <c r="T7" s="188"/>
      <c r="U7" s="189">
        <f>IF(OR(H7&lt;=0,L7&lt;=0),"NM",(L7/H7)^(1/(L$6-H$6))-1)</f>
        <v>0.13621936646749933</v>
      </c>
    </row>
    <row r="8" spans="1:21" ht="12.75" customHeight="1">
      <c r="B8" s="4" t="s">
        <v>73</v>
      </c>
      <c r="C8" s="4"/>
      <c r="D8" s="4"/>
      <c r="E8" s="4"/>
      <c r="F8" s="4"/>
      <c r="G8" s="190">
        <v>27.5</v>
      </c>
      <c r="H8" s="190">
        <v>30</v>
      </c>
      <c r="I8" s="190">
        <v>35</v>
      </c>
      <c r="J8" s="190">
        <v>40</v>
      </c>
      <c r="K8" s="190">
        <v>45</v>
      </c>
      <c r="L8" s="190">
        <v>50</v>
      </c>
      <c r="M8" s="190"/>
      <c r="N8" s="190">
        <v>10</v>
      </c>
      <c r="O8" s="190">
        <v>11</v>
      </c>
      <c r="P8" s="190">
        <v>12.5</v>
      </c>
      <c r="Q8" s="190"/>
      <c r="R8" s="191">
        <f>K8-N8+O8</f>
        <v>46</v>
      </c>
      <c r="S8" s="191">
        <f>L8-O8+P8</f>
        <v>51.5</v>
      </c>
      <c r="T8" s="192"/>
      <c r="U8" s="193">
        <f t="shared" ref="U8:U19" si="0">IF(OR(H8&lt;=0,L8&lt;=0),"NM",(L8/H8)^(1/(L$6-H$6))-1)</f>
        <v>0.13621936646749933</v>
      </c>
    </row>
    <row r="9" spans="1:21" ht="12.75" customHeight="1">
      <c r="B9" s="3" t="s">
        <v>117</v>
      </c>
      <c r="G9" s="194">
        <f t="shared" ref="G9:L9" si="1">G7-G8</f>
        <v>27.5</v>
      </c>
      <c r="H9" s="194">
        <f t="shared" si="1"/>
        <v>30</v>
      </c>
      <c r="I9" s="194">
        <f t="shared" si="1"/>
        <v>35</v>
      </c>
      <c r="J9" s="195">
        <f t="shared" si="1"/>
        <v>40</v>
      </c>
      <c r="K9" s="195">
        <f t="shared" si="1"/>
        <v>45</v>
      </c>
      <c r="L9" s="196">
        <f t="shared" si="1"/>
        <v>50</v>
      </c>
      <c r="M9" s="197"/>
      <c r="N9" s="194">
        <f>N7-N8</f>
        <v>10</v>
      </c>
      <c r="O9" s="194">
        <f>O7-O8</f>
        <v>11.5</v>
      </c>
      <c r="P9" s="196">
        <f>P7-P8</f>
        <v>12.5</v>
      </c>
      <c r="Q9" s="197"/>
      <c r="R9" s="198">
        <f>R7-R8</f>
        <v>46.5</v>
      </c>
      <c r="S9" s="198">
        <f>S7-S8</f>
        <v>51</v>
      </c>
      <c r="T9" s="199"/>
      <c r="U9" s="200">
        <f t="shared" si="0"/>
        <v>0.13621936646749933</v>
      </c>
    </row>
    <row r="10" spans="1:21" ht="12.75" customHeight="1">
      <c r="B10" s="3" t="s">
        <v>119</v>
      </c>
      <c r="G10" s="201">
        <v>13</v>
      </c>
      <c r="H10" s="201">
        <v>15</v>
      </c>
      <c r="I10" s="201">
        <v>16.5</v>
      </c>
      <c r="J10" s="201">
        <v>18.150000000000002</v>
      </c>
      <c r="K10" s="201">
        <v>19.965000000000003</v>
      </c>
      <c r="L10" s="201">
        <v>21.961500000000004</v>
      </c>
      <c r="M10" s="201"/>
      <c r="N10" s="201">
        <v>5</v>
      </c>
      <c r="O10" s="201">
        <v>5.8</v>
      </c>
      <c r="P10" s="201">
        <v>6.5</v>
      </c>
      <c r="Q10" s="197"/>
      <c r="R10" s="197">
        <f>K10-N10+O10</f>
        <v>20.765000000000004</v>
      </c>
      <c r="S10" s="197">
        <f>L10-O10+P10</f>
        <v>22.661500000000004</v>
      </c>
      <c r="T10" s="199"/>
      <c r="U10" s="200">
        <f t="shared" si="0"/>
        <v>0.10000000000000009</v>
      </c>
    </row>
    <row r="11" spans="1:21" ht="12.75" customHeight="1">
      <c r="B11" s="4" t="s">
        <v>192</v>
      </c>
      <c r="C11" s="4"/>
      <c r="D11" s="4"/>
      <c r="E11" s="4"/>
      <c r="F11" s="4"/>
      <c r="G11" s="190">
        <v>0.4</v>
      </c>
      <c r="H11" s="190">
        <v>0.5</v>
      </c>
      <c r="I11" s="190">
        <v>0.5</v>
      </c>
      <c r="J11" s="190">
        <v>0.5</v>
      </c>
      <c r="K11" s="190">
        <v>0.5</v>
      </c>
      <c r="L11" s="190">
        <v>0.5</v>
      </c>
      <c r="M11" s="190"/>
      <c r="N11" s="190">
        <v>0.2</v>
      </c>
      <c r="O11" s="190">
        <v>0.1</v>
      </c>
      <c r="P11" s="190">
        <v>0.1</v>
      </c>
      <c r="Q11" s="191"/>
      <c r="R11" s="191">
        <f>K11-N11+O11</f>
        <v>0.4</v>
      </c>
      <c r="S11" s="191">
        <f>L11-O11+P11</f>
        <v>0.5</v>
      </c>
      <c r="T11" s="202"/>
      <c r="U11" s="193">
        <f t="shared" si="0"/>
        <v>0</v>
      </c>
    </row>
    <row r="12" spans="1:21" ht="12.75" customHeight="1">
      <c r="B12" s="3" t="s">
        <v>64</v>
      </c>
      <c r="G12" s="194">
        <f t="shared" ref="G12:L12" si="2">G9-SUM(G10:G11)</f>
        <v>14.1</v>
      </c>
      <c r="H12" s="194">
        <f t="shared" si="2"/>
        <v>14.5</v>
      </c>
      <c r="I12" s="194">
        <f t="shared" si="2"/>
        <v>18</v>
      </c>
      <c r="J12" s="195">
        <f t="shared" si="2"/>
        <v>21.349999999999998</v>
      </c>
      <c r="K12" s="195">
        <f t="shared" si="2"/>
        <v>24.534999999999997</v>
      </c>
      <c r="L12" s="196">
        <f t="shared" si="2"/>
        <v>27.538499999999996</v>
      </c>
      <c r="M12" s="197"/>
      <c r="N12" s="194">
        <f>N9-SUM(N10:N11)</f>
        <v>4.8</v>
      </c>
      <c r="O12" s="194">
        <f>O9-SUM(O10:O11)</f>
        <v>5.6000000000000005</v>
      </c>
      <c r="P12" s="196">
        <f>P9-SUM(P10:P11)</f>
        <v>5.9</v>
      </c>
      <c r="Q12" s="161"/>
      <c r="R12" s="198">
        <f>R9-SUM(R10:R11)</f>
        <v>25.334999999999997</v>
      </c>
      <c r="S12" s="198">
        <f>S9-SUM(S10:S11)</f>
        <v>27.838499999999996</v>
      </c>
      <c r="T12" s="199"/>
      <c r="U12" s="200">
        <f t="shared" si="0"/>
        <v>0.17393234742167962</v>
      </c>
    </row>
    <row r="13" spans="1:21" ht="12.75" customHeight="1">
      <c r="B13" s="4" t="s">
        <v>192</v>
      </c>
      <c r="C13" s="4"/>
      <c r="D13" s="4"/>
      <c r="E13" s="4"/>
      <c r="F13" s="4"/>
      <c r="G13" s="190">
        <v>0.1</v>
      </c>
      <c r="H13" s="190">
        <v>0.2</v>
      </c>
      <c r="I13" s="190">
        <v>0.2</v>
      </c>
      <c r="J13" s="190">
        <v>0.2</v>
      </c>
      <c r="K13" s="190">
        <v>0.2</v>
      </c>
      <c r="L13" s="190">
        <v>0.2</v>
      </c>
      <c r="M13" s="190"/>
      <c r="N13" s="190">
        <v>0.1</v>
      </c>
      <c r="O13" s="190">
        <v>0.1</v>
      </c>
      <c r="P13" s="190">
        <v>0.1</v>
      </c>
      <c r="Q13" s="191"/>
      <c r="R13" s="191">
        <f>K13-N13+O13</f>
        <v>0.2</v>
      </c>
      <c r="S13" s="191">
        <f>L13-O13+P13</f>
        <v>0.2</v>
      </c>
      <c r="T13" s="202"/>
      <c r="U13" s="193">
        <f t="shared" si="0"/>
        <v>0</v>
      </c>
    </row>
    <row r="14" spans="1:21" ht="12.75" customHeight="1">
      <c r="B14" s="4" t="s">
        <v>75</v>
      </c>
      <c r="C14" s="4"/>
      <c r="D14" s="4"/>
      <c r="E14" s="4"/>
      <c r="F14" s="4"/>
      <c r="G14" s="190">
        <v>0</v>
      </c>
      <c r="H14" s="190">
        <v>0.7</v>
      </c>
      <c r="I14" s="190">
        <v>0.68600000000000017</v>
      </c>
      <c r="J14" s="190">
        <v>0.67410000000000014</v>
      </c>
      <c r="K14" s="190">
        <v>0.66500000000000004</v>
      </c>
      <c r="L14" s="190">
        <v>0.65800000000000014</v>
      </c>
      <c r="M14" s="190"/>
      <c r="N14" s="190">
        <v>0</v>
      </c>
      <c r="O14" s="190">
        <v>0</v>
      </c>
      <c r="P14" s="190">
        <v>0</v>
      </c>
      <c r="Q14" s="191"/>
      <c r="R14" s="191">
        <f>K14-N14+O14</f>
        <v>0.66500000000000004</v>
      </c>
      <c r="S14" s="191">
        <f>L14-O14+P14</f>
        <v>0.65800000000000014</v>
      </c>
      <c r="T14" s="202"/>
      <c r="U14" s="193">
        <f t="shared" si="0"/>
        <v>-1.5349822788181311E-2</v>
      </c>
    </row>
    <row r="15" spans="1:21" ht="12.75" customHeight="1">
      <c r="B15" s="3" t="s">
        <v>76</v>
      </c>
      <c r="G15" s="194">
        <f t="shared" ref="G15:L15" si="3">G12-SUM(G13:G14)</f>
        <v>14</v>
      </c>
      <c r="H15" s="194">
        <f t="shared" si="3"/>
        <v>13.6</v>
      </c>
      <c r="I15" s="194">
        <f t="shared" si="3"/>
        <v>17.114000000000001</v>
      </c>
      <c r="J15" s="195">
        <f t="shared" si="3"/>
        <v>20.475899999999999</v>
      </c>
      <c r="K15" s="195">
        <f t="shared" si="3"/>
        <v>23.669999999999998</v>
      </c>
      <c r="L15" s="196">
        <f t="shared" si="3"/>
        <v>26.680499999999995</v>
      </c>
      <c r="M15" s="197"/>
      <c r="N15" s="194">
        <f>N12-SUM(N13:N14)</f>
        <v>4.7</v>
      </c>
      <c r="O15" s="194">
        <f>O12-SUM(O13:O14)</f>
        <v>5.5000000000000009</v>
      </c>
      <c r="P15" s="196">
        <f>P12-SUM(P13:P14)</f>
        <v>5.8000000000000007</v>
      </c>
      <c r="Q15" s="197"/>
      <c r="R15" s="198">
        <f>R12-SUM(R13:R14)</f>
        <v>24.47</v>
      </c>
      <c r="S15" s="198">
        <f>S12-SUM(S13:S14)</f>
        <v>26.980499999999996</v>
      </c>
      <c r="T15" s="199"/>
      <c r="U15" s="200">
        <f t="shared" si="0"/>
        <v>0.18348774162845594</v>
      </c>
    </row>
    <row r="16" spans="1:21" ht="12.75" customHeight="1">
      <c r="B16" s="4" t="s">
        <v>130</v>
      </c>
      <c r="C16" s="4"/>
      <c r="D16" s="4"/>
      <c r="E16" s="4"/>
      <c r="F16" s="4"/>
      <c r="G16" s="190">
        <v>0</v>
      </c>
      <c r="H16" s="190">
        <v>3.75</v>
      </c>
      <c r="I16" s="190">
        <v>4.625</v>
      </c>
      <c r="J16" s="190">
        <v>5.4624999999999995</v>
      </c>
      <c r="K16" s="190">
        <v>6.2587499999999991</v>
      </c>
      <c r="L16" s="190">
        <v>7.0096249999999989</v>
      </c>
      <c r="M16" s="190"/>
      <c r="N16" s="190">
        <v>1.2</v>
      </c>
      <c r="O16" s="190">
        <v>1.5</v>
      </c>
      <c r="P16" s="190">
        <v>1.4500000000000002</v>
      </c>
      <c r="Q16" s="191"/>
      <c r="R16" s="191">
        <f>K16-N16+O16</f>
        <v>6.558749999999999</v>
      </c>
      <c r="S16" s="191">
        <f>L16-O16+P16</f>
        <v>6.9596249999999991</v>
      </c>
      <c r="T16" s="192"/>
      <c r="U16" s="193">
        <f t="shared" si="0"/>
        <v>0.16927288657706607</v>
      </c>
    </row>
    <row r="17" spans="2:22" ht="12.75" hidden="1" customHeight="1" outlineLevel="1">
      <c r="B17" s="102" t="s">
        <v>65</v>
      </c>
      <c r="G17" s="194">
        <f t="shared" ref="G17:L17" si="4">+G15-G16</f>
        <v>14</v>
      </c>
      <c r="H17" s="194">
        <f t="shared" si="4"/>
        <v>9.85</v>
      </c>
      <c r="I17" s="194">
        <f t="shared" si="4"/>
        <v>12.489000000000001</v>
      </c>
      <c r="J17" s="194">
        <f t="shared" si="4"/>
        <v>15.013400000000001</v>
      </c>
      <c r="K17" s="194">
        <f t="shared" si="4"/>
        <v>17.411249999999999</v>
      </c>
      <c r="L17" s="194">
        <f t="shared" si="4"/>
        <v>19.670874999999995</v>
      </c>
      <c r="M17" s="197"/>
      <c r="N17" s="194">
        <f>+N15-N16</f>
        <v>3.5</v>
      </c>
      <c r="O17" s="194">
        <f>+O15-O16</f>
        <v>4.0000000000000009</v>
      </c>
      <c r="P17" s="194">
        <f>+P15-P16</f>
        <v>4.3500000000000005</v>
      </c>
      <c r="Q17" s="197"/>
      <c r="R17" s="194">
        <f>+R15-R16</f>
        <v>17.911249999999999</v>
      </c>
      <c r="S17" s="194">
        <f>+S15-S16</f>
        <v>20.020874999999997</v>
      </c>
      <c r="T17" s="199"/>
      <c r="U17" s="200">
        <f t="shared" si="0"/>
        <v>0.18876733231042508</v>
      </c>
      <c r="V17" s="203"/>
    </row>
    <row r="18" spans="2:22" ht="12.75" hidden="1" customHeight="1" outlineLevel="1">
      <c r="B18" s="4" t="s">
        <v>442</v>
      </c>
      <c r="C18" s="4"/>
      <c r="D18" s="4"/>
      <c r="E18" s="4"/>
      <c r="F18" s="4"/>
      <c r="G18" s="190">
        <v>0</v>
      </c>
      <c r="H18" s="190">
        <v>0</v>
      </c>
      <c r="I18" s="190">
        <v>0</v>
      </c>
      <c r="J18" s="190">
        <v>0</v>
      </c>
      <c r="K18" s="190">
        <v>0</v>
      </c>
      <c r="L18" s="190">
        <v>0</v>
      </c>
      <c r="M18" s="190"/>
      <c r="N18" s="190">
        <v>0</v>
      </c>
      <c r="O18" s="190">
        <v>0</v>
      </c>
      <c r="P18" s="190">
        <v>0</v>
      </c>
      <c r="Q18" s="191"/>
      <c r="R18" s="191">
        <f>K18-N18+O18</f>
        <v>0</v>
      </c>
      <c r="S18" s="191">
        <f>L18-O18+P18</f>
        <v>0</v>
      </c>
      <c r="T18" s="192"/>
      <c r="U18" s="193" t="str">
        <f t="shared" si="0"/>
        <v>NM</v>
      </c>
    </row>
    <row r="19" spans="2:22" s="211" customFormat="1" ht="12.75" customHeight="1" collapsed="1">
      <c r="B19" s="204" t="str">
        <f>IF(SUM(H18:S18)=0,"Net Income","Net Income to Common")</f>
        <v>Net Income</v>
      </c>
      <c r="C19" s="205"/>
      <c r="D19" s="205"/>
      <c r="E19" s="205"/>
      <c r="F19" s="205"/>
      <c r="G19" s="206">
        <f>+G17-G18</f>
        <v>14</v>
      </c>
      <c r="H19" s="206">
        <f>+H17-H18</f>
        <v>9.85</v>
      </c>
      <c r="I19" s="206">
        <f t="shared" ref="I19:S19" si="5">+I17-I18</f>
        <v>12.489000000000001</v>
      </c>
      <c r="J19" s="206">
        <f t="shared" si="5"/>
        <v>15.013400000000001</v>
      </c>
      <c r="K19" s="206">
        <f t="shared" si="5"/>
        <v>17.411249999999999</v>
      </c>
      <c r="L19" s="206">
        <f t="shared" si="5"/>
        <v>19.670874999999995</v>
      </c>
      <c r="M19" s="207"/>
      <c r="N19" s="206">
        <f>+N17-N18</f>
        <v>3.5</v>
      </c>
      <c r="O19" s="206">
        <f t="shared" si="5"/>
        <v>4.0000000000000009</v>
      </c>
      <c r="P19" s="206">
        <f t="shared" si="5"/>
        <v>4.3500000000000005</v>
      </c>
      <c r="Q19" s="207"/>
      <c r="R19" s="206">
        <f>+R17-R18</f>
        <v>17.911249999999999</v>
      </c>
      <c r="S19" s="206">
        <f t="shared" si="5"/>
        <v>20.020874999999997</v>
      </c>
      <c r="T19" s="208"/>
      <c r="U19" s="209">
        <f t="shared" si="0"/>
        <v>0.18876733231042508</v>
      </c>
      <c r="V19" s="210"/>
    </row>
    <row r="20" spans="2:22" s="211" customFormat="1" ht="12.75" hidden="1" customHeight="1" outlineLevel="1">
      <c r="B20" s="4" t="s">
        <v>437</v>
      </c>
      <c r="C20" s="4"/>
      <c r="D20" s="4"/>
      <c r="E20" s="4"/>
      <c r="F20" s="4"/>
      <c r="G20" s="190">
        <v>0</v>
      </c>
      <c r="H20" s="190">
        <v>0</v>
      </c>
      <c r="I20" s="190">
        <v>0</v>
      </c>
      <c r="J20" s="190">
        <v>0</v>
      </c>
      <c r="K20" s="190">
        <v>0</v>
      </c>
      <c r="L20" s="190">
        <v>0</v>
      </c>
      <c r="M20" s="190"/>
      <c r="N20" s="190">
        <v>0</v>
      </c>
      <c r="O20" s="190">
        <v>0</v>
      </c>
      <c r="P20" s="190">
        <v>0</v>
      </c>
      <c r="Q20" s="191"/>
      <c r="R20" s="191">
        <f>K20-N20+O20</f>
        <v>0</v>
      </c>
      <c r="S20" s="191">
        <f>L20-O20+P20</f>
        <v>0</v>
      </c>
      <c r="T20" s="192"/>
      <c r="U20" s="193" t="str">
        <f>IF(OR(H20&lt;=0,L20&lt;=0),"NM",(L20/H20)^(1/(L$6-H$6))-1)</f>
        <v>NM</v>
      </c>
      <c r="V20" s="210"/>
    </row>
    <row r="21" spans="2:22" ht="12.75" hidden="1" customHeight="1" outlineLevel="1">
      <c r="B21" s="102" t="s">
        <v>190</v>
      </c>
      <c r="G21" s="194">
        <f>+G19+G20</f>
        <v>14</v>
      </c>
      <c r="H21" s="194">
        <f>+H19+H20</f>
        <v>9.85</v>
      </c>
      <c r="I21" s="194">
        <f t="shared" ref="I21:S21" si="6">+I19+I20</f>
        <v>12.489000000000001</v>
      </c>
      <c r="J21" s="194">
        <f t="shared" si="6"/>
        <v>15.013400000000001</v>
      </c>
      <c r="K21" s="194">
        <f t="shared" si="6"/>
        <v>17.411249999999999</v>
      </c>
      <c r="L21" s="194">
        <f t="shared" si="6"/>
        <v>19.670874999999995</v>
      </c>
      <c r="M21" s="197"/>
      <c r="N21" s="194">
        <f>+N19+N20</f>
        <v>3.5</v>
      </c>
      <c r="O21" s="194">
        <f t="shared" si="6"/>
        <v>4.0000000000000009</v>
      </c>
      <c r="P21" s="194">
        <f t="shared" si="6"/>
        <v>4.3500000000000005</v>
      </c>
      <c r="Q21" s="197"/>
      <c r="R21" s="194">
        <f>+R19+R20</f>
        <v>17.911249999999999</v>
      </c>
      <c r="S21" s="194">
        <f t="shared" si="6"/>
        <v>20.020874999999997</v>
      </c>
      <c r="T21" s="199"/>
      <c r="U21" s="200">
        <f>IF(OR(H21&lt;=0,L21&lt;=0),"NM",(L21/H21)^(1/(L$6-H$6))-1)</f>
        <v>0.18876733231042508</v>
      </c>
      <c r="V21" s="203"/>
    </row>
    <row r="22" spans="2:22" ht="12.75" customHeight="1" collapsed="1">
      <c r="B22" s="160"/>
      <c r="G22" s="212"/>
      <c r="H22" s="212"/>
      <c r="I22" s="212"/>
      <c r="J22" s="212"/>
      <c r="K22" s="212"/>
      <c r="L22" s="212"/>
      <c r="M22" s="213"/>
      <c r="N22" s="212"/>
      <c r="O22" s="212"/>
      <c r="P22" s="212"/>
      <c r="Q22" s="213"/>
      <c r="R22" s="212"/>
      <c r="S22" s="212"/>
      <c r="T22" s="214"/>
      <c r="U22" s="200"/>
    </row>
    <row r="23" spans="2:22" s="219" customFormat="1" ht="12.75" customHeight="1">
      <c r="B23" s="215" t="s">
        <v>193</v>
      </c>
      <c r="C23" s="216"/>
      <c r="D23" s="216"/>
      <c r="E23" s="216"/>
      <c r="F23" s="216"/>
      <c r="G23" s="201">
        <v>10.3</v>
      </c>
      <c r="H23" s="201">
        <f t="shared" ref="H23:J23" si="7">+I23-0.2</f>
        <v>10.400000000000002</v>
      </c>
      <c r="I23" s="201">
        <f t="shared" si="7"/>
        <v>10.600000000000001</v>
      </c>
      <c r="J23" s="201">
        <f t="shared" si="7"/>
        <v>10.8</v>
      </c>
      <c r="K23" s="201">
        <f>+L23-0.2</f>
        <v>11</v>
      </c>
      <c r="L23" s="201">
        <v>11.2</v>
      </c>
      <c r="M23" s="201"/>
      <c r="N23" s="201">
        <v>10.9</v>
      </c>
      <c r="O23" s="201">
        <v>11.15</v>
      </c>
      <c r="P23" s="201">
        <v>11.3</v>
      </c>
      <c r="Q23" s="197"/>
      <c r="R23" s="217">
        <f>(K23*4-N23*aquarter+O23*aquarter)/4</f>
        <v>11.0625</v>
      </c>
      <c r="S23" s="115">
        <f>(L23*4-O23*aquarter+P23*aquarter)/4</f>
        <v>11.237500000000001</v>
      </c>
      <c r="T23" s="218"/>
      <c r="U23" s="200">
        <f>IF(OR(H23&lt;=0,L23&lt;=0),"NM",(L23/H23)^(1/(L$6-H$6))-1)</f>
        <v>1.869968259813537E-2</v>
      </c>
    </row>
    <row r="24" spans="2:22" s="211" customFormat="1" ht="12.75" customHeight="1">
      <c r="B24" s="220" t="s">
        <v>310</v>
      </c>
      <c r="C24" s="205"/>
      <c r="D24" s="205"/>
      <c r="E24" s="205"/>
      <c r="F24" s="205"/>
      <c r="G24" s="221">
        <f t="shared" ref="G24:L24" si="8">G19/G23</f>
        <v>1.3592233009708736</v>
      </c>
      <c r="H24" s="221">
        <f t="shared" si="8"/>
        <v>0.94711538461538436</v>
      </c>
      <c r="I24" s="222">
        <f t="shared" si="8"/>
        <v>1.1782075471698112</v>
      </c>
      <c r="J24" s="222">
        <f t="shared" si="8"/>
        <v>1.3901296296296297</v>
      </c>
      <c r="K24" s="222">
        <f t="shared" si="8"/>
        <v>1.582840909090909</v>
      </c>
      <c r="L24" s="223">
        <f t="shared" si="8"/>
        <v>1.7563281249999998</v>
      </c>
      <c r="M24" s="224"/>
      <c r="N24" s="221">
        <f>N19/N23</f>
        <v>0.32110091743119262</v>
      </c>
      <c r="O24" s="221">
        <f>O19/O23</f>
        <v>0.35874439461883417</v>
      </c>
      <c r="P24" s="223">
        <f>P19/P23</f>
        <v>0.38495575221238942</v>
      </c>
      <c r="Q24" s="224"/>
      <c r="R24" s="225">
        <f>R19/R23</f>
        <v>1.6190960451977401</v>
      </c>
      <c r="S24" s="225">
        <f>S19/S23</f>
        <v>1.7816129032258061</v>
      </c>
      <c r="T24" s="226"/>
      <c r="U24" s="209">
        <f>IF(OR(H24&lt;=0,L24&lt;=0),"NM",(L24/H24)^(1/(L$6-H$6))-1)</f>
        <v>0.1669458159430679</v>
      </c>
    </row>
    <row r="25" spans="2:22" ht="12.75" customHeight="1">
      <c r="G25" s="227"/>
      <c r="H25" s="227"/>
      <c r="I25" s="227"/>
      <c r="J25" s="227"/>
      <c r="K25" s="227"/>
      <c r="L25" s="227"/>
      <c r="M25" s="227"/>
      <c r="N25" s="227"/>
      <c r="O25" s="227"/>
      <c r="P25" s="227"/>
      <c r="Q25" s="227"/>
      <c r="R25" s="227"/>
      <c r="S25" s="227"/>
      <c r="T25" s="228"/>
      <c r="U25" s="200"/>
    </row>
    <row r="26" spans="2:22" ht="12.75" customHeight="1">
      <c r="B26" s="3" t="s">
        <v>284</v>
      </c>
      <c r="G26" s="229">
        <v>49</v>
      </c>
      <c r="H26" s="229">
        <v>51</v>
      </c>
      <c r="I26" s="229">
        <v>60</v>
      </c>
      <c r="J26" s="229">
        <v>62</v>
      </c>
      <c r="K26" s="229">
        <v>65</v>
      </c>
      <c r="L26" s="229">
        <v>72</v>
      </c>
      <c r="M26" s="230"/>
      <c r="N26" s="229">
        <v>63</v>
      </c>
      <c r="O26" s="229">
        <v>66</v>
      </c>
      <c r="P26" s="229">
        <v>73</v>
      </c>
      <c r="Q26" s="230"/>
      <c r="R26" s="231">
        <f>IF(aquarter=4,'Acq Income Statement'!K26,'Acq Income Statement'!O26)</f>
        <v>66</v>
      </c>
      <c r="S26" s="231">
        <f>IF(aquarter=4,'Acq Income Statement'!L26,'Acq Income Statement'!P26)</f>
        <v>73</v>
      </c>
      <c r="T26" s="228"/>
      <c r="U26" s="232"/>
    </row>
    <row r="27" spans="2:22" ht="12.75" customHeight="1">
      <c r="G27" s="201"/>
      <c r="H27" s="201"/>
      <c r="I27" s="201"/>
      <c r="J27" s="201"/>
      <c r="K27" s="201"/>
      <c r="L27" s="201"/>
      <c r="M27" s="197"/>
      <c r="N27" s="201"/>
      <c r="O27" s="201"/>
      <c r="P27" s="201"/>
      <c r="Q27" s="197"/>
      <c r="R27" s="161"/>
      <c r="S27" s="161"/>
      <c r="T27" s="228"/>
      <c r="U27" s="232"/>
    </row>
    <row r="28" spans="2:22" ht="12.75" customHeight="1">
      <c r="B28" s="139" t="s">
        <v>77</v>
      </c>
      <c r="G28" s="228"/>
      <c r="H28" s="228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8"/>
      <c r="T28" s="228"/>
      <c r="U28" s="232"/>
    </row>
    <row r="29" spans="2:22" ht="12.75" customHeight="1">
      <c r="B29" s="3" t="s">
        <v>64</v>
      </c>
      <c r="G29" s="153">
        <f t="shared" ref="G29:L29" si="9">G12</f>
        <v>14.1</v>
      </c>
      <c r="H29" s="153">
        <f t="shared" si="9"/>
        <v>14.5</v>
      </c>
      <c r="I29" s="153">
        <f t="shared" si="9"/>
        <v>18</v>
      </c>
      <c r="J29" s="153">
        <f t="shared" si="9"/>
        <v>21.349999999999998</v>
      </c>
      <c r="K29" s="153">
        <f t="shared" si="9"/>
        <v>24.534999999999997</v>
      </c>
      <c r="L29" s="153">
        <f t="shared" si="9"/>
        <v>27.538499999999996</v>
      </c>
      <c r="M29" s="153"/>
      <c r="N29" s="153">
        <f>N12</f>
        <v>4.8</v>
      </c>
      <c r="O29" s="153">
        <f>O12</f>
        <v>5.6000000000000005</v>
      </c>
      <c r="P29" s="153">
        <f>P12</f>
        <v>5.9</v>
      </c>
      <c r="Q29" s="153"/>
      <c r="R29" s="153">
        <f>R12</f>
        <v>25.334999999999997</v>
      </c>
      <c r="S29" s="153">
        <f>S12</f>
        <v>27.838499999999996</v>
      </c>
      <c r="T29" s="218"/>
      <c r="U29" s="233">
        <f>IF(OR(H29&lt;=0,L29&lt;=0),"NM",(L29/H29)^(1/(L$6-H$6))-1)</f>
        <v>0.17393234742167962</v>
      </c>
    </row>
    <row r="30" spans="2:22" ht="12.75" customHeight="1">
      <c r="B30" s="234" t="s">
        <v>78</v>
      </c>
      <c r="C30" s="4"/>
      <c r="D30" s="4"/>
      <c r="E30" s="4"/>
      <c r="F30" s="4"/>
      <c r="G30" s="190">
        <v>0</v>
      </c>
      <c r="H30" s="140">
        <f>'Acq Cash Flow'!G9</f>
        <v>2.371</v>
      </c>
      <c r="I30" s="140">
        <f>'Acq Cash Flow'!H9</f>
        <v>2.5</v>
      </c>
      <c r="J30" s="140">
        <f>'Acq Cash Flow'!I9</f>
        <v>2.6</v>
      </c>
      <c r="K30" s="140">
        <f>'Acq Cash Flow'!J9</f>
        <v>2.7</v>
      </c>
      <c r="L30" s="140">
        <f>'Acq Cash Flow'!K9</f>
        <v>2.9</v>
      </c>
      <c r="M30" s="235"/>
      <c r="N30" s="140">
        <v>0</v>
      </c>
      <c r="O30" s="140">
        <f>'Acq Cash Flow'!M9</f>
        <v>0.72499999999999998</v>
      </c>
      <c r="P30" s="140">
        <f>'Acq Cash Flow'!N9</f>
        <v>0.80837499999999995</v>
      </c>
      <c r="Q30" s="68"/>
      <c r="R30" s="191">
        <f>K30-N30+O30</f>
        <v>3.4250000000000003</v>
      </c>
      <c r="S30" s="191">
        <f>L30-O30+P30</f>
        <v>2.9833749999999997</v>
      </c>
      <c r="T30" s="236"/>
      <c r="U30" s="237">
        <f>IF(OR(H30&lt;=0,L30&lt;=0),"NM",(L30/H30)^(1/(L$6-H$6))-1)</f>
        <v>5.1638824320317189E-2</v>
      </c>
    </row>
    <row r="31" spans="2:22" ht="12.75" customHeight="1">
      <c r="B31" s="3" t="s">
        <v>63</v>
      </c>
      <c r="G31" s="238">
        <f t="shared" ref="G31:L31" si="10">G29+G30</f>
        <v>14.1</v>
      </c>
      <c r="H31" s="238">
        <f t="shared" si="10"/>
        <v>16.870999999999999</v>
      </c>
      <c r="I31" s="238">
        <f t="shared" si="10"/>
        <v>20.5</v>
      </c>
      <c r="J31" s="239">
        <f t="shared" si="10"/>
        <v>23.95</v>
      </c>
      <c r="K31" s="239">
        <f t="shared" si="10"/>
        <v>27.234999999999996</v>
      </c>
      <c r="L31" s="240">
        <f t="shared" si="10"/>
        <v>30.438499999999994</v>
      </c>
      <c r="M31" s="213"/>
      <c r="N31" s="238">
        <f>N29+N30</f>
        <v>4.8</v>
      </c>
      <c r="O31" s="238">
        <f>O29+O30</f>
        <v>6.3250000000000002</v>
      </c>
      <c r="P31" s="240">
        <f>P29+P30</f>
        <v>6.7083750000000002</v>
      </c>
      <c r="Q31" s="213"/>
      <c r="R31" s="241">
        <f>R29+R30</f>
        <v>28.759999999999998</v>
      </c>
      <c r="S31" s="241">
        <f>S29+S30</f>
        <v>30.821874999999995</v>
      </c>
      <c r="T31" s="199"/>
      <c r="U31" s="233">
        <f>IF(OR(H31&lt;=0,L31&lt;=0),"NM",(L31/H31)^(1/(L$6-H$6))-1)</f>
        <v>0.15896575943233171</v>
      </c>
    </row>
    <row r="32" spans="2:22" ht="12.75" customHeight="1">
      <c r="B32" s="4" t="s">
        <v>305</v>
      </c>
      <c r="C32" s="4"/>
      <c r="D32" s="4"/>
      <c r="E32" s="4"/>
      <c r="F32" s="4"/>
      <c r="G32" s="190">
        <v>2.9</v>
      </c>
      <c r="H32" s="190">
        <v>3</v>
      </c>
      <c r="I32" s="190">
        <v>3.2</v>
      </c>
      <c r="J32" s="190">
        <v>3.4</v>
      </c>
      <c r="K32" s="190">
        <v>3.6</v>
      </c>
      <c r="L32" s="190">
        <v>4</v>
      </c>
      <c r="M32" s="190"/>
      <c r="N32" s="190">
        <v>0.8</v>
      </c>
      <c r="O32" s="190">
        <v>0.9</v>
      </c>
      <c r="P32" s="190">
        <v>1</v>
      </c>
      <c r="Q32" s="191"/>
      <c r="R32" s="191">
        <f>K32-N32+O32</f>
        <v>3.6999999999999997</v>
      </c>
      <c r="S32" s="191">
        <f>L32-O32+P32</f>
        <v>4.0999999999999996</v>
      </c>
      <c r="T32" s="202"/>
      <c r="U32" s="237">
        <f>IF(OR(H32&lt;=0,L32&lt;=0),"NM",(L32/H32)^(1/(L$6-H$6))-1)</f>
        <v>7.4569931823541991E-2</v>
      </c>
    </row>
    <row r="33" spans="2:21" ht="12.75" customHeight="1">
      <c r="B33" s="3" t="s">
        <v>306</v>
      </c>
      <c r="G33" s="238">
        <f t="shared" ref="G33:L33" si="11">SUM(G31:G32)</f>
        <v>17</v>
      </c>
      <c r="H33" s="238">
        <f t="shared" si="11"/>
        <v>19.870999999999999</v>
      </c>
      <c r="I33" s="238">
        <f t="shared" si="11"/>
        <v>23.7</v>
      </c>
      <c r="J33" s="239">
        <f t="shared" si="11"/>
        <v>27.349999999999998</v>
      </c>
      <c r="K33" s="239">
        <f t="shared" si="11"/>
        <v>30.834999999999997</v>
      </c>
      <c r="L33" s="240">
        <f t="shared" si="11"/>
        <v>34.438499999999991</v>
      </c>
      <c r="M33" s="213"/>
      <c r="N33" s="238">
        <f>SUM(N31:N32)</f>
        <v>5.6</v>
      </c>
      <c r="O33" s="238">
        <f>SUM(O31:O32)</f>
        <v>7.2250000000000005</v>
      </c>
      <c r="P33" s="240">
        <f>SUM(P31:P32)</f>
        <v>7.7083750000000002</v>
      </c>
      <c r="Q33" s="213"/>
      <c r="R33" s="241">
        <f>SUM(R31:R32)</f>
        <v>32.46</v>
      </c>
      <c r="S33" s="241">
        <f>SUM(S31:S32)</f>
        <v>34.921874999999993</v>
      </c>
      <c r="T33" s="199"/>
      <c r="U33" s="233">
        <f>IF(OR(H33&lt;=0,L33&lt;=0),"NM",(L33/H33)^(1/(L$6-H$6))-1)</f>
        <v>0.14737696314650917</v>
      </c>
    </row>
    <row r="34" spans="2:21" ht="12.75" customHeight="1">
      <c r="G34" s="242"/>
      <c r="H34" s="242"/>
      <c r="I34" s="242"/>
      <c r="J34" s="242"/>
      <c r="K34" s="242"/>
      <c r="L34" s="242"/>
      <c r="M34" s="213"/>
      <c r="N34" s="242"/>
      <c r="O34" s="242"/>
      <c r="P34" s="242"/>
      <c r="Q34" s="213"/>
      <c r="R34" s="213"/>
      <c r="S34" s="213"/>
      <c r="T34" s="199"/>
      <c r="U34" s="233"/>
    </row>
    <row r="35" spans="2:21" ht="12.75" customHeight="1">
      <c r="B35" s="139" t="s">
        <v>435</v>
      </c>
      <c r="G35" s="228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32"/>
    </row>
    <row r="36" spans="2:21" ht="12.75" hidden="1" customHeight="1" outlineLevel="1">
      <c r="B36" s="3" t="str">
        <f>+B9</f>
        <v>Gross Profit</v>
      </c>
      <c r="G36" s="153">
        <f t="shared" ref="G36:L36" si="12">+G9+G$78</f>
        <v>27.5</v>
      </c>
      <c r="H36" s="153">
        <f t="shared" si="12"/>
        <v>30</v>
      </c>
      <c r="I36" s="153">
        <f t="shared" si="12"/>
        <v>35</v>
      </c>
      <c r="J36" s="153">
        <f t="shared" si="12"/>
        <v>40</v>
      </c>
      <c r="K36" s="153">
        <f t="shared" si="12"/>
        <v>46.3</v>
      </c>
      <c r="L36" s="153">
        <f t="shared" si="12"/>
        <v>50.5</v>
      </c>
      <c r="M36" s="153"/>
      <c r="N36" s="153">
        <f>+N9+N$78</f>
        <v>10</v>
      </c>
      <c r="O36" s="153">
        <f>+O9+O$78</f>
        <v>11.5</v>
      </c>
      <c r="P36" s="153">
        <f>+P9+P$78</f>
        <v>12.5</v>
      </c>
      <c r="Q36" s="153"/>
      <c r="R36" s="153">
        <f t="shared" ref="R36:S43" si="13">K36-N36+O36</f>
        <v>47.8</v>
      </c>
      <c r="S36" s="153">
        <f t="shared" si="13"/>
        <v>51.5</v>
      </c>
      <c r="T36" s="218"/>
      <c r="U36" s="233">
        <f t="shared" ref="U36:U44" si="14">IF(OR(H36&lt;=0,L36&lt;=0),"NM",(L36/H36)^(1/(L$6-H$6))-1)</f>
        <v>0.139049324540091</v>
      </c>
    </row>
    <row r="37" spans="2:21" ht="12.75" hidden="1" customHeight="1" outlineLevel="1">
      <c r="B37" s="3" t="str">
        <f>+B10</f>
        <v>SG&amp;A Expenses</v>
      </c>
      <c r="G37" s="161">
        <f t="shared" ref="G37:L37" si="15">+G10-G$84</f>
        <v>13</v>
      </c>
      <c r="H37" s="161">
        <f t="shared" si="15"/>
        <v>15</v>
      </c>
      <c r="I37" s="161">
        <f t="shared" si="15"/>
        <v>16.5</v>
      </c>
      <c r="J37" s="161">
        <f t="shared" si="15"/>
        <v>18.150000000000002</v>
      </c>
      <c r="K37" s="161">
        <f t="shared" si="15"/>
        <v>19.465000000000003</v>
      </c>
      <c r="L37" s="161">
        <f t="shared" si="15"/>
        <v>20.961500000000004</v>
      </c>
      <c r="M37" s="161"/>
      <c r="N37" s="161">
        <f>+N10-N$84</f>
        <v>5</v>
      </c>
      <c r="O37" s="161">
        <f>+O10-O$84</f>
        <v>5.8</v>
      </c>
      <c r="P37" s="161">
        <f>+P10-P$84</f>
        <v>6.5</v>
      </c>
      <c r="Q37" s="161"/>
      <c r="R37" s="161">
        <f t="shared" si="13"/>
        <v>20.265000000000004</v>
      </c>
      <c r="S37" s="161">
        <f t="shared" si="13"/>
        <v>21.661500000000004</v>
      </c>
      <c r="T37" s="218"/>
      <c r="U37" s="233">
        <f t="shared" si="14"/>
        <v>8.7258407381507697E-2</v>
      </c>
    </row>
    <row r="38" spans="2:21" ht="12.75" hidden="1" customHeight="1" outlineLevel="1">
      <c r="B38" s="3" t="str">
        <f>+B11</f>
        <v>Other Expense, Net</v>
      </c>
      <c r="G38" s="161">
        <f t="shared" ref="G38:L38" si="16">+G11-G$90</f>
        <v>0.4</v>
      </c>
      <c r="H38" s="161">
        <f t="shared" si="16"/>
        <v>0.5</v>
      </c>
      <c r="I38" s="161">
        <f t="shared" si="16"/>
        <v>0.5</v>
      </c>
      <c r="J38" s="161">
        <f t="shared" si="16"/>
        <v>0.5</v>
      </c>
      <c r="K38" s="161">
        <f t="shared" si="16"/>
        <v>0.5</v>
      </c>
      <c r="L38" s="161">
        <f t="shared" si="16"/>
        <v>0.5</v>
      </c>
      <c r="M38" s="161"/>
      <c r="N38" s="161">
        <f>+N11-N$90</f>
        <v>0.2</v>
      </c>
      <c r="O38" s="161">
        <f>+O11-O$90</f>
        <v>0.1</v>
      </c>
      <c r="P38" s="161">
        <f>+P11-P$90</f>
        <v>0.1</v>
      </c>
      <c r="Q38" s="161"/>
      <c r="R38" s="161">
        <f t="shared" si="13"/>
        <v>0.4</v>
      </c>
      <c r="S38" s="161">
        <f t="shared" si="13"/>
        <v>0.5</v>
      </c>
      <c r="T38" s="218"/>
      <c r="U38" s="233">
        <f>IF(OR(H38&lt;=0,L38&lt;=0),"NM",(L38/H38)^(1/(L$6-H$6))-1)</f>
        <v>0</v>
      </c>
    </row>
    <row r="39" spans="2:21" ht="12.75" hidden="1" customHeight="1" outlineLevel="1">
      <c r="B39" s="3" t="str">
        <f>+B33</f>
        <v>EBITDAR</v>
      </c>
      <c r="G39" s="161">
        <f t="shared" ref="G39:L39" si="17">+G33+G$92</f>
        <v>17</v>
      </c>
      <c r="H39" s="161">
        <f t="shared" si="17"/>
        <v>19.870999999999999</v>
      </c>
      <c r="I39" s="161">
        <f t="shared" si="17"/>
        <v>23.7</v>
      </c>
      <c r="J39" s="161">
        <f t="shared" si="17"/>
        <v>27.349999999999998</v>
      </c>
      <c r="K39" s="161">
        <f t="shared" si="17"/>
        <v>32.634999999999998</v>
      </c>
      <c r="L39" s="161">
        <f t="shared" si="17"/>
        <v>35.938499999999991</v>
      </c>
      <c r="M39" s="161"/>
      <c r="N39" s="161">
        <f>+N33+N$92</f>
        <v>5.6</v>
      </c>
      <c r="O39" s="161">
        <f>+O33+O$92</f>
        <v>7.2250000000000005</v>
      </c>
      <c r="P39" s="161">
        <f>+P33+P$92</f>
        <v>7.7083750000000002</v>
      </c>
      <c r="Q39" s="161"/>
      <c r="R39" s="161">
        <f>K39-N39+O39</f>
        <v>34.26</v>
      </c>
      <c r="S39" s="161">
        <f>L39-O39+P39</f>
        <v>36.421874999999986</v>
      </c>
      <c r="T39" s="218"/>
      <c r="U39" s="233">
        <f>IF(OR(H39&lt;=0,L39&lt;=0),"NM",(L39/H39)^(1/(L$6-H$6))-1)</f>
        <v>0.15967169146304272</v>
      </c>
    </row>
    <row r="40" spans="2:21" ht="12.75" customHeight="1" collapsed="1">
      <c r="B40" s="3" t="str">
        <f>+B31</f>
        <v>EBITDA</v>
      </c>
      <c r="G40" s="161">
        <f t="shared" ref="G40:L40" si="18">+G31+G$92</f>
        <v>14.1</v>
      </c>
      <c r="H40" s="161">
        <f t="shared" si="18"/>
        <v>16.870999999999999</v>
      </c>
      <c r="I40" s="161">
        <f t="shared" si="18"/>
        <v>20.5</v>
      </c>
      <c r="J40" s="161">
        <f t="shared" si="18"/>
        <v>23.95</v>
      </c>
      <c r="K40" s="161">
        <f t="shared" si="18"/>
        <v>29.034999999999997</v>
      </c>
      <c r="L40" s="161">
        <f t="shared" si="18"/>
        <v>31.938499999999994</v>
      </c>
      <c r="M40" s="161"/>
      <c r="N40" s="161">
        <f>+N31+N$92</f>
        <v>4.8</v>
      </c>
      <c r="O40" s="161">
        <f>+O31+O$92</f>
        <v>6.3250000000000002</v>
      </c>
      <c r="P40" s="161">
        <f>+P31+P$92</f>
        <v>6.7083750000000002</v>
      </c>
      <c r="Q40" s="161"/>
      <c r="R40" s="161">
        <f t="shared" si="13"/>
        <v>30.559999999999995</v>
      </c>
      <c r="S40" s="161">
        <f t="shared" si="13"/>
        <v>32.321874999999991</v>
      </c>
      <c r="T40" s="218"/>
      <c r="U40" s="233">
        <f t="shared" si="14"/>
        <v>0.17298760389509038</v>
      </c>
    </row>
    <row r="41" spans="2:21" ht="12.75" customHeight="1">
      <c r="B41" s="3" t="str">
        <f>+B29</f>
        <v>EBIT</v>
      </c>
      <c r="G41" s="161">
        <f t="shared" ref="G41:L41" si="19">+G29+G$92</f>
        <v>14.1</v>
      </c>
      <c r="H41" s="161">
        <f t="shared" si="19"/>
        <v>14.5</v>
      </c>
      <c r="I41" s="161">
        <f t="shared" si="19"/>
        <v>18</v>
      </c>
      <c r="J41" s="161">
        <f t="shared" si="19"/>
        <v>21.349999999999998</v>
      </c>
      <c r="K41" s="161">
        <f t="shared" si="19"/>
        <v>26.334999999999997</v>
      </c>
      <c r="L41" s="161">
        <f t="shared" si="19"/>
        <v>29.038499999999996</v>
      </c>
      <c r="M41" s="161"/>
      <c r="N41" s="161">
        <f>+N29+N$92</f>
        <v>4.8</v>
      </c>
      <c r="O41" s="161">
        <f>+O29+O$92</f>
        <v>5.6000000000000005</v>
      </c>
      <c r="P41" s="161">
        <f>+P29+P$92</f>
        <v>5.9</v>
      </c>
      <c r="Q41" s="161"/>
      <c r="R41" s="161">
        <f t="shared" si="13"/>
        <v>27.134999999999998</v>
      </c>
      <c r="S41" s="161">
        <f t="shared" si="13"/>
        <v>29.338499999999996</v>
      </c>
      <c r="T41" s="218"/>
      <c r="U41" s="233">
        <f t="shared" si="14"/>
        <v>0.18960161239927187</v>
      </c>
    </row>
    <row r="42" spans="2:21" ht="12.75" hidden="1" customHeight="1" outlineLevel="1">
      <c r="B42" s="3" t="str">
        <f>+B11</f>
        <v>Other Expense, Net</v>
      </c>
      <c r="G42" s="161">
        <f t="shared" ref="G42:L42" si="20">+G13-G$98</f>
        <v>0.1</v>
      </c>
      <c r="H42" s="161">
        <f t="shared" si="20"/>
        <v>0.2</v>
      </c>
      <c r="I42" s="161">
        <f t="shared" si="20"/>
        <v>0.2</v>
      </c>
      <c r="J42" s="161">
        <f t="shared" si="20"/>
        <v>0.2</v>
      </c>
      <c r="K42" s="161">
        <f t="shared" si="20"/>
        <v>0.2</v>
      </c>
      <c r="L42" s="161">
        <f t="shared" si="20"/>
        <v>0.2</v>
      </c>
      <c r="M42" s="161"/>
      <c r="N42" s="161">
        <f>+N13-N$98</f>
        <v>0.1</v>
      </c>
      <c r="O42" s="161">
        <f>+O13-O$98</f>
        <v>0.1</v>
      </c>
      <c r="P42" s="161">
        <f>+P13-P$98</f>
        <v>0.1</v>
      </c>
      <c r="Q42" s="161"/>
      <c r="R42" s="161">
        <f t="shared" si="13"/>
        <v>0.2</v>
      </c>
      <c r="S42" s="161">
        <f t="shared" si="13"/>
        <v>0.2</v>
      </c>
      <c r="T42" s="218"/>
      <c r="U42" s="233">
        <f t="shared" si="14"/>
        <v>0</v>
      </c>
    </row>
    <row r="43" spans="2:21" ht="12.75" customHeight="1" collapsed="1">
      <c r="B43" s="3" t="str">
        <f>+B19</f>
        <v>Net Income</v>
      </c>
      <c r="G43" s="161">
        <f t="shared" ref="G43:L43" si="21">+G19+G$105</f>
        <v>14</v>
      </c>
      <c r="H43" s="161">
        <f t="shared" si="21"/>
        <v>9.85</v>
      </c>
      <c r="I43" s="161">
        <f t="shared" si="21"/>
        <v>12.489000000000001</v>
      </c>
      <c r="J43" s="161">
        <f t="shared" si="21"/>
        <v>15.013400000000001</v>
      </c>
      <c r="K43" s="161">
        <f t="shared" si="21"/>
        <v>18.76125</v>
      </c>
      <c r="L43" s="161">
        <f t="shared" si="21"/>
        <v>20.795874999999995</v>
      </c>
      <c r="M43" s="161"/>
      <c r="N43" s="161">
        <f>+N19+N$105</f>
        <v>3.5</v>
      </c>
      <c r="O43" s="161">
        <f>+O19+O$105</f>
        <v>4.0000000000000009</v>
      </c>
      <c r="P43" s="161">
        <f>+P19+P$105</f>
        <v>4.3500000000000005</v>
      </c>
      <c r="Q43" s="161"/>
      <c r="R43" s="161">
        <f t="shared" si="13"/>
        <v>19.26125</v>
      </c>
      <c r="S43" s="161">
        <f t="shared" si="13"/>
        <v>21.145874999999997</v>
      </c>
      <c r="T43" s="218"/>
      <c r="U43" s="233">
        <f t="shared" si="14"/>
        <v>0.20541125435428098</v>
      </c>
    </row>
    <row r="44" spans="2:21" ht="12.75" customHeight="1">
      <c r="B44" s="3" t="str">
        <f>+B24</f>
        <v>Diluted EPS</v>
      </c>
      <c r="G44" s="138">
        <f t="shared" ref="G44:L44" si="22">+G43/G23</f>
        <v>1.3592233009708736</v>
      </c>
      <c r="H44" s="138">
        <f t="shared" si="22"/>
        <v>0.94711538461538436</v>
      </c>
      <c r="I44" s="138">
        <f t="shared" si="22"/>
        <v>1.1782075471698112</v>
      </c>
      <c r="J44" s="138">
        <f t="shared" si="22"/>
        <v>1.3901296296296297</v>
      </c>
      <c r="K44" s="138">
        <f t="shared" si="22"/>
        <v>1.7055681818181818</v>
      </c>
      <c r="L44" s="138">
        <f t="shared" si="22"/>
        <v>1.8567745535714282</v>
      </c>
      <c r="M44" s="153"/>
      <c r="N44" s="138">
        <f>+N43/N23</f>
        <v>0.32110091743119262</v>
      </c>
      <c r="O44" s="138">
        <f>+O43/O23</f>
        <v>0.35874439461883417</v>
      </c>
      <c r="P44" s="138">
        <f>+P43/P23</f>
        <v>0.38495575221238942</v>
      </c>
      <c r="Q44" s="153"/>
      <c r="R44" s="138">
        <f>+R43/R23</f>
        <v>1.7411299435028249</v>
      </c>
      <c r="S44" s="138">
        <f>+S43/S23</f>
        <v>1.8817241379310341</v>
      </c>
      <c r="T44" s="218"/>
      <c r="U44" s="233">
        <f t="shared" si="14"/>
        <v>0.1832842151083709</v>
      </c>
    </row>
    <row r="45" spans="2:21" ht="12.75" customHeight="1"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218"/>
      <c r="U45" s="233"/>
    </row>
    <row r="46" spans="2:21" ht="12.75" hidden="1" customHeight="1" outlineLevel="1">
      <c r="B46" s="139" t="s">
        <v>447</v>
      </c>
      <c r="G46" s="228"/>
      <c r="H46" s="228"/>
      <c r="I46" s="228"/>
      <c r="J46" s="228"/>
      <c r="K46" s="228"/>
      <c r="L46" s="228"/>
      <c r="M46" s="228"/>
      <c r="N46" s="228"/>
      <c r="O46" s="228"/>
      <c r="P46" s="228"/>
      <c r="Q46" s="228"/>
      <c r="R46" s="228"/>
      <c r="S46" s="228"/>
      <c r="T46" s="228"/>
      <c r="U46" s="232"/>
    </row>
    <row r="47" spans="2:21" ht="12.75" hidden="1" customHeight="1" outlineLevel="1">
      <c r="B47" s="3" t="s">
        <v>436</v>
      </c>
      <c r="G47" s="153">
        <f t="shared" ref="G47:L47" si="23">+G40+G$116</f>
        <v>14.1</v>
      </c>
      <c r="H47" s="153">
        <f t="shared" si="23"/>
        <v>17.971</v>
      </c>
      <c r="I47" s="153">
        <f t="shared" si="23"/>
        <v>21.8</v>
      </c>
      <c r="J47" s="153">
        <f t="shared" si="23"/>
        <v>25.45</v>
      </c>
      <c r="K47" s="153">
        <f t="shared" si="23"/>
        <v>30.734999999999996</v>
      </c>
      <c r="L47" s="153">
        <f t="shared" si="23"/>
        <v>33.838499999999996</v>
      </c>
      <c r="M47" s="153"/>
      <c r="N47" s="153">
        <f>+N40+N$116</f>
        <v>4.8</v>
      </c>
      <c r="O47" s="153">
        <f>+O40+O$116</f>
        <v>6.3250000000000002</v>
      </c>
      <c r="P47" s="153">
        <f>+P40+P$116</f>
        <v>6.7083750000000002</v>
      </c>
      <c r="Q47" s="153"/>
      <c r="R47" s="153">
        <f>K47-N47+O47</f>
        <v>32.26</v>
      </c>
      <c r="S47" s="153">
        <f>L47-O47+P47</f>
        <v>34.221874999999997</v>
      </c>
      <c r="T47" s="218"/>
      <c r="U47" s="233">
        <f>IF(OR(H47&lt;=0,L47&lt;=0),"NM",(L47/H47)^(1/(L$6-H$6))-1)</f>
        <v>0.17141212442477838</v>
      </c>
    </row>
    <row r="48" spans="2:21" ht="12.75" hidden="1" customHeight="1" outlineLevel="1">
      <c r="B48" s="3" t="s">
        <v>446</v>
      </c>
      <c r="G48" s="161">
        <f t="shared" ref="G48:L48" si="24">+G33+G$92+G$116</f>
        <v>17</v>
      </c>
      <c r="H48" s="161">
        <f t="shared" si="24"/>
        <v>20.971</v>
      </c>
      <c r="I48" s="161">
        <f t="shared" si="24"/>
        <v>25</v>
      </c>
      <c r="J48" s="161">
        <f t="shared" si="24"/>
        <v>28.849999999999998</v>
      </c>
      <c r="K48" s="161">
        <f t="shared" si="24"/>
        <v>34.335000000000001</v>
      </c>
      <c r="L48" s="161">
        <f t="shared" si="24"/>
        <v>37.838499999999989</v>
      </c>
      <c r="M48" s="161"/>
      <c r="N48" s="161">
        <f>+N33+N$92+N$116</f>
        <v>5.6</v>
      </c>
      <c r="O48" s="161">
        <f>+O33+O$92+O$116</f>
        <v>7.2250000000000005</v>
      </c>
      <c r="P48" s="161">
        <f>+P33+P$92+P$116</f>
        <v>7.7083750000000002</v>
      </c>
      <c r="Q48" s="161"/>
      <c r="R48" s="161">
        <f>K48-N48+O48</f>
        <v>35.96</v>
      </c>
      <c r="S48" s="161">
        <f>L48-O48+P48</f>
        <v>38.321874999999991</v>
      </c>
      <c r="T48" s="218"/>
      <c r="U48" s="233">
        <f>IF(OR(H48&lt;=0,L48&lt;=0),"NM",(L48/H48)^(1/(L$6-H$6))-1)</f>
        <v>0.15898734217421673</v>
      </c>
    </row>
    <row r="49" spans="2:21" ht="12.75" hidden="1" customHeight="1" outlineLevel="1"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218"/>
      <c r="U49" s="233"/>
    </row>
    <row r="50" spans="2:21" ht="12.75" customHeight="1" collapsed="1">
      <c r="B50" s="139" t="s">
        <v>607</v>
      </c>
      <c r="G50" s="242"/>
      <c r="H50" s="242"/>
      <c r="I50" s="242"/>
      <c r="J50" s="242"/>
      <c r="K50" s="242"/>
      <c r="L50" s="242"/>
      <c r="M50" s="214"/>
      <c r="N50" s="242"/>
      <c r="O50" s="242"/>
      <c r="P50" s="242"/>
      <c r="Q50" s="214"/>
      <c r="R50" s="214"/>
      <c r="S50" s="214"/>
      <c r="T50" s="199"/>
      <c r="U50" s="243"/>
    </row>
    <row r="51" spans="2:21" ht="12.75" customHeight="1">
      <c r="B51" s="3" t="s">
        <v>74</v>
      </c>
      <c r="G51" s="242">
        <f>G36/G$7</f>
        <v>0.5</v>
      </c>
      <c r="H51" s="242">
        <f t="shared" ref="H51:L52" si="25">H36/H$7</f>
        <v>0.5</v>
      </c>
      <c r="I51" s="242">
        <f t="shared" si="25"/>
        <v>0.5</v>
      </c>
      <c r="J51" s="242">
        <f t="shared" si="25"/>
        <v>0.5</v>
      </c>
      <c r="K51" s="242">
        <f t="shared" si="25"/>
        <v>0.51444444444444437</v>
      </c>
      <c r="L51" s="242">
        <f t="shared" si="25"/>
        <v>0.505</v>
      </c>
      <c r="M51" s="244"/>
      <c r="N51" s="242">
        <f t="shared" ref="N51:P52" si="26">N36/N$7</f>
        <v>0.5</v>
      </c>
      <c r="O51" s="242">
        <f t="shared" si="26"/>
        <v>0.51111111111111107</v>
      </c>
      <c r="P51" s="242">
        <f t="shared" si="26"/>
        <v>0.5</v>
      </c>
      <c r="Q51" s="242"/>
      <c r="R51" s="242">
        <f>R36/R$7</f>
        <v>0.5167567567567567</v>
      </c>
      <c r="S51" s="242">
        <f>S36/S$7</f>
        <v>0.5024390243902439</v>
      </c>
      <c r="T51" s="244"/>
      <c r="U51" s="243"/>
    </row>
    <row r="52" spans="2:21" ht="12.75" customHeight="1">
      <c r="B52" s="3" t="str">
        <f>+B37</f>
        <v>SG&amp;A Expenses</v>
      </c>
      <c r="G52" s="242">
        <f>G37/G$7</f>
        <v>0.23636363636363636</v>
      </c>
      <c r="H52" s="242">
        <f t="shared" si="25"/>
        <v>0.25</v>
      </c>
      <c r="I52" s="242">
        <f t="shared" si="25"/>
        <v>0.23571428571428571</v>
      </c>
      <c r="J52" s="242">
        <f t="shared" si="25"/>
        <v>0.22687500000000002</v>
      </c>
      <c r="K52" s="242">
        <f t="shared" si="25"/>
        <v>0.21627777777777782</v>
      </c>
      <c r="L52" s="242">
        <f t="shared" si="25"/>
        <v>0.20961500000000005</v>
      </c>
      <c r="M52" s="244"/>
      <c r="N52" s="242">
        <f t="shared" si="26"/>
        <v>0.25</v>
      </c>
      <c r="O52" s="242">
        <f t="shared" si="26"/>
        <v>0.25777777777777777</v>
      </c>
      <c r="P52" s="242">
        <f t="shared" si="26"/>
        <v>0.26</v>
      </c>
      <c r="Q52" s="242"/>
      <c r="R52" s="242">
        <f>R37/R$7</f>
        <v>0.21908108108108112</v>
      </c>
      <c r="S52" s="242">
        <f>S37/S$7</f>
        <v>0.21133170731707321</v>
      </c>
      <c r="T52" s="244"/>
      <c r="U52" s="243"/>
    </row>
    <row r="53" spans="2:21" ht="12.75" customHeight="1">
      <c r="B53" s="3" t="str">
        <f>+B40</f>
        <v>EBITDA</v>
      </c>
      <c r="G53" s="242">
        <f>G40/G$7</f>
        <v>0.25636363636363635</v>
      </c>
      <c r="H53" s="242">
        <f t="shared" ref="H53:L54" si="27">H40/H$7</f>
        <v>0.28118333333333329</v>
      </c>
      <c r="I53" s="242">
        <f t="shared" si="27"/>
        <v>0.29285714285714287</v>
      </c>
      <c r="J53" s="242">
        <f t="shared" si="27"/>
        <v>0.299375</v>
      </c>
      <c r="K53" s="242">
        <f t="shared" si="27"/>
        <v>0.32261111111111107</v>
      </c>
      <c r="L53" s="242">
        <f t="shared" si="27"/>
        <v>0.31938499999999992</v>
      </c>
      <c r="M53" s="244"/>
      <c r="N53" s="242">
        <f t="shared" ref="N53:P54" si="28">N40/N$7</f>
        <v>0.24</v>
      </c>
      <c r="O53" s="242">
        <f t="shared" si="28"/>
        <v>0.28111111111111114</v>
      </c>
      <c r="P53" s="242">
        <f t="shared" si="28"/>
        <v>0.26833499999999999</v>
      </c>
      <c r="Q53" s="242"/>
      <c r="R53" s="242">
        <f>R40/R$7</f>
        <v>0.3303783783783783</v>
      </c>
      <c r="S53" s="242">
        <f>S40/S$7</f>
        <v>0.31533536585365846</v>
      </c>
      <c r="T53" s="244"/>
      <c r="U53" s="243"/>
    </row>
    <row r="54" spans="2:21" ht="12.75" customHeight="1">
      <c r="B54" s="3" t="str">
        <f>+B41</f>
        <v>EBIT</v>
      </c>
      <c r="G54" s="242">
        <f>G41/G$7</f>
        <v>0.25636363636363635</v>
      </c>
      <c r="H54" s="242">
        <f t="shared" si="27"/>
        <v>0.24166666666666667</v>
      </c>
      <c r="I54" s="242">
        <f t="shared" si="27"/>
        <v>0.25714285714285712</v>
      </c>
      <c r="J54" s="242">
        <f t="shared" si="27"/>
        <v>0.26687499999999997</v>
      </c>
      <c r="K54" s="242">
        <f t="shared" si="27"/>
        <v>0.2926111111111111</v>
      </c>
      <c r="L54" s="242">
        <f t="shared" si="27"/>
        <v>0.29038499999999995</v>
      </c>
      <c r="M54" s="244"/>
      <c r="N54" s="242">
        <f t="shared" si="28"/>
        <v>0.24</v>
      </c>
      <c r="O54" s="242">
        <f t="shared" si="28"/>
        <v>0.24888888888888891</v>
      </c>
      <c r="P54" s="242">
        <f t="shared" si="28"/>
        <v>0.23600000000000002</v>
      </c>
      <c r="Q54" s="242"/>
      <c r="R54" s="242">
        <f>R41/R$7</f>
        <v>0.29335135135135132</v>
      </c>
      <c r="S54" s="242">
        <f>S41/S$7</f>
        <v>0.28622926829268291</v>
      </c>
      <c r="T54" s="244"/>
      <c r="U54" s="243"/>
    </row>
    <row r="55" spans="2:21" ht="12.75" customHeight="1">
      <c r="B55" s="3" t="str">
        <f>+B43</f>
        <v>Net Income</v>
      </c>
      <c r="G55" s="242">
        <f t="shared" ref="G55:L55" si="29">G43/G$7</f>
        <v>0.25454545454545452</v>
      </c>
      <c r="H55" s="242">
        <f t="shared" si="29"/>
        <v>0.16416666666666666</v>
      </c>
      <c r="I55" s="242">
        <f t="shared" si="29"/>
        <v>0.17841428571428572</v>
      </c>
      <c r="J55" s="242">
        <f t="shared" si="29"/>
        <v>0.18766750000000001</v>
      </c>
      <c r="K55" s="242">
        <f t="shared" si="29"/>
        <v>0.20845833333333333</v>
      </c>
      <c r="L55" s="242">
        <f t="shared" si="29"/>
        <v>0.20795874999999994</v>
      </c>
      <c r="M55" s="244"/>
      <c r="N55" s="242">
        <f>N43/N$7</f>
        <v>0.17499999999999999</v>
      </c>
      <c r="O55" s="242">
        <f>O43/O$7</f>
        <v>0.17777777777777781</v>
      </c>
      <c r="P55" s="242">
        <f>P43/P$7</f>
        <v>0.17400000000000002</v>
      </c>
      <c r="Q55" s="242"/>
      <c r="R55" s="242">
        <f>R43/R$7</f>
        <v>0.20822972972972972</v>
      </c>
      <c r="S55" s="242">
        <f>S43/S$7</f>
        <v>0.2063012195121951</v>
      </c>
      <c r="T55" s="244"/>
      <c r="U55" s="243"/>
    </row>
    <row r="56" spans="2:21" ht="12.75" customHeight="1">
      <c r="G56" s="197"/>
      <c r="H56" s="197"/>
      <c r="I56" s="197"/>
      <c r="J56" s="197"/>
      <c r="K56" s="197"/>
      <c r="L56" s="197"/>
      <c r="M56" s="244"/>
      <c r="N56" s="197"/>
      <c r="O56" s="197"/>
      <c r="P56" s="197"/>
      <c r="Q56" s="244"/>
      <c r="R56" s="197"/>
      <c r="S56" s="197"/>
      <c r="T56" s="244"/>
      <c r="U56" s="243"/>
    </row>
    <row r="57" spans="2:21" ht="12.75" customHeight="1">
      <c r="B57" s="139" t="s">
        <v>608</v>
      </c>
      <c r="G57" s="244"/>
      <c r="H57" s="244"/>
      <c r="I57" s="244"/>
      <c r="J57" s="244"/>
      <c r="K57" s="244"/>
      <c r="L57" s="244"/>
      <c r="M57" s="244"/>
      <c r="N57" s="244"/>
      <c r="O57" s="244"/>
      <c r="P57" s="244"/>
      <c r="Q57" s="244"/>
      <c r="R57" s="244"/>
      <c r="S57" s="244"/>
      <c r="T57" s="244"/>
      <c r="U57" s="243"/>
    </row>
    <row r="58" spans="2:21" ht="12.75" customHeight="1">
      <c r="B58" s="3" t="s">
        <v>285</v>
      </c>
      <c r="G58" s="245">
        <v>0</v>
      </c>
      <c r="H58" s="245">
        <v>0.03</v>
      </c>
      <c r="I58" s="245">
        <v>0.04</v>
      </c>
      <c r="J58" s="245">
        <v>4.4999999999999998E-2</v>
      </c>
      <c r="K58" s="245">
        <v>0.04</v>
      </c>
      <c r="L58" s="245">
        <v>3.9E-2</v>
      </c>
      <c r="M58" s="246"/>
      <c r="N58" s="245">
        <v>3.9E-2</v>
      </c>
      <c r="O58" s="245">
        <v>0.04</v>
      </c>
      <c r="P58" s="245">
        <v>4.4999999999999998E-2</v>
      </c>
      <c r="Q58" s="246"/>
      <c r="R58" s="245">
        <v>0</v>
      </c>
      <c r="S58" s="245">
        <v>4.5999999999999999E-2</v>
      </c>
      <c r="T58" s="244"/>
      <c r="U58" s="243"/>
    </row>
    <row r="59" spans="2:21" ht="12.75" customHeight="1">
      <c r="B59" s="3" t="str">
        <f>B7</f>
        <v>Net Sales</v>
      </c>
      <c r="G59" s="245" t="s">
        <v>155</v>
      </c>
      <c r="H59" s="247">
        <f>(H7/G7-1)</f>
        <v>9.0909090909090828E-2</v>
      </c>
      <c r="I59" s="247">
        <f>(I7/H7-1)</f>
        <v>0.16666666666666674</v>
      </c>
      <c r="J59" s="247">
        <f>(J7/I7-1)</f>
        <v>0.14285714285714279</v>
      </c>
      <c r="K59" s="247">
        <f>(K7/J7-1)</f>
        <v>0.125</v>
      </c>
      <c r="L59" s="247">
        <f>(L7/K7-1)</f>
        <v>0.11111111111111116</v>
      </c>
      <c r="N59" s="245">
        <v>0.1</v>
      </c>
      <c r="O59" s="247">
        <f>(O7/N7-1)</f>
        <v>0.125</v>
      </c>
      <c r="P59" s="247">
        <f>(P7/O7-1)</f>
        <v>0.11111111111111116</v>
      </c>
      <c r="R59" s="245" t="s">
        <v>155</v>
      </c>
      <c r="S59" s="247">
        <f>(S7/R7-1)</f>
        <v>0.10810810810810811</v>
      </c>
      <c r="T59" s="244"/>
      <c r="U59" s="243"/>
    </row>
    <row r="60" spans="2:21" ht="12.75" customHeight="1">
      <c r="B60" s="3" t="str">
        <f>+B40</f>
        <v>EBITDA</v>
      </c>
      <c r="G60" s="245" t="s">
        <v>155</v>
      </c>
      <c r="H60" s="247">
        <f t="shared" ref="H60:L61" si="30">IF(OR(G40&lt;=0,H40&lt;0),"NM",(H40/G40-1))</f>
        <v>0.19652482269503535</v>
      </c>
      <c r="I60" s="247">
        <f t="shared" si="30"/>
        <v>0.21510283919151219</v>
      </c>
      <c r="J60" s="247">
        <f t="shared" si="30"/>
        <v>0.1682926829268292</v>
      </c>
      <c r="K60" s="247">
        <f t="shared" si="30"/>
        <v>0.2123173277661794</v>
      </c>
      <c r="L60" s="247">
        <f t="shared" si="30"/>
        <v>9.9999999999999867E-2</v>
      </c>
      <c r="M60" s="136"/>
      <c r="N60" s="245">
        <v>0.2</v>
      </c>
      <c r="O60" s="247">
        <f>IF(OR(N40&lt;=0,O40&lt;0),"NM",(O40/N40-1))</f>
        <v>0.31770833333333348</v>
      </c>
      <c r="P60" s="247">
        <f>IF(OR(O40&lt;=0,P40&lt;0),"NM",(P40/O40-1))</f>
        <v>6.0612648221343823E-2</v>
      </c>
      <c r="Q60" s="136"/>
      <c r="R60" s="245" t="s">
        <v>155</v>
      </c>
      <c r="S60" s="247">
        <f>IF(OR(R40&lt;=0,S40&lt;0),"NM",(S40/R40-1))</f>
        <v>5.7652977748690937E-2</v>
      </c>
      <c r="T60" s="244"/>
      <c r="U60" s="243"/>
    </row>
    <row r="61" spans="2:21" ht="12.75" customHeight="1">
      <c r="B61" s="3" t="str">
        <f>+B41</f>
        <v>EBIT</v>
      </c>
      <c r="G61" s="245" t="s">
        <v>155</v>
      </c>
      <c r="H61" s="247">
        <f t="shared" si="30"/>
        <v>2.8368794326241176E-2</v>
      </c>
      <c r="I61" s="247">
        <f t="shared" si="30"/>
        <v>0.24137931034482762</v>
      </c>
      <c r="J61" s="247">
        <f t="shared" si="30"/>
        <v>0.18611111111111089</v>
      </c>
      <c r="K61" s="247">
        <f t="shared" si="30"/>
        <v>0.23348946135831383</v>
      </c>
      <c r="L61" s="247">
        <f t="shared" si="30"/>
        <v>0.10265805961647989</v>
      </c>
      <c r="M61" s="136"/>
      <c r="N61" s="245">
        <v>0.21</v>
      </c>
      <c r="O61" s="247">
        <f>IF(OR(N41&lt;=0,O41&lt;0),"NM",(O41/N41-1))</f>
        <v>0.16666666666666674</v>
      </c>
      <c r="P61" s="247">
        <f>IF(OR(O41&lt;=0,P41&lt;0),"NM",(P41/O41-1))</f>
        <v>5.3571428571428603E-2</v>
      </c>
      <c r="Q61" s="136"/>
      <c r="R61" s="245" t="s">
        <v>155</v>
      </c>
      <c r="S61" s="247">
        <f>IF(OR(R41&lt;=0,S41&lt;0),"NM",(S41/R41-1))</f>
        <v>8.1205085682697575E-2</v>
      </c>
      <c r="T61" s="244"/>
      <c r="U61" s="243"/>
    </row>
    <row r="62" spans="2:21" ht="12.75" customHeight="1">
      <c r="B62" s="3" t="str">
        <f>+B43</f>
        <v>Net Income</v>
      </c>
      <c r="G62" s="245" t="s">
        <v>155</v>
      </c>
      <c r="H62" s="247">
        <f t="shared" ref="H62:L63" si="31">IF(OR(G43&lt;=0,H43&lt;0),"NM",(H43/G43-1))</f>
        <v>-0.29642857142857149</v>
      </c>
      <c r="I62" s="247">
        <f t="shared" si="31"/>
        <v>0.26791878172588834</v>
      </c>
      <c r="J62" s="247">
        <f t="shared" si="31"/>
        <v>0.20212987428937468</v>
      </c>
      <c r="K62" s="247">
        <f t="shared" si="31"/>
        <v>0.24963366059653369</v>
      </c>
      <c r="L62" s="247">
        <f t="shared" si="31"/>
        <v>0.10844826437470823</v>
      </c>
      <c r="M62" s="136"/>
      <c r="N62" s="245">
        <v>0.20399999999999999</v>
      </c>
      <c r="O62" s="247">
        <f>IF(OR(N43&lt;=0,O43&lt;0),"NM",(O43/N43-1))</f>
        <v>0.14285714285714302</v>
      </c>
      <c r="P62" s="247">
        <f>IF(OR(O43&lt;=0,P43&lt;0),"NM",(P43/O43-1))</f>
        <v>8.7499999999999911E-2</v>
      </c>
      <c r="Q62" s="136"/>
      <c r="R62" s="245" t="s">
        <v>155</v>
      </c>
      <c r="S62" s="247">
        <f>IF(OR(R43&lt;=0,S43&lt;0),"NM",(S43/R43-1))</f>
        <v>9.7845415017197457E-2</v>
      </c>
      <c r="T62" s="244"/>
      <c r="U62" s="243"/>
    </row>
    <row r="63" spans="2:21" ht="12.75" customHeight="1">
      <c r="B63" s="3" t="str">
        <f>+B44</f>
        <v>Diluted EPS</v>
      </c>
      <c r="G63" s="245" t="s">
        <v>155</v>
      </c>
      <c r="H63" s="247">
        <f t="shared" si="31"/>
        <v>-0.30319368131868141</v>
      </c>
      <c r="I63" s="247">
        <f t="shared" si="31"/>
        <v>0.24399578584426806</v>
      </c>
      <c r="J63" s="247">
        <f t="shared" si="31"/>
        <v>0.17986820995068276</v>
      </c>
      <c r="K63" s="247">
        <f t="shared" si="31"/>
        <v>0.22691304858568762</v>
      </c>
      <c r="L63" s="247">
        <f t="shared" si="31"/>
        <v>8.8654545368016979E-2</v>
      </c>
      <c r="M63" s="136"/>
      <c r="N63" s="245">
        <v>0.19400000000000001</v>
      </c>
      <c r="O63" s="247">
        <f>IF(OR(N44&lt;=0,O44&lt;0),"NM",(O44/N44-1))</f>
        <v>0.11723254324151222</v>
      </c>
      <c r="P63" s="247">
        <f>IF(OR(O44&lt;=0,P44&lt;0),"NM",(P44/O44-1))</f>
        <v>7.3064159292035136E-2</v>
      </c>
      <c r="Q63" s="136"/>
      <c r="R63" s="245" t="s">
        <v>155</v>
      </c>
      <c r="S63" s="247">
        <f>IF(OR(R44&lt;=0,S44&lt;0),"NM",(S44/R44-1))</f>
        <v>8.0748823459643848E-2</v>
      </c>
      <c r="T63" s="244"/>
      <c r="U63" s="243"/>
    </row>
    <row r="64" spans="2:21" ht="12.75" customHeight="1">
      <c r="B64" s="4"/>
      <c r="C64" s="4"/>
      <c r="D64" s="4"/>
      <c r="E64" s="4"/>
      <c r="F64" s="4"/>
      <c r="G64" s="248"/>
      <c r="H64" s="248"/>
      <c r="I64" s="248"/>
      <c r="J64" s="248"/>
      <c r="K64" s="4"/>
      <c r="L64" s="4"/>
      <c r="M64" s="4"/>
      <c r="N64" s="4"/>
      <c r="O64" s="4"/>
      <c r="P64" s="4"/>
      <c r="Q64" s="4"/>
      <c r="R64" s="4"/>
      <c r="S64" s="4"/>
      <c r="T64" s="4"/>
      <c r="U64" s="249"/>
    </row>
    <row r="65" spans="2:21" ht="12.75" customHeight="1">
      <c r="B65" s="250" t="str">
        <f>"Source: Company's "&amp;YEAR(afye)&amp;" Form 10-K"&amp;IF(aquarter&lt;&gt;4," and Form 10-Q for the period ended "&amp;TEXT(altmdate,"mmmm d, yyyy")&amp;".",".")</f>
        <v>Source: Company's 2018 Form 10-K and Form 10-Q for the period ended March 31, 2019.</v>
      </c>
      <c r="C65" s="156"/>
      <c r="D65" s="251"/>
      <c r="E65" s="251"/>
      <c r="F65" s="251"/>
      <c r="G65" s="156"/>
      <c r="H65" s="156"/>
      <c r="I65" s="156"/>
      <c r="J65" s="156"/>
      <c r="K65" s="156"/>
      <c r="L65" s="156"/>
      <c r="M65" s="156"/>
      <c r="N65" s="156"/>
      <c r="O65" s="156"/>
      <c r="P65" s="252"/>
      <c r="Q65" s="252"/>
      <c r="R65" s="156"/>
      <c r="S65" s="156"/>
      <c r="T65" s="156"/>
      <c r="U65" s="252"/>
    </row>
    <row r="66" spans="2:21" ht="12.75" customHeight="1">
      <c r="B66" s="157" t="s">
        <v>418</v>
      </c>
      <c r="N66" s="160"/>
      <c r="O66" s="160"/>
      <c r="P66" s="160"/>
      <c r="Q66" s="160"/>
      <c r="R66" s="160"/>
      <c r="S66" s="160"/>
      <c r="U66" s="253"/>
    </row>
    <row r="69" spans="2:21" ht="15.75" customHeight="1" thickBot="1">
      <c r="B69" s="254" t="s">
        <v>411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</row>
    <row r="70" spans="2:21" ht="12.75" customHeight="1">
      <c r="B70" s="100" t="s">
        <v>289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</row>
    <row r="71" spans="2:21" s="17" customFormat="1" ht="12.75" customHeight="1">
      <c r="B71" s="10"/>
      <c r="C71" s="10"/>
      <c r="D71" s="10"/>
      <c r="E71" s="10"/>
      <c r="F71" s="10"/>
      <c r="G71" s="178"/>
      <c r="H71" s="178" t="str">
        <f>H$5</f>
        <v>Fiscal Year Ended December 31,</v>
      </c>
      <c r="I71" s="178"/>
      <c r="J71" s="178"/>
      <c r="K71" s="26"/>
      <c r="L71" s="26"/>
      <c r="M71" s="11"/>
      <c r="N71" s="178"/>
      <c r="O71" s="178" t="str">
        <f>O$5</f>
        <v>Three Months Ended</v>
      </c>
      <c r="P71" s="178"/>
      <c r="Q71" s="10"/>
      <c r="R71" s="255"/>
      <c r="S71" s="255"/>
      <c r="T71" s="10"/>
      <c r="U71" s="255"/>
    </row>
    <row r="72" spans="2:21" s="17" customFormat="1" ht="15" customHeight="1">
      <c r="B72" s="256" t="s">
        <v>412</v>
      </c>
      <c r="C72" s="10"/>
      <c r="D72" s="10"/>
      <c r="E72" s="10"/>
      <c r="F72" s="10"/>
      <c r="G72" s="178">
        <f>G$6</f>
        <v>2013</v>
      </c>
      <c r="H72" s="178">
        <f>H$6</f>
        <v>2014</v>
      </c>
      <c r="I72" s="178">
        <f t="shared" ref="I72:P72" si="32">I$6</f>
        <v>2015</v>
      </c>
      <c r="J72" s="178">
        <f t="shared" si="32"/>
        <v>2016</v>
      </c>
      <c r="K72" s="178">
        <f t="shared" si="32"/>
        <v>2017</v>
      </c>
      <c r="L72" s="178">
        <f t="shared" si="32"/>
        <v>2018</v>
      </c>
      <c r="M72" s="257"/>
      <c r="N72" s="258">
        <f t="shared" si="32"/>
        <v>42825</v>
      </c>
      <c r="O72" s="258">
        <f t="shared" si="32"/>
        <v>43190</v>
      </c>
      <c r="P72" s="258">
        <f t="shared" si="32"/>
        <v>43555</v>
      </c>
      <c r="Q72" s="257"/>
      <c r="R72" s="259"/>
      <c r="S72" s="259"/>
      <c r="T72" s="10"/>
      <c r="U72" s="54"/>
    </row>
    <row r="73" spans="2:21" s="17" customFormat="1"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T73" s="10"/>
    </row>
    <row r="74" spans="2:21">
      <c r="B74" s="139" t="s">
        <v>609</v>
      </c>
      <c r="R74" s="4"/>
      <c r="S74" s="4"/>
    </row>
    <row r="75" spans="2:21">
      <c r="B75" s="1" t="s">
        <v>663</v>
      </c>
      <c r="G75" s="201">
        <v>0</v>
      </c>
      <c r="H75" s="201">
        <v>0</v>
      </c>
      <c r="I75" s="201">
        <v>0</v>
      </c>
      <c r="J75" s="201">
        <v>0</v>
      </c>
      <c r="K75" s="201">
        <v>1.3</v>
      </c>
      <c r="L75" s="201">
        <v>0.5</v>
      </c>
      <c r="M75" s="201"/>
      <c r="N75" s="201">
        <v>0</v>
      </c>
      <c r="O75" s="201">
        <v>0</v>
      </c>
      <c r="P75" s="201">
        <v>0</v>
      </c>
      <c r="Q75" s="201"/>
      <c r="R75" s="191"/>
      <c r="S75" s="191"/>
    </row>
    <row r="76" spans="2:21">
      <c r="B76" s="1" t="s">
        <v>366</v>
      </c>
      <c r="G76" s="201">
        <v>0</v>
      </c>
      <c r="H76" s="201">
        <v>0</v>
      </c>
      <c r="I76" s="201">
        <v>0</v>
      </c>
      <c r="J76" s="201">
        <v>0</v>
      </c>
      <c r="K76" s="201">
        <v>0</v>
      </c>
      <c r="L76" s="201">
        <v>0</v>
      </c>
      <c r="M76" s="201"/>
      <c r="N76" s="201">
        <v>0</v>
      </c>
      <c r="O76" s="201">
        <v>0</v>
      </c>
      <c r="P76" s="201">
        <v>0</v>
      </c>
      <c r="Q76" s="201"/>
      <c r="R76" s="191"/>
      <c r="S76" s="191"/>
    </row>
    <row r="77" spans="2:21">
      <c r="B77" s="1" t="s">
        <v>366</v>
      </c>
      <c r="G77" s="190">
        <v>0</v>
      </c>
      <c r="H77" s="190">
        <v>0</v>
      </c>
      <c r="I77" s="190">
        <v>0</v>
      </c>
      <c r="J77" s="190">
        <v>0</v>
      </c>
      <c r="K77" s="190">
        <v>0</v>
      </c>
      <c r="L77" s="190">
        <v>0</v>
      </c>
      <c r="M77" s="201"/>
      <c r="N77" s="190">
        <v>0</v>
      </c>
      <c r="O77" s="190">
        <v>0</v>
      </c>
      <c r="P77" s="190">
        <v>0</v>
      </c>
      <c r="Q77" s="201"/>
      <c r="R77" s="191"/>
      <c r="S77" s="191"/>
    </row>
    <row r="78" spans="2:21">
      <c r="B78" s="151" t="s">
        <v>67</v>
      </c>
      <c r="G78" s="260">
        <f t="shared" ref="G78:L78" si="33">SUM(G75:G77)</f>
        <v>0</v>
      </c>
      <c r="H78" s="260">
        <f t="shared" si="33"/>
        <v>0</v>
      </c>
      <c r="I78" s="260">
        <f t="shared" si="33"/>
        <v>0</v>
      </c>
      <c r="J78" s="260">
        <f t="shared" si="33"/>
        <v>0</v>
      </c>
      <c r="K78" s="260">
        <f t="shared" si="33"/>
        <v>1.3</v>
      </c>
      <c r="L78" s="260">
        <f t="shared" si="33"/>
        <v>0.5</v>
      </c>
      <c r="M78" s="190"/>
      <c r="N78" s="260">
        <f>SUM(N75:N77)</f>
        <v>0</v>
      </c>
      <c r="O78" s="260">
        <f>SUM(O75:O77)</f>
        <v>0</v>
      </c>
      <c r="P78" s="260">
        <f>SUM(P75:P77)</f>
        <v>0</v>
      </c>
      <c r="Q78" s="201"/>
      <c r="R78" s="68"/>
      <c r="S78" s="68"/>
    </row>
    <row r="79" spans="2:21">
      <c r="B79" s="1"/>
      <c r="G79" s="261"/>
      <c r="H79" s="261"/>
      <c r="I79" s="261"/>
      <c r="J79" s="261"/>
      <c r="K79" s="261"/>
      <c r="L79" s="261"/>
      <c r="M79" s="261"/>
      <c r="N79" s="261"/>
      <c r="O79" s="261"/>
      <c r="P79" s="261"/>
      <c r="Q79" s="261"/>
      <c r="R79" s="262"/>
      <c r="S79" s="262"/>
    </row>
    <row r="80" spans="2:21">
      <c r="B80" s="139" t="s">
        <v>610</v>
      </c>
      <c r="C80" s="139"/>
      <c r="G80" s="261"/>
      <c r="H80" s="261"/>
      <c r="I80" s="261"/>
      <c r="J80" s="261"/>
      <c r="K80" s="261"/>
      <c r="L80" s="261"/>
      <c r="M80" s="261"/>
      <c r="N80" s="261"/>
      <c r="O80" s="261"/>
      <c r="P80" s="261"/>
      <c r="Q80" s="261"/>
      <c r="R80" s="262"/>
      <c r="S80" s="262"/>
    </row>
    <row r="81" spans="2:19">
      <c r="B81" s="1" t="s">
        <v>664</v>
      </c>
      <c r="G81" s="201">
        <v>0</v>
      </c>
      <c r="H81" s="201">
        <v>0</v>
      </c>
      <c r="I81" s="201">
        <v>0</v>
      </c>
      <c r="J81" s="201">
        <v>0</v>
      </c>
      <c r="K81" s="201">
        <v>0.5</v>
      </c>
      <c r="L81" s="201">
        <v>1</v>
      </c>
      <c r="M81" s="201"/>
      <c r="N81" s="201">
        <v>0</v>
      </c>
      <c r="O81" s="201">
        <v>0</v>
      </c>
      <c r="P81" s="201">
        <v>0</v>
      </c>
      <c r="Q81" s="201"/>
      <c r="R81" s="191"/>
      <c r="S81" s="191"/>
    </row>
    <row r="82" spans="2:19">
      <c r="B82" s="1" t="s">
        <v>366</v>
      </c>
      <c r="G82" s="201">
        <v>0</v>
      </c>
      <c r="H82" s="201">
        <v>0</v>
      </c>
      <c r="I82" s="201">
        <v>0</v>
      </c>
      <c r="J82" s="201">
        <v>0</v>
      </c>
      <c r="K82" s="201">
        <v>0</v>
      </c>
      <c r="L82" s="201">
        <v>0</v>
      </c>
      <c r="M82" s="201"/>
      <c r="N82" s="201">
        <v>0</v>
      </c>
      <c r="O82" s="201">
        <v>0</v>
      </c>
      <c r="P82" s="201">
        <v>0</v>
      </c>
      <c r="Q82" s="201"/>
      <c r="R82" s="191"/>
      <c r="S82" s="191"/>
    </row>
    <row r="83" spans="2:19">
      <c r="B83" s="1" t="s">
        <v>366</v>
      </c>
      <c r="G83" s="190">
        <v>0</v>
      </c>
      <c r="H83" s="190">
        <v>0</v>
      </c>
      <c r="I83" s="190">
        <v>0</v>
      </c>
      <c r="J83" s="190">
        <v>0</v>
      </c>
      <c r="K83" s="190">
        <v>0</v>
      </c>
      <c r="L83" s="190">
        <v>0</v>
      </c>
      <c r="M83" s="201"/>
      <c r="N83" s="190">
        <v>0</v>
      </c>
      <c r="O83" s="190">
        <v>0</v>
      </c>
      <c r="P83" s="190">
        <v>0</v>
      </c>
      <c r="Q83" s="201"/>
      <c r="R83" s="191"/>
      <c r="S83" s="191"/>
    </row>
    <row r="84" spans="2:19">
      <c r="B84" s="151" t="s">
        <v>67</v>
      </c>
      <c r="G84" s="260">
        <f t="shared" ref="G84:L84" si="34">SUM(G81:G83)</f>
        <v>0</v>
      </c>
      <c r="H84" s="260">
        <f t="shared" si="34"/>
        <v>0</v>
      </c>
      <c r="I84" s="260">
        <f t="shared" si="34"/>
        <v>0</v>
      </c>
      <c r="J84" s="260">
        <f t="shared" si="34"/>
        <v>0</v>
      </c>
      <c r="K84" s="260">
        <f t="shared" si="34"/>
        <v>0.5</v>
      </c>
      <c r="L84" s="260">
        <f t="shared" si="34"/>
        <v>1</v>
      </c>
      <c r="M84" s="190"/>
      <c r="N84" s="260">
        <f>SUM(N81:N83)</f>
        <v>0</v>
      </c>
      <c r="O84" s="260">
        <f>SUM(O81:O83)</f>
        <v>0</v>
      </c>
      <c r="P84" s="260">
        <f>SUM(P81:P83)</f>
        <v>0</v>
      </c>
      <c r="Q84" s="201"/>
      <c r="R84" s="68"/>
      <c r="S84" s="68"/>
    </row>
    <row r="85" spans="2:19">
      <c r="B85" s="1"/>
      <c r="G85" s="261"/>
      <c r="H85" s="261"/>
      <c r="I85" s="261"/>
      <c r="J85" s="261"/>
      <c r="K85" s="261"/>
      <c r="L85" s="261"/>
      <c r="M85" s="261"/>
      <c r="N85" s="261"/>
      <c r="O85" s="261"/>
      <c r="P85" s="261"/>
      <c r="Q85" s="261"/>
      <c r="R85" s="262"/>
      <c r="S85" s="262"/>
    </row>
    <row r="86" spans="2:19">
      <c r="B86" s="139" t="s">
        <v>611</v>
      </c>
      <c r="G86" s="261"/>
      <c r="H86" s="261"/>
      <c r="I86" s="261"/>
      <c r="J86" s="261"/>
      <c r="K86" s="261"/>
      <c r="L86" s="261"/>
      <c r="M86" s="261"/>
      <c r="N86" s="261"/>
      <c r="O86" s="261"/>
      <c r="P86" s="261"/>
      <c r="Q86" s="261"/>
      <c r="R86" s="262"/>
      <c r="S86" s="262"/>
    </row>
    <row r="87" spans="2:19">
      <c r="B87" s="1" t="s">
        <v>366</v>
      </c>
      <c r="G87" s="201">
        <v>0</v>
      </c>
      <c r="H87" s="201">
        <v>0</v>
      </c>
      <c r="I87" s="201">
        <v>0</v>
      </c>
      <c r="J87" s="201">
        <v>0</v>
      </c>
      <c r="K87" s="201">
        <v>0</v>
      </c>
      <c r="L87" s="201">
        <v>0</v>
      </c>
      <c r="M87" s="201"/>
      <c r="N87" s="201">
        <v>0</v>
      </c>
      <c r="O87" s="201">
        <v>0</v>
      </c>
      <c r="P87" s="201">
        <v>0</v>
      </c>
      <c r="Q87" s="201"/>
      <c r="R87" s="191"/>
      <c r="S87" s="191"/>
    </row>
    <row r="88" spans="2:19">
      <c r="B88" s="1" t="s">
        <v>366</v>
      </c>
      <c r="G88" s="201">
        <v>0</v>
      </c>
      <c r="H88" s="201">
        <v>0</v>
      </c>
      <c r="I88" s="201">
        <v>0</v>
      </c>
      <c r="J88" s="201">
        <v>0</v>
      </c>
      <c r="K88" s="201">
        <v>0</v>
      </c>
      <c r="L88" s="201">
        <v>0</v>
      </c>
      <c r="M88" s="201"/>
      <c r="N88" s="201">
        <v>0</v>
      </c>
      <c r="O88" s="201">
        <v>0</v>
      </c>
      <c r="P88" s="201">
        <v>0</v>
      </c>
      <c r="Q88" s="201"/>
      <c r="R88" s="191"/>
      <c r="S88" s="191"/>
    </row>
    <row r="89" spans="2:19">
      <c r="B89" s="1" t="s">
        <v>366</v>
      </c>
      <c r="G89" s="190">
        <v>0</v>
      </c>
      <c r="H89" s="190">
        <v>0</v>
      </c>
      <c r="I89" s="190">
        <v>0</v>
      </c>
      <c r="J89" s="190">
        <v>0</v>
      </c>
      <c r="K89" s="190">
        <v>0</v>
      </c>
      <c r="L89" s="190">
        <v>0</v>
      </c>
      <c r="M89" s="201"/>
      <c r="N89" s="190">
        <v>0</v>
      </c>
      <c r="O89" s="190">
        <v>0</v>
      </c>
      <c r="P89" s="190">
        <v>0</v>
      </c>
      <c r="Q89" s="201"/>
      <c r="R89" s="191"/>
      <c r="S89" s="191"/>
    </row>
    <row r="90" spans="2:19">
      <c r="B90" s="151" t="s">
        <v>67</v>
      </c>
      <c r="G90" s="260">
        <f t="shared" ref="G90:L90" si="35">SUM(G87:G89)</f>
        <v>0</v>
      </c>
      <c r="H90" s="260">
        <f t="shared" si="35"/>
        <v>0</v>
      </c>
      <c r="I90" s="260">
        <f t="shared" si="35"/>
        <v>0</v>
      </c>
      <c r="J90" s="260">
        <f t="shared" si="35"/>
        <v>0</v>
      </c>
      <c r="K90" s="260">
        <f t="shared" si="35"/>
        <v>0</v>
      </c>
      <c r="L90" s="260">
        <f t="shared" si="35"/>
        <v>0</v>
      </c>
      <c r="M90" s="190"/>
      <c r="N90" s="260">
        <f>SUM(N87:N89)</f>
        <v>0</v>
      </c>
      <c r="O90" s="260">
        <f>SUM(O87:O89)</f>
        <v>0</v>
      </c>
      <c r="P90" s="260">
        <f>SUM(P87:P89)</f>
        <v>0</v>
      </c>
      <c r="Q90" s="201"/>
      <c r="R90" s="68"/>
      <c r="S90" s="68"/>
    </row>
    <row r="91" spans="2:19">
      <c r="B91" s="151"/>
      <c r="G91" s="68"/>
      <c r="H91" s="68"/>
      <c r="I91" s="68"/>
      <c r="J91" s="68"/>
      <c r="K91" s="68"/>
      <c r="L91" s="68"/>
      <c r="M91" s="190"/>
      <c r="N91" s="68"/>
      <c r="O91" s="68"/>
      <c r="P91" s="68"/>
      <c r="Q91" s="201"/>
      <c r="R91" s="68"/>
      <c r="S91" s="68"/>
    </row>
    <row r="92" spans="2:19">
      <c r="B92" s="151" t="s">
        <v>640</v>
      </c>
      <c r="G92" s="260">
        <f>SUM(G90,G84,G78)</f>
        <v>0</v>
      </c>
      <c r="H92" s="260">
        <f>SUM(H90,H84,H78)</f>
        <v>0</v>
      </c>
      <c r="I92" s="260">
        <f t="shared" ref="I92:P92" si="36">SUM(I90,I84,I78)</f>
        <v>0</v>
      </c>
      <c r="J92" s="260">
        <f t="shared" si="36"/>
        <v>0</v>
      </c>
      <c r="K92" s="260">
        <f t="shared" si="36"/>
        <v>1.8</v>
      </c>
      <c r="L92" s="260">
        <f t="shared" si="36"/>
        <v>1.5</v>
      </c>
      <c r="M92" s="190"/>
      <c r="N92" s="260">
        <f>SUM(N90,N84,N78)</f>
        <v>0</v>
      </c>
      <c r="O92" s="260">
        <f t="shared" si="36"/>
        <v>0</v>
      </c>
      <c r="P92" s="260">
        <f t="shared" si="36"/>
        <v>0</v>
      </c>
      <c r="Q92" s="201"/>
      <c r="R92" s="68"/>
      <c r="S92" s="68"/>
    </row>
    <row r="93" spans="2:19">
      <c r="B93" s="1"/>
      <c r="G93" s="261"/>
      <c r="H93" s="261"/>
      <c r="I93" s="261"/>
      <c r="J93" s="261"/>
      <c r="K93" s="261"/>
      <c r="L93" s="261"/>
      <c r="M93" s="261"/>
      <c r="N93" s="261"/>
      <c r="O93" s="261"/>
      <c r="P93" s="261"/>
      <c r="Q93" s="261"/>
      <c r="R93" s="262"/>
      <c r="S93" s="262"/>
    </row>
    <row r="94" spans="2:19">
      <c r="B94" s="139" t="s">
        <v>612</v>
      </c>
      <c r="G94" s="261"/>
      <c r="H94" s="261"/>
      <c r="I94" s="261"/>
      <c r="J94" s="261"/>
      <c r="K94" s="261"/>
      <c r="L94" s="261"/>
      <c r="M94" s="261"/>
      <c r="N94" s="261"/>
      <c r="O94" s="261"/>
      <c r="P94" s="261"/>
      <c r="Q94" s="261"/>
      <c r="R94" s="262"/>
      <c r="S94" s="262"/>
    </row>
    <row r="95" spans="2:19">
      <c r="B95" s="1" t="s">
        <v>366</v>
      </c>
      <c r="G95" s="201">
        <v>0</v>
      </c>
      <c r="H95" s="201">
        <v>0</v>
      </c>
      <c r="I95" s="201">
        <v>0</v>
      </c>
      <c r="J95" s="201">
        <v>0</v>
      </c>
      <c r="K95" s="201">
        <v>0</v>
      </c>
      <c r="L95" s="201">
        <v>0</v>
      </c>
      <c r="M95" s="201"/>
      <c r="N95" s="201">
        <v>0</v>
      </c>
      <c r="O95" s="201">
        <v>0</v>
      </c>
      <c r="P95" s="201">
        <v>0</v>
      </c>
      <c r="Q95" s="201"/>
      <c r="R95" s="191"/>
      <c r="S95" s="191"/>
    </row>
    <row r="96" spans="2:19">
      <c r="B96" s="1" t="s">
        <v>366</v>
      </c>
      <c r="G96" s="201">
        <v>0</v>
      </c>
      <c r="H96" s="201">
        <v>0</v>
      </c>
      <c r="I96" s="201">
        <v>0</v>
      </c>
      <c r="J96" s="201">
        <v>0</v>
      </c>
      <c r="K96" s="201">
        <v>0</v>
      </c>
      <c r="L96" s="201">
        <v>0</v>
      </c>
      <c r="M96" s="201"/>
      <c r="N96" s="201">
        <v>0</v>
      </c>
      <c r="O96" s="201">
        <v>0</v>
      </c>
      <c r="P96" s="201">
        <v>0</v>
      </c>
      <c r="Q96" s="201"/>
      <c r="R96" s="191"/>
      <c r="S96" s="191"/>
    </row>
    <row r="97" spans="2:21">
      <c r="B97" s="1" t="s">
        <v>366</v>
      </c>
      <c r="G97" s="190">
        <v>0</v>
      </c>
      <c r="H97" s="190">
        <v>0</v>
      </c>
      <c r="I97" s="190">
        <v>0</v>
      </c>
      <c r="J97" s="190">
        <v>0</v>
      </c>
      <c r="K97" s="190">
        <v>0</v>
      </c>
      <c r="L97" s="190">
        <v>0</v>
      </c>
      <c r="M97" s="201"/>
      <c r="N97" s="190">
        <v>0</v>
      </c>
      <c r="O97" s="190">
        <v>0</v>
      </c>
      <c r="P97" s="190">
        <v>0</v>
      </c>
      <c r="Q97" s="201"/>
      <c r="R97" s="191"/>
      <c r="S97" s="191"/>
    </row>
    <row r="98" spans="2:21">
      <c r="B98" s="151" t="s">
        <v>641</v>
      </c>
      <c r="G98" s="260">
        <f t="shared" ref="G98:L98" si="37">SUM(G95:G97)</f>
        <v>0</v>
      </c>
      <c r="H98" s="260">
        <f t="shared" si="37"/>
        <v>0</v>
      </c>
      <c r="I98" s="260">
        <f t="shared" si="37"/>
        <v>0</v>
      </c>
      <c r="J98" s="260">
        <f t="shared" si="37"/>
        <v>0</v>
      </c>
      <c r="K98" s="260">
        <f t="shared" si="37"/>
        <v>0</v>
      </c>
      <c r="L98" s="260">
        <f t="shared" si="37"/>
        <v>0</v>
      </c>
      <c r="M98" s="190"/>
      <c r="N98" s="260">
        <f>SUM(N95:N97)</f>
        <v>0</v>
      </c>
      <c r="O98" s="260">
        <f>SUM(O95:O97)</f>
        <v>0</v>
      </c>
      <c r="P98" s="260">
        <f>SUM(P95:P97)</f>
        <v>0</v>
      </c>
      <c r="Q98" s="201"/>
      <c r="R98" s="68"/>
      <c r="S98" s="68"/>
    </row>
    <row r="99" spans="2:21">
      <c r="B99" s="1"/>
      <c r="G99" s="261"/>
      <c r="H99" s="261"/>
      <c r="I99" s="261"/>
      <c r="J99" s="261"/>
      <c r="K99" s="261"/>
      <c r="L99" s="261"/>
      <c r="M99" s="261"/>
      <c r="N99" s="261"/>
      <c r="O99" s="261"/>
      <c r="P99" s="261"/>
      <c r="Q99" s="261"/>
      <c r="R99" s="262"/>
      <c r="S99" s="262"/>
    </row>
    <row r="100" spans="2:21">
      <c r="B100" s="151" t="s">
        <v>438</v>
      </c>
      <c r="G100" s="260">
        <f>SUM(G98,G92)</f>
        <v>0</v>
      </c>
      <c r="H100" s="260">
        <f>SUM(H98,H92)</f>
        <v>0</v>
      </c>
      <c r="I100" s="260">
        <f t="shared" ref="I100:P100" si="38">SUM(I98,I92)</f>
        <v>0</v>
      </c>
      <c r="J100" s="260">
        <f t="shared" si="38"/>
        <v>0</v>
      </c>
      <c r="K100" s="260">
        <f t="shared" si="38"/>
        <v>1.8</v>
      </c>
      <c r="L100" s="260">
        <f t="shared" si="38"/>
        <v>1.5</v>
      </c>
      <c r="M100" s="190"/>
      <c r="N100" s="260">
        <f>SUM(N98,N92)</f>
        <v>0</v>
      </c>
      <c r="O100" s="260">
        <f t="shared" si="38"/>
        <v>0</v>
      </c>
      <c r="P100" s="260">
        <f t="shared" si="38"/>
        <v>0</v>
      </c>
      <c r="Q100" s="261"/>
      <c r="R100" s="262"/>
      <c r="S100" s="262"/>
    </row>
    <row r="101" spans="2:21">
      <c r="B101" s="1"/>
      <c r="G101" s="261"/>
      <c r="H101" s="261"/>
      <c r="I101" s="261"/>
      <c r="J101" s="261"/>
      <c r="K101" s="261"/>
      <c r="L101" s="261"/>
      <c r="M101" s="261"/>
      <c r="N101" s="261"/>
      <c r="O101" s="261"/>
      <c r="P101" s="261"/>
      <c r="Q101" s="261"/>
      <c r="R101" s="262"/>
      <c r="S101" s="262"/>
    </row>
    <row r="102" spans="2:21" s="267" customFormat="1">
      <c r="B102" s="263" t="s">
        <v>169</v>
      </c>
      <c r="C102" s="263"/>
      <c r="D102" s="263"/>
      <c r="E102" s="263"/>
      <c r="F102" s="263"/>
      <c r="G102" s="264">
        <v>0</v>
      </c>
      <c r="H102" s="264">
        <v>0.25</v>
      </c>
      <c r="I102" s="264">
        <v>0.25</v>
      </c>
      <c r="J102" s="264">
        <v>0.25</v>
      </c>
      <c r="K102" s="264">
        <v>0.25</v>
      </c>
      <c r="L102" s="264">
        <v>0.25</v>
      </c>
      <c r="M102" s="265"/>
      <c r="N102" s="264">
        <v>0</v>
      </c>
      <c r="O102" s="264">
        <v>0</v>
      </c>
      <c r="P102" s="264">
        <v>0</v>
      </c>
      <c r="Q102" s="265"/>
      <c r="R102" s="266"/>
      <c r="S102" s="266"/>
      <c r="T102" s="263"/>
      <c r="U102" s="263"/>
    </row>
    <row r="103" spans="2:21">
      <c r="B103" s="151" t="s">
        <v>613</v>
      </c>
      <c r="G103" s="161">
        <f t="shared" ref="G103:L103" si="39">G100*G102</f>
        <v>0</v>
      </c>
      <c r="H103" s="161">
        <f t="shared" si="39"/>
        <v>0</v>
      </c>
      <c r="I103" s="161">
        <f t="shared" si="39"/>
        <v>0</v>
      </c>
      <c r="J103" s="161">
        <f t="shared" si="39"/>
        <v>0</v>
      </c>
      <c r="K103" s="161">
        <f t="shared" si="39"/>
        <v>0.45</v>
      </c>
      <c r="L103" s="161">
        <f t="shared" si="39"/>
        <v>0.375</v>
      </c>
      <c r="M103" s="161"/>
      <c r="N103" s="161">
        <f>N100*N102</f>
        <v>0</v>
      </c>
      <c r="O103" s="161">
        <f>O100*O102</f>
        <v>0</v>
      </c>
      <c r="P103" s="161">
        <f>P100*P102</f>
        <v>0</v>
      </c>
      <c r="Q103" s="161"/>
      <c r="R103" s="68"/>
      <c r="S103" s="68"/>
    </row>
    <row r="104" spans="2:21"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68"/>
      <c r="S104" s="68"/>
    </row>
    <row r="105" spans="2:21">
      <c r="B105" s="151" t="s">
        <v>290</v>
      </c>
      <c r="G105" s="161">
        <f>+G100-G103</f>
        <v>0</v>
      </c>
      <c r="H105" s="161">
        <f>+H100-H103</f>
        <v>0</v>
      </c>
      <c r="I105" s="161">
        <f t="shared" ref="I105:P105" si="40">+I100-I103</f>
        <v>0</v>
      </c>
      <c r="J105" s="161">
        <f t="shared" si="40"/>
        <v>0</v>
      </c>
      <c r="K105" s="161">
        <f t="shared" si="40"/>
        <v>1.35</v>
      </c>
      <c r="L105" s="161">
        <f t="shared" si="40"/>
        <v>1.125</v>
      </c>
      <c r="M105" s="161"/>
      <c r="N105" s="161">
        <f>+N100-N103</f>
        <v>0</v>
      </c>
      <c r="O105" s="161">
        <f t="shared" si="40"/>
        <v>0</v>
      </c>
      <c r="P105" s="161">
        <f t="shared" si="40"/>
        <v>0</v>
      </c>
      <c r="Q105" s="161"/>
      <c r="R105" s="68"/>
      <c r="S105" s="68"/>
    </row>
    <row r="108" spans="2:21" ht="15.75" customHeight="1" thickBot="1">
      <c r="B108" s="254" t="s">
        <v>447</v>
      </c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</row>
    <row r="109" spans="2:21" ht="12.75" customHeight="1">
      <c r="B109" s="100" t="s">
        <v>289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</row>
    <row r="110" spans="2:21" s="17" customFormat="1" ht="12.75" customHeight="1">
      <c r="B110" s="10"/>
      <c r="C110" s="10"/>
      <c r="D110" s="10"/>
      <c r="E110" s="10"/>
      <c r="F110" s="10"/>
      <c r="G110" s="178"/>
      <c r="H110" s="178" t="str">
        <f>H$5</f>
        <v>Fiscal Year Ended December 31,</v>
      </c>
      <c r="I110" s="178"/>
      <c r="J110" s="178"/>
      <c r="K110" s="26"/>
      <c r="L110" s="26"/>
      <c r="M110" s="11"/>
      <c r="N110" s="178"/>
      <c r="O110" s="178" t="str">
        <f>O$5</f>
        <v>Three Months Ended</v>
      </c>
      <c r="P110" s="178"/>
      <c r="Q110" s="10"/>
      <c r="R110" s="255"/>
      <c r="S110" s="255"/>
      <c r="T110" s="10"/>
      <c r="U110" s="255"/>
    </row>
    <row r="111" spans="2:21" s="17" customFormat="1" ht="15" customHeight="1">
      <c r="B111" s="256" t="s">
        <v>412</v>
      </c>
      <c r="C111" s="10"/>
      <c r="D111" s="10"/>
      <c r="E111" s="10"/>
      <c r="F111" s="10"/>
      <c r="G111" s="178">
        <f>G$6</f>
        <v>2013</v>
      </c>
      <c r="H111" s="178">
        <f>H$6</f>
        <v>2014</v>
      </c>
      <c r="I111" s="178">
        <f t="shared" ref="I111:P111" si="41">I$6</f>
        <v>2015</v>
      </c>
      <c r="J111" s="178">
        <f t="shared" si="41"/>
        <v>2016</v>
      </c>
      <c r="K111" s="178">
        <f t="shared" si="41"/>
        <v>2017</v>
      </c>
      <c r="L111" s="178">
        <f t="shared" si="41"/>
        <v>2018</v>
      </c>
      <c r="M111" s="257"/>
      <c r="N111" s="258">
        <f t="shared" si="41"/>
        <v>42825</v>
      </c>
      <c r="O111" s="258">
        <f t="shared" si="41"/>
        <v>43190</v>
      </c>
      <c r="P111" s="258">
        <f t="shared" si="41"/>
        <v>43555</v>
      </c>
      <c r="Q111" s="257"/>
      <c r="R111" s="259"/>
      <c r="S111" s="259"/>
      <c r="T111" s="10"/>
      <c r="U111" s="54"/>
    </row>
    <row r="112" spans="2:21" s="17" customFormat="1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T112" s="10"/>
    </row>
    <row r="113" spans="2:21">
      <c r="B113" s="1" t="s">
        <v>448</v>
      </c>
      <c r="G113" s="201">
        <v>0</v>
      </c>
      <c r="H113" s="201">
        <v>1.1000000000000001</v>
      </c>
      <c r="I113" s="201">
        <v>1.3</v>
      </c>
      <c r="J113" s="201">
        <v>1.5</v>
      </c>
      <c r="K113" s="201">
        <v>1.7</v>
      </c>
      <c r="L113" s="201">
        <v>1.9</v>
      </c>
      <c r="M113" s="201"/>
      <c r="N113" s="201">
        <v>0</v>
      </c>
      <c r="O113" s="201">
        <v>0</v>
      </c>
      <c r="P113" s="201">
        <v>0</v>
      </c>
      <c r="Q113" s="201"/>
      <c r="R113" s="191"/>
      <c r="S113" s="191"/>
    </row>
    <row r="114" spans="2:21">
      <c r="B114" s="1" t="s">
        <v>366</v>
      </c>
      <c r="G114" s="201">
        <v>0</v>
      </c>
      <c r="H114" s="201">
        <v>0</v>
      </c>
      <c r="I114" s="201">
        <v>0</v>
      </c>
      <c r="J114" s="201">
        <v>0</v>
      </c>
      <c r="K114" s="201">
        <v>0</v>
      </c>
      <c r="L114" s="201">
        <v>0</v>
      </c>
      <c r="M114" s="201"/>
      <c r="N114" s="201">
        <v>0</v>
      </c>
      <c r="O114" s="201">
        <v>0</v>
      </c>
      <c r="P114" s="201">
        <v>0</v>
      </c>
      <c r="Q114" s="201"/>
      <c r="R114" s="191"/>
      <c r="S114" s="191"/>
    </row>
    <row r="115" spans="2:21">
      <c r="B115" s="1" t="s">
        <v>366</v>
      </c>
      <c r="G115" s="190">
        <v>0</v>
      </c>
      <c r="H115" s="190">
        <v>0</v>
      </c>
      <c r="I115" s="190">
        <v>0</v>
      </c>
      <c r="J115" s="190">
        <v>0</v>
      </c>
      <c r="K115" s="190">
        <v>0</v>
      </c>
      <c r="L115" s="190">
        <v>0</v>
      </c>
      <c r="M115" s="201"/>
      <c r="N115" s="190">
        <v>0</v>
      </c>
      <c r="O115" s="190">
        <v>0</v>
      </c>
      <c r="P115" s="190">
        <v>0</v>
      </c>
      <c r="Q115" s="201"/>
      <c r="R115" s="191"/>
      <c r="S115" s="191"/>
    </row>
    <row r="116" spans="2:21">
      <c r="B116" s="151" t="s">
        <v>67</v>
      </c>
      <c r="G116" s="260">
        <f t="shared" ref="G116:L116" si="42">SUM(G113:G115)</f>
        <v>0</v>
      </c>
      <c r="H116" s="260">
        <f t="shared" si="42"/>
        <v>1.1000000000000001</v>
      </c>
      <c r="I116" s="260">
        <f t="shared" si="42"/>
        <v>1.3</v>
      </c>
      <c r="J116" s="260">
        <f t="shared" si="42"/>
        <v>1.5</v>
      </c>
      <c r="K116" s="260">
        <f t="shared" si="42"/>
        <v>1.7</v>
      </c>
      <c r="L116" s="260">
        <f t="shared" si="42"/>
        <v>1.9</v>
      </c>
      <c r="M116" s="190"/>
      <c r="N116" s="260">
        <f>SUM(N113:N115)</f>
        <v>0</v>
      </c>
      <c r="O116" s="260">
        <f>SUM(O113:O115)</f>
        <v>0</v>
      </c>
      <c r="P116" s="260">
        <f>SUM(P113:P115)</f>
        <v>0</v>
      </c>
      <c r="Q116" s="201"/>
      <c r="R116" s="68"/>
      <c r="S116" s="68"/>
    </row>
    <row r="117" spans="2:21">
      <c r="B117" s="1"/>
      <c r="G117" s="261"/>
      <c r="H117" s="261"/>
      <c r="I117" s="261"/>
      <c r="J117" s="261"/>
      <c r="K117" s="261"/>
      <c r="L117" s="261"/>
      <c r="M117" s="261"/>
      <c r="N117" s="261"/>
      <c r="O117" s="261"/>
      <c r="P117" s="261"/>
      <c r="Q117" s="261"/>
      <c r="R117" s="262"/>
      <c r="S117" s="262"/>
    </row>
    <row r="119" spans="2:21" ht="15.75" customHeight="1" thickBot="1">
      <c r="B119" s="254" t="s">
        <v>291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</row>
    <row r="120" spans="2:21">
      <c r="B120" s="100" t="s">
        <v>289</v>
      </c>
    </row>
    <row r="121" spans="2:21">
      <c r="B121" s="100"/>
    </row>
    <row r="122" spans="2:21">
      <c r="B122" s="3" t="s">
        <v>190</v>
      </c>
      <c r="G122" s="153">
        <f t="shared" ref="G122:L122" si="43">+G21</f>
        <v>14</v>
      </c>
      <c r="H122" s="153">
        <f t="shared" si="43"/>
        <v>9.85</v>
      </c>
      <c r="I122" s="153">
        <f t="shared" si="43"/>
        <v>12.489000000000001</v>
      </c>
      <c r="J122" s="153">
        <f t="shared" si="43"/>
        <v>15.013400000000001</v>
      </c>
      <c r="K122" s="153">
        <f t="shared" si="43"/>
        <v>17.411249999999999</v>
      </c>
      <c r="L122" s="153">
        <f t="shared" si="43"/>
        <v>19.670874999999995</v>
      </c>
      <c r="M122" s="153"/>
      <c r="N122" s="153">
        <f>+N21</f>
        <v>3.5</v>
      </c>
      <c r="O122" s="153">
        <f>+O21</f>
        <v>4.0000000000000009</v>
      </c>
      <c r="P122" s="153">
        <f>+P21</f>
        <v>4.3500000000000005</v>
      </c>
      <c r="Q122" s="153"/>
      <c r="R122" s="153">
        <f>+R21</f>
        <v>17.911249999999999</v>
      </c>
      <c r="S122" s="153">
        <f>+S21</f>
        <v>20.020874999999997</v>
      </c>
    </row>
    <row r="123" spans="2:21">
      <c r="B123" s="3" t="s">
        <v>440</v>
      </c>
      <c r="G123" s="268">
        <f t="shared" ref="G123:L123" si="44">-G20</f>
        <v>0</v>
      </c>
      <c r="H123" s="268">
        <f t="shared" si="44"/>
        <v>0</v>
      </c>
      <c r="I123" s="268">
        <f t="shared" si="44"/>
        <v>0</v>
      </c>
      <c r="J123" s="268">
        <f t="shared" si="44"/>
        <v>0</v>
      </c>
      <c r="K123" s="268">
        <f t="shared" si="44"/>
        <v>0</v>
      </c>
      <c r="L123" s="268">
        <f t="shared" si="44"/>
        <v>0</v>
      </c>
      <c r="M123" s="68"/>
      <c r="N123" s="268">
        <f>-N20</f>
        <v>0</v>
      </c>
      <c r="O123" s="268">
        <f>-O20</f>
        <v>0</v>
      </c>
      <c r="P123" s="268">
        <f>-P20</f>
        <v>0</v>
      </c>
      <c r="Q123" s="68"/>
      <c r="R123" s="268">
        <f>-R20</f>
        <v>0</v>
      </c>
      <c r="S123" s="268">
        <f>-S20</f>
        <v>0</v>
      </c>
    </row>
    <row r="124" spans="2:21">
      <c r="B124" s="3" t="s">
        <v>439</v>
      </c>
      <c r="G124" s="161">
        <f t="shared" ref="G124:L124" si="45">SUM(G122:G123)</f>
        <v>14</v>
      </c>
      <c r="H124" s="161">
        <f t="shared" si="45"/>
        <v>9.85</v>
      </c>
      <c r="I124" s="161">
        <f t="shared" si="45"/>
        <v>12.489000000000001</v>
      </c>
      <c r="J124" s="161">
        <f t="shared" si="45"/>
        <v>15.013400000000001</v>
      </c>
      <c r="K124" s="161">
        <f t="shared" si="45"/>
        <v>17.411249999999999</v>
      </c>
      <c r="L124" s="161">
        <f t="shared" si="45"/>
        <v>19.670874999999995</v>
      </c>
      <c r="M124" s="161"/>
      <c r="N124" s="161">
        <f>SUM(N122:N123)</f>
        <v>3.5</v>
      </c>
      <c r="O124" s="161">
        <f>SUM(O122:O123)</f>
        <v>4.0000000000000009</v>
      </c>
      <c r="P124" s="161">
        <f>SUM(P122:P123)</f>
        <v>4.3500000000000005</v>
      </c>
      <c r="Q124" s="161"/>
      <c r="R124" s="161">
        <f>SUM(R122:R123)</f>
        <v>17.911249999999999</v>
      </c>
      <c r="S124" s="161">
        <f>SUM(S122:S123)</f>
        <v>20.020874999999997</v>
      </c>
    </row>
    <row r="125" spans="2:21">
      <c r="B125" s="3" t="s">
        <v>441</v>
      </c>
      <c r="G125" s="268">
        <f t="shared" ref="G125:L125" si="46">+G18</f>
        <v>0</v>
      </c>
      <c r="H125" s="268">
        <f t="shared" si="46"/>
        <v>0</v>
      </c>
      <c r="I125" s="268">
        <f t="shared" si="46"/>
        <v>0</v>
      </c>
      <c r="J125" s="268">
        <f t="shared" si="46"/>
        <v>0</v>
      </c>
      <c r="K125" s="268">
        <f t="shared" si="46"/>
        <v>0</v>
      </c>
      <c r="L125" s="268">
        <f t="shared" si="46"/>
        <v>0</v>
      </c>
      <c r="M125" s="161"/>
      <c r="N125" s="268">
        <f>+N18</f>
        <v>0</v>
      </c>
      <c r="O125" s="268">
        <f>+O18</f>
        <v>0</v>
      </c>
      <c r="P125" s="268">
        <f>+P18</f>
        <v>0</v>
      </c>
      <c r="Q125" s="161"/>
      <c r="R125" s="268">
        <f>+R18</f>
        <v>0</v>
      </c>
      <c r="S125" s="268">
        <f>+S18</f>
        <v>0</v>
      </c>
    </row>
    <row r="126" spans="2:21">
      <c r="B126" s="3" t="s">
        <v>65</v>
      </c>
      <c r="G126" s="161">
        <f t="shared" ref="G126:L126" si="47">SUM(G124:G125)</f>
        <v>14</v>
      </c>
      <c r="H126" s="161">
        <f t="shared" si="47"/>
        <v>9.85</v>
      </c>
      <c r="I126" s="161">
        <f t="shared" si="47"/>
        <v>12.489000000000001</v>
      </c>
      <c r="J126" s="161">
        <f t="shared" si="47"/>
        <v>15.013400000000001</v>
      </c>
      <c r="K126" s="161">
        <f t="shared" si="47"/>
        <v>17.411249999999999</v>
      </c>
      <c r="L126" s="161">
        <f t="shared" si="47"/>
        <v>19.670874999999995</v>
      </c>
      <c r="M126" s="161"/>
      <c r="N126" s="161">
        <f>SUM(N124:N125)</f>
        <v>3.5</v>
      </c>
      <c r="O126" s="161">
        <f>SUM(O124:O125)</f>
        <v>4.0000000000000009</v>
      </c>
      <c r="P126" s="161">
        <f>SUM(P124:P125)</f>
        <v>4.3500000000000005</v>
      </c>
      <c r="Q126" s="161"/>
      <c r="R126" s="161">
        <f>SUM(R124:R125)</f>
        <v>17.911249999999999</v>
      </c>
      <c r="S126" s="161">
        <f>SUM(S124:S125)</f>
        <v>20.020874999999997</v>
      </c>
    </row>
    <row r="127" spans="2:21">
      <c r="B127" s="3" t="s">
        <v>130</v>
      </c>
      <c r="G127" s="268">
        <f t="shared" ref="G127:L127" si="48">G16</f>
        <v>0</v>
      </c>
      <c r="H127" s="268">
        <f t="shared" si="48"/>
        <v>3.75</v>
      </c>
      <c r="I127" s="268">
        <f t="shared" si="48"/>
        <v>4.625</v>
      </c>
      <c r="J127" s="268">
        <f t="shared" si="48"/>
        <v>5.4624999999999995</v>
      </c>
      <c r="K127" s="268">
        <f t="shared" si="48"/>
        <v>6.2587499999999991</v>
      </c>
      <c r="L127" s="268">
        <f t="shared" si="48"/>
        <v>7.0096249999999989</v>
      </c>
      <c r="M127" s="161"/>
      <c r="N127" s="268">
        <f>N16</f>
        <v>1.2</v>
      </c>
      <c r="O127" s="268">
        <f>O16</f>
        <v>1.5</v>
      </c>
      <c r="P127" s="268">
        <f>P16</f>
        <v>1.4500000000000002</v>
      </c>
      <c r="Q127" s="161"/>
      <c r="R127" s="268">
        <f>R16</f>
        <v>6.558749999999999</v>
      </c>
      <c r="S127" s="268">
        <f>S16</f>
        <v>6.9596249999999991</v>
      </c>
    </row>
    <row r="128" spans="2:21">
      <c r="B128" s="3" t="s">
        <v>76</v>
      </c>
      <c r="G128" s="161">
        <f t="shared" ref="G128:L128" si="49">SUM(G126:G127)</f>
        <v>14</v>
      </c>
      <c r="H128" s="161">
        <f t="shared" si="49"/>
        <v>13.6</v>
      </c>
      <c r="I128" s="161">
        <f t="shared" si="49"/>
        <v>17.114000000000001</v>
      </c>
      <c r="J128" s="161">
        <f t="shared" si="49"/>
        <v>20.475899999999999</v>
      </c>
      <c r="K128" s="161">
        <f t="shared" si="49"/>
        <v>23.669999999999998</v>
      </c>
      <c r="L128" s="161">
        <f t="shared" si="49"/>
        <v>26.680499999999995</v>
      </c>
      <c r="M128" s="161"/>
      <c r="N128" s="161">
        <f>SUM(N126:N127)</f>
        <v>4.7</v>
      </c>
      <c r="O128" s="161">
        <f>SUM(O126:O127)</f>
        <v>5.5000000000000009</v>
      </c>
      <c r="P128" s="161">
        <f>SUM(P126:P127)</f>
        <v>5.8000000000000007</v>
      </c>
      <c r="Q128" s="161"/>
      <c r="R128" s="161">
        <f>SUM(R126:R127)</f>
        <v>24.47</v>
      </c>
      <c r="S128" s="161">
        <f>SUM(S126:S127)</f>
        <v>26.980499999999996</v>
      </c>
    </row>
    <row r="129" spans="2:247">
      <c r="B129" s="4" t="s">
        <v>75</v>
      </c>
      <c r="C129" s="4"/>
      <c r="D129" s="4"/>
      <c r="E129" s="4"/>
      <c r="F129" s="4"/>
      <c r="G129" s="68">
        <f t="shared" ref="G129:L129" si="50">G14</f>
        <v>0</v>
      </c>
      <c r="H129" s="68">
        <f t="shared" si="50"/>
        <v>0.7</v>
      </c>
      <c r="I129" s="68">
        <f t="shared" si="50"/>
        <v>0.68600000000000017</v>
      </c>
      <c r="J129" s="68">
        <f t="shared" si="50"/>
        <v>0.67410000000000014</v>
      </c>
      <c r="K129" s="68">
        <f t="shared" si="50"/>
        <v>0.66500000000000004</v>
      </c>
      <c r="L129" s="68">
        <f t="shared" si="50"/>
        <v>0.65800000000000014</v>
      </c>
      <c r="M129" s="68"/>
      <c r="N129" s="68">
        <f>N14</f>
        <v>0</v>
      </c>
      <c r="O129" s="68">
        <f>O14</f>
        <v>0</v>
      </c>
      <c r="P129" s="68">
        <f>P14</f>
        <v>0</v>
      </c>
      <c r="Q129" s="68"/>
      <c r="R129" s="68">
        <f>R14</f>
        <v>0.66500000000000004</v>
      </c>
      <c r="S129" s="68">
        <f>S14</f>
        <v>0.65800000000000014</v>
      </c>
      <c r="T129" s="4"/>
      <c r="U129" s="4"/>
    </row>
    <row r="130" spans="2:247">
      <c r="B130" s="3" t="s">
        <v>192</v>
      </c>
      <c r="G130" s="268">
        <f t="shared" ref="G130:L130" si="51">G13</f>
        <v>0.1</v>
      </c>
      <c r="H130" s="268">
        <f t="shared" si="51"/>
        <v>0.2</v>
      </c>
      <c r="I130" s="268">
        <f t="shared" si="51"/>
        <v>0.2</v>
      </c>
      <c r="J130" s="268">
        <f t="shared" si="51"/>
        <v>0.2</v>
      </c>
      <c r="K130" s="268">
        <f t="shared" si="51"/>
        <v>0.2</v>
      </c>
      <c r="L130" s="268">
        <f t="shared" si="51"/>
        <v>0.2</v>
      </c>
      <c r="M130" s="161"/>
      <c r="N130" s="268">
        <f>N13</f>
        <v>0.1</v>
      </c>
      <c r="O130" s="268">
        <f>O13</f>
        <v>0.1</v>
      </c>
      <c r="P130" s="268">
        <f>P13</f>
        <v>0.1</v>
      </c>
      <c r="Q130" s="68"/>
      <c r="R130" s="268">
        <f>R13</f>
        <v>0.2</v>
      </c>
      <c r="S130" s="268">
        <f>S13</f>
        <v>0.2</v>
      </c>
      <c r="IM130" s="68"/>
    </row>
    <row r="131" spans="2:247">
      <c r="B131" s="3" t="s">
        <v>64</v>
      </c>
      <c r="G131" s="161">
        <f t="shared" ref="G131:L131" si="52">SUM(G128:G130)</f>
        <v>14.1</v>
      </c>
      <c r="H131" s="161">
        <f t="shared" si="52"/>
        <v>14.499999999999998</v>
      </c>
      <c r="I131" s="161">
        <f t="shared" si="52"/>
        <v>18</v>
      </c>
      <c r="J131" s="161">
        <f t="shared" si="52"/>
        <v>21.349999999999998</v>
      </c>
      <c r="K131" s="161">
        <f t="shared" si="52"/>
        <v>24.534999999999997</v>
      </c>
      <c r="L131" s="161">
        <f t="shared" si="52"/>
        <v>27.538499999999996</v>
      </c>
      <c r="M131" s="161"/>
      <c r="N131" s="161">
        <f>SUM(N128:N130)</f>
        <v>4.8</v>
      </c>
      <c r="O131" s="161">
        <f>SUM(O128:O130)</f>
        <v>5.6000000000000005</v>
      </c>
      <c r="P131" s="161">
        <f>SUM(P128:P130)</f>
        <v>5.9</v>
      </c>
      <c r="Q131" s="161"/>
      <c r="R131" s="161">
        <f>SUM(R128:R130)</f>
        <v>25.334999999999997</v>
      </c>
      <c r="S131" s="161">
        <f>SUM(S128:S130)</f>
        <v>27.838499999999996</v>
      </c>
    </row>
    <row r="132" spans="2:247">
      <c r="B132" s="3" t="s">
        <v>78</v>
      </c>
      <c r="G132" s="268">
        <f t="shared" ref="G132:L132" si="53">G30</f>
        <v>0</v>
      </c>
      <c r="H132" s="268">
        <f t="shared" si="53"/>
        <v>2.371</v>
      </c>
      <c r="I132" s="268">
        <f t="shared" si="53"/>
        <v>2.5</v>
      </c>
      <c r="J132" s="268">
        <f t="shared" si="53"/>
        <v>2.6</v>
      </c>
      <c r="K132" s="268">
        <f t="shared" si="53"/>
        <v>2.7</v>
      </c>
      <c r="L132" s="268">
        <f t="shared" si="53"/>
        <v>2.9</v>
      </c>
      <c r="M132" s="161"/>
      <c r="N132" s="268">
        <f>N30</f>
        <v>0</v>
      </c>
      <c r="O132" s="268">
        <f>O30</f>
        <v>0.72499999999999998</v>
      </c>
      <c r="P132" s="268">
        <f>P30</f>
        <v>0.80837499999999995</v>
      </c>
      <c r="Q132" s="161"/>
      <c r="R132" s="268">
        <f>R30</f>
        <v>3.4250000000000003</v>
      </c>
      <c r="S132" s="268">
        <f>S30</f>
        <v>2.9833749999999997</v>
      </c>
    </row>
    <row r="133" spans="2:247">
      <c r="B133" s="3" t="s">
        <v>63</v>
      </c>
      <c r="G133" s="153">
        <f t="shared" ref="G133:L133" si="54">SUM(G131:G132)</f>
        <v>14.1</v>
      </c>
      <c r="H133" s="153">
        <f t="shared" si="54"/>
        <v>16.870999999999999</v>
      </c>
      <c r="I133" s="153">
        <f t="shared" si="54"/>
        <v>20.5</v>
      </c>
      <c r="J133" s="153">
        <f t="shared" si="54"/>
        <v>23.95</v>
      </c>
      <c r="K133" s="153">
        <f t="shared" si="54"/>
        <v>27.234999999999996</v>
      </c>
      <c r="L133" s="153">
        <f t="shared" si="54"/>
        <v>30.438499999999994</v>
      </c>
      <c r="M133" s="153"/>
      <c r="N133" s="153">
        <f>SUM(N131:N132)</f>
        <v>4.8</v>
      </c>
      <c r="O133" s="153">
        <f>SUM(O131:O132)</f>
        <v>6.3250000000000002</v>
      </c>
      <c r="P133" s="153">
        <f>SUM(P131:P132)</f>
        <v>6.7083750000000002</v>
      </c>
      <c r="Q133" s="153"/>
      <c r="R133" s="153">
        <f>SUM(R131:R132)</f>
        <v>28.759999999999998</v>
      </c>
      <c r="S133" s="153">
        <f>SUM(S131:S132)</f>
        <v>30.821874999999995</v>
      </c>
    </row>
    <row r="135" spans="2:247">
      <c r="B135" s="269" t="s">
        <v>292</v>
      </c>
      <c r="C135" s="269"/>
      <c r="D135" s="269"/>
      <c r="E135" s="269"/>
      <c r="F135" s="269"/>
      <c r="G135" s="270">
        <f t="shared" ref="G135:L135" si="55">G133-G31</f>
        <v>0</v>
      </c>
      <c r="H135" s="270">
        <f t="shared" si="55"/>
        <v>0</v>
      </c>
      <c r="I135" s="270">
        <f t="shared" si="55"/>
        <v>0</v>
      </c>
      <c r="J135" s="270">
        <f t="shared" si="55"/>
        <v>0</v>
      </c>
      <c r="K135" s="270">
        <f t="shared" si="55"/>
        <v>0</v>
      </c>
      <c r="L135" s="270">
        <f t="shared" si="55"/>
        <v>0</v>
      </c>
      <c r="M135" s="270"/>
      <c r="N135" s="270">
        <f>N133-N31</f>
        <v>0</v>
      </c>
      <c r="O135" s="270">
        <f>O133-O31</f>
        <v>0</v>
      </c>
      <c r="P135" s="270">
        <f>P133-P31</f>
        <v>0</v>
      </c>
      <c r="Q135" s="270"/>
      <c r="R135" s="270">
        <f>R133-R31</f>
        <v>0</v>
      </c>
      <c r="S135" s="270">
        <f>S133-S31</f>
        <v>0</v>
      </c>
    </row>
  </sheetData>
  <customSheetViews>
    <customSheetView guid="{9AE38660-BF5A-49A3-9FC0-AD5890AFC019}" showPageBreaks="1" showGridLines="0" printArea="1" view="pageBreakPreview" showRuler="0" topLeftCell="A13">
      <selection activeCell="I38" sqref="I38"/>
      <pageMargins left="0.35" right="0.35" top="0.35" bottom="0.35" header="0.15" footer="0.15"/>
      <printOptions horizontalCentered="1"/>
      <pageSetup scale="84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scale="65" orientation="landscape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41"/>
  </sheetPr>
  <dimension ref="A1:V60"/>
  <sheetViews>
    <sheetView showGridLines="0" view="pageBreakPreview" zoomScale="85" zoomScaleNormal="100" zoomScaleSheetLayoutView="85" workbookViewId="0"/>
  </sheetViews>
  <sheetFormatPr defaultColWidth="10.33203125" defaultRowHeight="12.75" outlineLevelCol="1"/>
  <cols>
    <col min="1" max="1" width="2.83203125" style="4" customWidth="1"/>
    <col min="2" max="11" width="10.33203125" style="3" customWidth="1"/>
    <col min="12" max="12" width="2.83203125" style="3" customWidth="1"/>
    <col min="13" max="14" width="10.33203125" style="3" customWidth="1" outlineLevel="1"/>
    <col min="15" max="15" width="2.83203125" style="3" customWidth="1"/>
    <col min="16" max="16" width="10.33203125" style="4"/>
    <col min="17" max="17" width="11.5" style="3" customWidth="1"/>
    <col min="18" max="16384" width="10.33203125" style="4"/>
  </cols>
  <sheetData>
    <row r="1" spans="1:22">
      <c r="A1" s="2"/>
    </row>
    <row r="2" spans="1:22" ht="23.25">
      <c r="B2" s="97" t="str">
        <f>proj</f>
        <v>Project MODEL</v>
      </c>
      <c r="C2" s="1311"/>
      <c r="D2" s="1311"/>
      <c r="E2" s="1311"/>
      <c r="F2" s="1311"/>
      <c r="G2" s="1210"/>
      <c r="H2" s="1210"/>
      <c r="I2" s="1210"/>
      <c r="J2" s="1210"/>
      <c r="K2" s="1210"/>
      <c r="L2" s="1210"/>
      <c r="M2" s="1210"/>
      <c r="N2" s="1210"/>
      <c r="O2" s="7"/>
      <c r="P2" s="7"/>
      <c r="Q2" s="7"/>
      <c r="R2" s="7"/>
      <c r="S2" s="7"/>
      <c r="T2" s="7"/>
      <c r="U2" s="7"/>
      <c r="V2" s="7"/>
    </row>
    <row r="3" spans="1:22" s="276" customFormat="1" ht="20.100000000000001" customHeight="1" thickBot="1">
      <c r="B3" s="384" t="str">
        <f>acq&amp;" - Historical Balance Sheet"</f>
        <v>COLEMAN CO. - Historical Balance Sheet</v>
      </c>
      <c r="C3" s="392"/>
      <c r="D3" s="392"/>
      <c r="E3" s="392"/>
      <c r="F3" s="392"/>
      <c r="G3" s="393"/>
      <c r="H3" s="393"/>
      <c r="I3" s="393"/>
      <c r="J3" s="393"/>
      <c r="K3" s="393"/>
      <c r="L3" s="393"/>
      <c r="M3" s="393"/>
      <c r="N3" s="393"/>
      <c r="O3" s="277"/>
      <c r="P3" s="278"/>
      <c r="Q3" s="278"/>
      <c r="R3" s="278"/>
      <c r="S3" s="278"/>
    </row>
    <row r="4" spans="1:22" s="279" customFormat="1">
      <c r="B4" s="100" t="s">
        <v>289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Q4" s="7"/>
    </row>
    <row r="5" spans="1:22" ht="12.75" customHeight="1">
      <c r="G5" s="280" t="str">
        <f>'Acq Income Statement'!H5</f>
        <v>Fiscal Year Ended December 31,</v>
      </c>
      <c r="H5" s="280"/>
      <c r="I5" s="280"/>
      <c r="J5" s="280"/>
      <c r="K5" s="280"/>
      <c r="L5" s="17"/>
      <c r="M5" s="280" t="s">
        <v>185</v>
      </c>
      <c r="N5" s="280"/>
      <c r="O5" s="17"/>
      <c r="Q5" s="255"/>
    </row>
    <row r="6" spans="1:22">
      <c r="G6" s="281">
        <f>'Acq Income Statement'!H6</f>
        <v>2014</v>
      </c>
      <c r="H6" s="281">
        <f>'Acq Income Statement'!I6</f>
        <v>2015</v>
      </c>
      <c r="I6" s="281">
        <f>'Acq Income Statement'!J6</f>
        <v>2016</v>
      </c>
      <c r="J6" s="281">
        <f>'Acq Income Statement'!K6</f>
        <v>2017</v>
      </c>
      <c r="K6" s="281">
        <f>'Acq Income Statement'!L6</f>
        <v>2018</v>
      </c>
      <c r="L6" s="282"/>
      <c r="M6" s="283">
        <f>'Acq Income Statement'!O6</f>
        <v>43190</v>
      </c>
      <c r="N6" s="283">
        <f>'Acq Income Statement'!P6</f>
        <v>43555</v>
      </c>
      <c r="O6" s="17"/>
      <c r="Q6" s="284" t="s">
        <v>116</v>
      </c>
    </row>
    <row r="7" spans="1:22" ht="18" customHeight="1">
      <c r="B7" s="285" t="s">
        <v>35</v>
      </c>
      <c r="G7" s="286"/>
      <c r="H7" s="287"/>
      <c r="I7" s="287"/>
      <c r="J7" s="287"/>
      <c r="K7" s="288"/>
      <c r="L7" s="7"/>
      <c r="M7" s="289"/>
      <c r="N7" s="290"/>
      <c r="O7" s="7"/>
      <c r="P7" s="291"/>
      <c r="Q7" s="7"/>
      <c r="R7" s="7"/>
      <c r="S7" s="7"/>
    </row>
    <row r="8" spans="1:22">
      <c r="B8" s="3" t="s">
        <v>200</v>
      </c>
      <c r="G8" s="185">
        <v>14.943333333333333</v>
      </c>
      <c r="H8" s="185">
        <v>25.023000000000017</v>
      </c>
      <c r="I8" s="185">
        <v>36.602622222222251</v>
      </c>
      <c r="J8" s="185">
        <v>54.879538888888952</v>
      </c>
      <c r="K8" s="185">
        <v>68.872413888888943</v>
      </c>
      <c r="L8" s="292"/>
      <c r="M8" s="185">
        <v>57.250038888888952</v>
      </c>
      <c r="N8" s="185">
        <v>71.360976388888943</v>
      </c>
      <c r="O8" s="293"/>
      <c r="P8" s="294"/>
      <c r="Q8" s="153">
        <f>IF(aquarter&lt;&gt;4,N8,K8)</f>
        <v>71.360976388888943</v>
      </c>
      <c r="R8" s="294"/>
      <c r="S8" s="294"/>
    </row>
    <row r="9" spans="1:22">
      <c r="B9" s="3" t="s">
        <v>39</v>
      </c>
      <c r="G9" s="201">
        <v>14.180999999999999</v>
      </c>
      <c r="H9" s="201">
        <v>12.850999999999999</v>
      </c>
      <c r="I9" s="201">
        <v>13.5</v>
      </c>
      <c r="J9" s="201">
        <v>16.681000000000001</v>
      </c>
      <c r="K9" s="201">
        <v>12.850999999999999</v>
      </c>
      <c r="L9" s="190"/>
      <c r="M9" s="201">
        <v>14</v>
      </c>
      <c r="N9" s="201">
        <v>11</v>
      </c>
      <c r="O9" s="295"/>
      <c r="P9" s="236"/>
      <c r="Q9" s="161"/>
      <c r="R9" s="236"/>
      <c r="S9" s="236"/>
    </row>
    <row r="10" spans="1:22">
      <c r="B10" s="3" t="s">
        <v>40</v>
      </c>
      <c r="G10" s="201">
        <v>6.4114444444444203</v>
      </c>
      <c r="H10" s="201">
        <v>7.7897777777777701</v>
      </c>
      <c r="I10" s="201">
        <v>9.1999999999999993</v>
      </c>
      <c r="J10" s="201">
        <v>10.482666666666701</v>
      </c>
      <c r="K10" s="201">
        <v>11.956666666666701</v>
      </c>
      <c r="L10" s="190"/>
      <c r="M10" s="201">
        <v>12</v>
      </c>
      <c r="N10" s="201">
        <v>10.52</v>
      </c>
      <c r="O10" s="295"/>
      <c r="P10" s="236"/>
      <c r="Q10" s="161"/>
      <c r="R10" s="236"/>
      <c r="S10" s="236"/>
    </row>
    <row r="11" spans="1:22">
      <c r="B11" s="3" t="s">
        <v>246</v>
      </c>
      <c r="G11" s="296">
        <v>4.2530000000000001</v>
      </c>
      <c r="H11" s="296">
        <v>5.8770000000000007</v>
      </c>
      <c r="I11" s="296">
        <v>3.5</v>
      </c>
      <c r="J11" s="296">
        <v>4.2530000000000001</v>
      </c>
      <c r="K11" s="296">
        <v>5.8770000000000007</v>
      </c>
      <c r="L11" s="190"/>
      <c r="M11" s="296">
        <v>3</v>
      </c>
      <c r="N11" s="296">
        <v>5</v>
      </c>
      <c r="O11" s="295"/>
      <c r="P11" s="236"/>
      <c r="Q11" s="68"/>
      <c r="R11" s="236"/>
      <c r="S11" s="236"/>
    </row>
    <row r="12" spans="1:22">
      <c r="B12" s="3" t="s">
        <v>194</v>
      </c>
      <c r="G12" s="161">
        <f>SUM(G8:G11)</f>
        <v>39.788777777777753</v>
      </c>
      <c r="H12" s="161">
        <f>SUM(H8:H11)</f>
        <v>51.540777777777791</v>
      </c>
      <c r="I12" s="161">
        <f>SUM(I8:I11)</f>
        <v>62.802622222222254</v>
      </c>
      <c r="J12" s="161">
        <f>SUM(J8:J11)</f>
        <v>86.296205555555659</v>
      </c>
      <c r="K12" s="161">
        <f>SUM(K8:K11)</f>
        <v>99.557080555555643</v>
      </c>
      <c r="L12" s="190"/>
      <c r="M12" s="161">
        <f t="shared" ref="M12:N12" si="0">SUM(M8:M11)</f>
        <v>86.250038888888952</v>
      </c>
      <c r="N12" s="161">
        <f t="shared" si="0"/>
        <v>97.880976388888939</v>
      </c>
      <c r="O12" s="236"/>
      <c r="P12" s="236"/>
      <c r="Q12" s="68"/>
      <c r="R12" s="236"/>
      <c r="S12" s="236"/>
    </row>
    <row r="13" spans="1:22">
      <c r="B13" s="3" t="s">
        <v>43</v>
      </c>
      <c r="G13" s="201">
        <v>1.52</v>
      </c>
      <c r="H13" s="201">
        <v>3.1190000000000002</v>
      </c>
      <c r="I13" s="201">
        <v>3.4</v>
      </c>
      <c r="J13" s="201">
        <v>4.5</v>
      </c>
      <c r="K13" s="201">
        <v>4.5999999999999996</v>
      </c>
      <c r="L13" s="190"/>
      <c r="M13" s="201">
        <v>4.55</v>
      </c>
      <c r="N13" s="201">
        <v>4.6500000000000004</v>
      </c>
      <c r="O13" s="295"/>
      <c r="P13" s="236"/>
      <c r="Q13" s="68"/>
      <c r="R13" s="236"/>
      <c r="S13" s="236"/>
    </row>
    <row r="14" spans="1:22">
      <c r="B14" s="3" t="s">
        <v>332</v>
      </c>
      <c r="G14" s="201">
        <v>1.837</v>
      </c>
      <c r="H14" s="201">
        <v>1.837</v>
      </c>
      <c r="I14" s="201">
        <v>1.9</v>
      </c>
      <c r="J14" s="201">
        <v>2</v>
      </c>
      <c r="K14" s="201">
        <v>0.21</v>
      </c>
      <c r="L14" s="190"/>
      <c r="M14" s="201">
        <v>2</v>
      </c>
      <c r="N14" s="201">
        <v>0.21</v>
      </c>
      <c r="O14" s="295"/>
      <c r="P14" s="236"/>
      <c r="Q14" s="68"/>
      <c r="R14" s="236"/>
      <c r="S14" s="236"/>
    </row>
    <row r="15" spans="1:22">
      <c r="B15" s="3" t="s">
        <v>356</v>
      </c>
      <c r="G15" s="201">
        <v>0.97699999999999998</v>
      </c>
      <c r="H15" s="201">
        <v>0.84199999999999997</v>
      </c>
      <c r="I15" s="201">
        <v>0.70699999999999996</v>
      </c>
      <c r="J15" s="201">
        <v>0.57199999999999995</v>
      </c>
      <c r="K15" s="201">
        <v>0.437</v>
      </c>
      <c r="L15" s="190"/>
      <c r="M15" s="201">
        <v>0.57199999999999995</v>
      </c>
      <c r="N15" s="201">
        <v>0.437</v>
      </c>
      <c r="O15" s="295"/>
      <c r="P15" s="236"/>
      <c r="Q15" s="68"/>
      <c r="R15" s="236"/>
      <c r="S15" s="236"/>
    </row>
    <row r="16" spans="1:22">
      <c r="B16" s="3" t="s">
        <v>232</v>
      </c>
      <c r="G16" s="296">
        <v>7.6769999999999996</v>
      </c>
      <c r="H16" s="296">
        <v>6.6629999999999994</v>
      </c>
      <c r="I16" s="296">
        <v>6.8</v>
      </c>
      <c r="J16" s="296">
        <v>8</v>
      </c>
      <c r="K16" s="296">
        <v>3.621</v>
      </c>
      <c r="L16" s="190"/>
      <c r="M16" s="296">
        <v>8</v>
      </c>
      <c r="N16" s="296">
        <v>3.621</v>
      </c>
      <c r="O16" s="295"/>
      <c r="P16" s="236"/>
      <c r="Q16" s="68"/>
      <c r="R16" s="295"/>
      <c r="S16" s="295"/>
    </row>
    <row r="17" spans="2:19" ht="13.5" thickBot="1">
      <c r="B17" s="3" t="s">
        <v>149</v>
      </c>
      <c r="G17" s="297">
        <f>SUM(G12:G16)</f>
        <v>51.799777777777756</v>
      </c>
      <c r="H17" s="297">
        <f>SUM(H12:H16)</f>
        <v>64.001777777777789</v>
      </c>
      <c r="I17" s="297">
        <f>SUM(I12:I16)</f>
        <v>75.609622222222256</v>
      </c>
      <c r="J17" s="297">
        <f>SUM(J12:J16)</f>
        <v>101.36820555555566</v>
      </c>
      <c r="K17" s="297">
        <f>SUM(K12:K16)</f>
        <v>108.42508055555562</v>
      </c>
      <c r="L17" s="146"/>
      <c r="M17" s="297">
        <f t="shared" ref="M17:N17" si="1">SUM(M12:M16)</f>
        <v>101.37203888888895</v>
      </c>
      <c r="N17" s="297">
        <f t="shared" si="1"/>
        <v>106.79897638888893</v>
      </c>
      <c r="O17" s="294"/>
      <c r="P17" s="294"/>
      <c r="Q17" s="146"/>
      <c r="R17" s="294"/>
      <c r="S17" s="294"/>
    </row>
    <row r="18" spans="2:19" ht="13.5" thickTop="1">
      <c r="L18" s="4"/>
      <c r="O18" s="4"/>
      <c r="Q18" s="4"/>
    </row>
    <row r="19" spans="2:19">
      <c r="B19" s="285" t="s">
        <v>47</v>
      </c>
      <c r="L19" s="4"/>
      <c r="O19" s="4"/>
      <c r="Q19" s="4"/>
    </row>
    <row r="20" spans="2:19">
      <c r="B20" s="3" t="s">
        <v>443</v>
      </c>
      <c r="G20" s="185">
        <v>0.1</v>
      </c>
      <c r="H20" s="185">
        <v>0.1</v>
      </c>
      <c r="I20" s="185">
        <v>0.1</v>
      </c>
      <c r="J20" s="185">
        <v>0.1</v>
      </c>
      <c r="K20" s="185">
        <v>0.1</v>
      </c>
      <c r="L20" s="146"/>
      <c r="M20" s="185">
        <v>0.1</v>
      </c>
      <c r="N20" s="185">
        <v>0.1</v>
      </c>
      <c r="O20" s="4"/>
      <c r="Q20" s="153">
        <f>IF(aquarter&lt;&gt;4,N20,K20)</f>
        <v>0.1</v>
      </c>
    </row>
    <row r="21" spans="2:19">
      <c r="B21" s="3" t="s">
        <v>48</v>
      </c>
      <c r="G21" s="201">
        <v>10.102</v>
      </c>
      <c r="H21" s="201">
        <v>9.173</v>
      </c>
      <c r="I21" s="201">
        <v>8.2439999999999998</v>
      </c>
      <c r="J21" s="201">
        <v>7.3150000000000004</v>
      </c>
      <c r="K21" s="201">
        <v>6.3860000000000001</v>
      </c>
      <c r="L21" s="147"/>
      <c r="M21" s="201">
        <v>7.3150000000000004</v>
      </c>
      <c r="N21" s="201">
        <v>6.3860000000000001</v>
      </c>
      <c r="O21" s="295"/>
      <c r="P21" s="236"/>
      <c r="Q21" s="161"/>
      <c r="R21" s="236"/>
      <c r="S21" s="236"/>
    </row>
    <row r="22" spans="2:19">
      <c r="B22" s="3" t="s">
        <v>100</v>
      </c>
      <c r="G22" s="296">
        <v>6.891</v>
      </c>
      <c r="H22" s="296">
        <v>7.383</v>
      </c>
      <c r="I22" s="296">
        <v>7.875</v>
      </c>
      <c r="J22" s="296">
        <v>8.3670000000000009</v>
      </c>
      <c r="K22" s="296">
        <v>8.859</v>
      </c>
      <c r="L22" s="147"/>
      <c r="M22" s="296">
        <v>8.3670000000000009</v>
      </c>
      <c r="N22" s="296">
        <v>8.859</v>
      </c>
      <c r="O22" s="295"/>
      <c r="P22" s="236"/>
      <c r="Q22" s="161"/>
      <c r="R22" s="236"/>
      <c r="S22" s="236"/>
    </row>
    <row r="23" spans="2:19">
      <c r="B23" s="3" t="s">
        <v>142</v>
      </c>
      <c r="G23" s="161">
        <f>SUM(G20:G22)</f>
        <v>17.093</v>
      </c>
      <c r="H23" s="161">
        <f>SUM(H20:H22)</f>
        <v>16.655999999999999</v>
      </c>
      <c r="I23" s="161">
        <f>SUM(I20:I22)</f>
        <v>16.219000000000001</v>
      </c>
      <c r="J23" s="161">
        <f>SUM(J20:J22)</f>
        <v>15.782</v>
      </c>
      <c r="K23" s="161">
        <f>SUM(K20:K22)</f>
        <v>15.344999999999999</v>
      </c>
      <c r="L23" s="68"/>
      <c r="M23" s="161">
        <v>15.682000000000002</v>
      </c>
      <c r="N23" s="161">
        <v>15.245000000000001</v>
      </c>
      <c r="O23" s="236"/>
      <c r="P23" s="236"/>
      <c r="Q23" s="161"/>
      <c r="R23" s="236"/>
      <c r="S23" s="236"/>
    </row>
    <row r="24" spans="2:19">
      <c r="B24" s="3" t="s">
        <v>120</v>
      </c>
      <c r="G24" s="201">
        <v>10</v>
      </c>
      <c r="H24" s="201">
        <v>9.8000000000000007</v>
      </c>
      <c r="I24" s="201">
        <v>9.6300000000000008</v>
      </c>
      <c r="J24" s="201">
        <v>9.5</v>
      </c>
      <c r="K24" s="201">
        <v>9.4</v>
      </c>
      <c r="L24" s="147"/>
      <c r="M24" s="201">
        <v>9.4</v>
      </c>
      <c r="N24" s="201">
        <v>9.3000000000000007</v>
      </c>
      <c r="O24" s="295"/>
      <c r="P24" s="236"/>
      <c r="Q24" s="161">
        <f>IF(aquarter&lt;&gt;4,N24,K24)</f>
        <v>9.3000000000000007</v>
      </c>
      <c r="R24" s="236"/>
      <c r="S24" s="236"/>
    </row>
    <row r="25" spans="2:19">
      <c r="B25" s="3" t="s">
        <v>233</v>
      </c>
      <c r="G25" s="201">
        <v>8.2379999999999995</v>
      </c>
      <c r="H25" s="201">
        <v>7.3019999999999996</v>
      </c>
      <c r="I25" s="201">
        <v>6.3659999999999997</v>
      </c>
      <c r="J25" s="201">
        <v>5.43</v>
      </c>
      <c r="K25" s="201">
        <v>4.4939999999999998</v>
      </c>
      <c r="L25" s="147"/>
      <c r="M25" s="201">
        <v>5.43</v>
      </c>
      <c r="N25" s="201">
        <v>4.4939999999999998</v>
      </c>
      <c r="O25" s="295"/>
      <c r="P25" s="236"/>
      <c r="Q25" s="68"/>
      <c r="R25" s="295"/>
      <c r="S25" s="295"/>
    </row>
    <row r="26" spans="2:19">
      <c r="B26" s="3" t="s">
        <v>52</v>
      </c>
      <c r="G26" s="201">
        <v>1</v>
      </c>
      <c r="H26" s="201">
        <v>1</v>
      </c>
      <c r="I26" s="201">
        <v>1</v>
      </c>
      <c r="J26" s="201">
        <v>1</v>
      </c>
      <c r="K26" s="201">
        <v>1</v>
      </c>
      <c r="L26" s="147"/>
      <c r="M26" s="201">
        <v>1</v>
      </c>
      <c r="N26" s="201">
        <v>1</v>
      </c>
      <c r="O26" s="295"/>
      <c r="P26" s="236"/>
      <c r="Q26" s="161">
        <f>IF(aquarter&lt;&gt;4,N26,K26)</f>
        <v>1</v>
      </c>
      <c r="R26" s="295"/>
      <c r="S26" s="295"/>
    </row>
    <row r="27" spans="2:19">
      <c r="B27" s="3" t="s">
        <v>53</v>
      </c>
      <c r="G27" s="201">
        <v>0.5</v>
      </c>
      <c r="H27" s="201">
        <v>0.5</v>
      </c>
      <c r="I27" s="201">
        <v>0.5</v>
      </c>
      <c r="J27" s="201">
        <v>0.5</v>
      </c>
      <c r="K27" s="201">
        <v>0.5</v>
      </c>
      <c r="L27" s="147"/>
      <c r="M27" s="201">
        <v>0.5</v>
      </c>
      <c r="N27" s="201">
        <v>0.5</v>
      </c>
      <c r="O27" s="295"/>
      <c r="P27" s="236"/>
      <c r="Q27" s="161">
        <f>IF(aquarter&lt;&gt;4,N27,K27)</f>
        <v>0.5</v>
      </c>
      <c r="R27" s="295"/>
      <c r="S27" s="295"/>
    </row>
    <row r="28" spans="2:19">
      <c r="B28" s="3" t="s">
        <v>150</v>
      </c>
      <c r="G28" s="296">
        <v>14.968777777777753</v>
      </c>
      <c r="H28" s="296">
        <v>28.743777777777794</v>
      </c>
      <c r="I28" s="296">
        <v>41.894622222222253</v>
      </c>
      <c r="J28" s="296">
        <v>69.156205555555658</v>
      </c>
      <c r="K28" s="296">
        <v>77.686080555555634</v>
      </c>
      <c r="L28" s="147"/>
      <c r="M28" s="296">
        <v>69.360038888888951</v>
      </c>
      <c r="N28" s="296">
        <v>76.25997638888893</v>
      </c>
      <c r="O28" s="295"/>
      <c r="P28" s="236"/>
      <c r="Q28" s="68">
        <f>IF(aquarter&lt;&gt;4,N28,K28)</f>
        <v>76.25997638888893</v>
      </c>
      <c r="R28" s="236"/>
      <c r="S28" s="236"/>
    </row>
    <row r="29" spans="2:19" ht="13.5" thickBot="1">
      <c r="B29" s="3" t="s">
        <v>195</v>
      </c>
      <c r="G29" s="297">
        <f>SUM(G23:G28)</f>
        <v>51.799777777777756</v>
      </c>
      <c r="H29" s="297">
        <f>SUM(H23:H28)</f>
        <v>64.001777777777789</v>
      </c>
      <c r="I29" s="297">
        <f>SUM(I23:I28)</f>
        <v>75.609622222222256</v>
      </c>
      <c r="J29" s="297">
        <f>SUM(J23:J28)</f>
        <v>101.36820555555566</v>
      </c>
      <c r="K29" s="297">
        <f>SUM(K23:K28)</f>
        <v>108.42508055555564</v>
      </c>
      <c r="L29" s="146"/>
      <c r="M29" s="297">
        <f t="shared" ref="M29:N29" si="2">SUM(M23:M28)</f>
        <v>101.37203888888895</v>
      </c>
      <c r="N29" s="297">
        <f t="shared" si="2"/>
        <v>106.79897638888893</v>
      </c>
      <c r="O29" s="294"/>
      <c r="P29" s="294"/>
      <c r="Q29" s="161"/>
      <c r="R29" s="294"/>
      <c r="S29" s="294"/>
    </row>
    <row r="30" spans="2:19" ht="13.5" thickTop="1">
      <c r="L30" s="4"/>
      <c r="M30" s="4"/>
      <c r="N30" s="4"/>
      <c r="O30" s="4"/>
      <c r="Q30" s="161"/>
    </row>
    <row r="31" spans="2:19">
      <c r="B31" s="3" t="s">
        <v>55</v>
      </c>
      <c r="G31" s="153">
        <f>G12-G8-(G23-G20)</f>
        <v>7.8524444444444192</v>
      </c>
      <c r="H31" s="153">
        <f>H12-H8-(H23-H20)</f>
        <v>9.9617777777777761</v>
      </c>
      <c r="I31" s="153">
        <f>I12-I8-(I23-I20)</f>
        <v>10.081000000000003</v>
      </c>
      <c r="J31" s="153">
        <f>J12-J8-(J23-J20)</f>
        <v>15.734666666666707</v>
      </c>
      <c r="K31" s="153">
        <f>K12-K8-(K23-K20)</f>
        <v>15.439666666666701</v>
      </c>
      <c r="L31" s="146"/>
      <c r="M31" s="153">
        <f>M12-M8-(M23-M20)</f>
        <v>13.417999999999997</v>
      </c>
      <c r="N31" s="153">
        <f>N12-N8-(N23-N20)</f>
        <v>11.374999999999995</v>
      </c>
      <c r="O31" s="294"/>
      <c r="P31" s="294"/>
      <c r="Q31" s="153">
        <f>IF(aquarter&lt;&gt;4,N31,K31)</f>
        <v>11.374999999999995</v>
      </c>
      <c r="R31" s="294"/>
      <c r="S31" s="294"/>
    </row>
    <row r="32" spans="2:19">
      <c r="G32" s="298"/>
      <c r="H32" s="298"/>
      <c r="I32" s="298"/>
      <c r="J32" s="298"/>
      <c r="K32" s="298"/>
      <c r="L32" s="299"/>
      <c r="M32" s="298"/>
      <c r="N32" s="298"/>
      <c r="O32" s="294"/>
      <c r="P32" s="294"/>
      <c r="Q32" s="298"/>
      <c r="R32" s="294"/>
      <c r="S32" s="294"/>
    </row>
    <row r="33" spans="2:19">
      <c r="B33" s="3" t="s">
        <v>87</v>
      </c>
      <c r="G33" s="153">
        <f>G24+G20</f>
        <v>10.1</v>
      </c>
      <c r="H33" s="153">
        <f>H24+H20</f>
        <v>9.9</v>
      </c>
      <c r="I33" s="153">
        <f>I24+I20</f>
        <v>9.73</v>
      </c>
      <c r="J33" s="153">
        <f>J24+J20</f>
        <v>9.6</v>
      </c>
      <c r="K33" s="153">
        <f>K24+K20</f>
        <v>9.5</v>
      </c>
      <c r="L33" s="146"/>
      <c r="M33" s="153">
        <f>M24+M20</f>
        <v>9.5</v>
      </c>
      <c r="N33" s="153">
        <f>N24+N20</f>
        <v>9.4</v>
      </c>
      <c r="O33" s="294"/>
      <c r="P33" s="294"/>
      <c r="Q33" s="153">
        <f>IF(aquarter&lt;&gt;4,N33,K33)</f>
        <v>9.4</v>
      </c>
      <c r="R33" s="294"/>
      <c r="S33" s="294"/>
    </row>
    <row r="34" spans="2:19">
      <c r="B34" s="3" t="s">
        <v>313</v>
      </c>
      <c r="G34" s="161">
        <f>G24+G20-G8</f>
        <v>-4.8433333333333337</v>
      </c>
      <c r="H34" s="161">
        <f>H24+H20-H8</f>
        <v>-15.123000000000017</v>
      </c>
      <c r="I34" s="161">
        <f>I24+I20-I8</f>
        <v>-26.872622222222251</v>
      </c>
      <c r="J34" s="161">
        <f>J24+J20-J8</f>
        <v>-45.279538888888951</v>
      </c>
      <c r="K34" s="161">
        <f>K24+K20-K8</f>
        <v>-59.372413888888943</v>
      </c>
      <c r="L34" s="68"/>
      <c r="M34" s="161">
        <f>M24+M20-M8</f>
        <v>-47.750038888888952</v>
      </c>
      <c r="N34" s="161">
        <f>N24+N20-N8</f>
        <v>-61.960976388888945</v>
      </c>
      <c r="O34" s="294"/>
      <c r="P34" s="294"/>
      <c r="Q34" s="161">
        <f>IF(aquarter&lt;&gt;4,N34,K34)</f>
        <v>-61.960976388888945</v>
      </c>
      <c r="R34" s="294"/>
      <c r="S34" s="294"/>
    </row>
    <row r="35" spans="2:19">
      <c r="B35" s="4"/>
      <c r="C35" s="4"/>
      <c r="D35" s="4"/>
      <c r="E35" s="4"/>
      <c r="F35" s="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8"/>
      <c r="R35" s="294"/>
      <c r="S35" s="294"/>
    </row>
    <row r="36" spans="2:19" ht="13.5">
      <c r="B36" s="250" t="str">
        <f>'Acq Income Statement'!B65</f>
        <v>Source: Company's 2018 Form 10-K and Form 10-Q for the period ended March 31, 2019.</v>
      </c>
      <c r="C36" s="300"/>
      <c r="D36" s="301"/>
      <c r="E36" s="301"/>
      <c r="F36" s="301"/>
      <c r="G36" s="300"/>
      <c r="H36" s="300"/>
      <c r="I36" s="300"/>
      <c r="J36" s="300"/>
      <c r="K36" s="300"/>
      <c r="L36" s="302"/>
      <c r="M36" s="302"/>
      <c r="N36" s="302"/>
      <c r="O36" s="302"/>
      <c r="P36" s="303"/>
      <c r="Q36" s="153"/>
      <c r="R36" s="303"/>
      <c r="S36" s="303"/>
    </row>
    <row r="37" spans="2:19">
      <c r="Q37" s="161"/>
    </row>
    <row r="38" spans="2:19">
      <c r="B38" s="3" t="s">
        <v>34</v>
      </c>
      <c r="G38" s="161">
        <f>G17-G29</f>
        <v>0</v>
      </c>
      <c r="H38" s="161">
        <f>H17-H29</f>
        <v>0</v>
      </c>
      <c r="I38" s="161">
        <f>I17-I29</f>
        <v>0</v>
      </c>
      <c r="J38" s="161">
        <f>J17-J29</f>
        <v>0</v>
      </c>
      <c r="K38" s="161">
        <f>K17-K29</f>
        <v>0</v>
      </c>
      <c r="M38" s="161">
        <f>M17-M29</f>
        <v>0</v>
      </c>
      <c r="N38" s="161">
        <f>N17-N29</f>
        <v>0</v>
      </c>
      <c r="Q38" s="294"/>
    </row>
    <row r="39" spans="2:19" ht="13.5">
      <c r="Q39" s="304"/>
    </row>
    <row r="40" spans="2:19">
      <c r="B40" s="263" t="s">
        <v>449</v>
      </c>
    </row>
    <row r="41" spans="2:19">
      <c r="B41" s="156" t="s">
        <v>88</v>
      </c>
      <c r="C41" s="156"/>
      <c r="D41" s="251"/>
      <c r="E41" s="251"/>
      <c r="F41" s="251"/>
      <c r="G41" s="260">
        <f>SUM(G26:G28,G24,G20)</f>
        <v>26.568777777777754</v>
      </c>
      <c r="H41" s="260">
        <f>SUM(H26:H28,H24,H20)</f>
        <v>40.143777777777792</v>
      </c>
      <c r="I41" s="260">
        <f>SUM(I26:I28,I24,I20)</f>
        <v>53.124622222222257</v>
      </c>
      <c r="J41" s="260">
        <f>SUM(J26:J28,J24,J20)</f>
        <v>80.256205555555653</v>
      </c>
      <c r="K41" s="260">
        <f>SUM(K26:K28,K24,K20)</f>
        <v>88.686080555555634</v>
      </c>
      <c r="L41" s="156"/>
      <c r="M41" s="260">
        <f>SUM(M26:M28,M24,M20)</f>
        <v>80.360038888888951</v>
      </c>
      <c r="N41" s="260">
        <f>SUM(N26:N28,N24,N20)</f>
        <v>87.159976388888921</v>
      </c>
      <c r="Q41" s="161"/>
    </row>
    <row r="42" spans="2:19">
      <c r="B42" s="3" t="s">
        <v>398</v>
      </c>
      <c r="G42" s="161">
        <f>G41-G8</f>
        <v>11.625444444444421</v>
      </c>
      <c r="H42" s="161">
        <f>H41-H8</f>
        <v>15.120777777777775</v>
      </c>
      <c r="I42" s="161">
        <f>I41-I8</f>
        <v>16.522000000000006</v>
      </c>
      <c r="J42" s="161">
        <f>J41-J8</f>
        <v>25.376666666666701</v>
      </c>
      <c r="K42" s="161">
        <f>K41-K8</f>
        <v>19.813666666666691</v>
      </c>
      <c r="M42" s="161">
        <f>M41-M8</f>
        <v>23.11</v>
      </c>
      <c r="N42" s="161">
        <f>N41-N8</f>
        <v>15.798999999999978</v>
      </c>
    </row>
    <row r="43" spans="2:19">
      <c r="Q43" s="4"/>
    </row>
    <row r="44" spans="2:19">
      <c r="B44" s="4" t="s">
        <v>61</v>
      </c>
      <c r="G44" s="200">
        <f>G33/G41</f>
        <v>0.38014545059154681</v>
      </c>
      <c r="H44" s="200">
        <f>H33/H41</f>
        <v>0.24661356125482287</v>
      </c>
      <c r="I44" s="200">
        <f>I33/I41</f>
        <v>0.18315424360664723</v>
      </c>
      <c r="J44" s="200">
        <f>J33/J41</f>
        <v>0.11961691851173556</v>
      </c>
      <c r="K44" s="200">
        <f>K33/K41</f>
        <v>0.10711940296029786</v>
      </c>
      <c r="L44" s="141"/>
      <c r="M44" s="200">
        <f>M33/M41</f>
        <v>0.11821796170526151</v>
      </c>
      <c r="N44" s="200">
        <f>N33/N41</f>
        <v>0.10784766574579183</v>
      </c>
      <c r="Q44" s="141">
        <f>IF(aquarter&lt;&gt;4,N44,K44)</f>
        <v>0.10784766574579183</v>
      </c>
    </row>
    <row r="45" spans="2:19">
      <c r="B45" s="3" t="s">
        <v>62</v>
      </c>
      <c r="G45" s="200" t="str">
        <f>IF(G34&gt;=0,G34/G42,"NM")</f>
        <v>NM</v>
      </c>
      <c r="H45" s="200" t="str">
        <f>IF(H34&gt;=0,H34/H42,"NM")</f>
        <v>NM</v>
      </c>
      <c r="I45" s="200" t="str">
        <f>IF(I34&gt;=0,I34/I42,"NM")</f>
        <v>NM</v>
      </c>
      <c r="J45" s="200" t="str">
        <f>IF(J34&gt;=0,J34/J42,"NM")</f>
        <v>NM</v>
      </c>
      <c r="K45" s="200" t="str">
        <f>IF(K34&gt;=0,K34/K42,"NM")</f>
        <v>NM</v>
      </c>
      <c r="L45" s="305"/>
      <c r="M45" s="200" t="str">
        <f>IF(M34&gt;=0,M34/M42,"NM")</f>
        <v>NM</v>
      </c>
      <c r="N45" s="200" t="str">
        <f>IF(N34&gt;=0,N34/N42,"NM")</f>
        <v>NM</v>
      </c>
      <c r="Q45" s="141" t="str">
        <f>IF(aquarter&lt;&gt;4,N45,K45)</f>
        <v>NM</v>
      </c>
    </row>
    <row r="47" spans="2:19">
      <c r="B47" s="3" t="s">
        <v>436</v>
      </c>
      <c r="G47" s="115">
        <f>'Acq Income Statement'!H47</f>
        <v>17.971</v>
      </c>
      <c r="H47" s="115">
        <f>'Acq Income Statement'!I47</f>
        <v>21.8</v>
      </c>
      <c r="I47" s="115">
        <f>'Acq Income Statement'!J47</f>
        <v>25.45</v>
      </c>
      <c r="J47" s="115">
        <f>'Acq Income Statement'!K47</f>
        <v>30.734999999999996</v>
      </c>
      <c r="K47" s="115">
        <f>'Acq Income Statement'!L47</f>
        <v>33.838499999999996</v>
      </c>
      <c r="L47" s="115"/>
      <c r="M47" s="115">
        <f>'Acq Income Statement'!R47</f>
        <v>32.26</v>
      </c>
      <c r="N47" s="115">
        <f>'Acq Income Statement'!S47</f>
        <v>34.221874999999997</v>
      </c>
      <c r="Q47" s="68"/>
    </row>
    <row r="48" spans="2:19">
      <c r="B48" s="3" t="s">
        <v>170</v>
      </c>
      <c r="G48" s="306">
        <f>+G33/G$47</f>
        <v>0.56201658227143725</v>
      </c>
      <c r="H48" s="306">
        <f>+H33/H$47</f>
        <v>0.45412844036697247</v>
      </c>
      <c r="I48" s="306">
        <f>+I33/I$47</f>
        <v>0.38231827111984285</v>
      </c>
      <c r="J48" s="306">
        <f>+J33/J$47</f>
        <v>0.31234748657881894</v>
      </c>
      <c r="K48" s="306">
        <f>+K33/K$47</f>
        <v>0.28074530490417721</v>
      </c>
      <c r="L48" s="148"/>
      <c r="M48" s="306">
        <f>+M33/M$47</f>
        <v>0.29448233106013644</v>
      </c>
      <c r="N48" s="306">
        <f>+N33/N$47</f>
        <v>0.27467811158798289</v>
      </c>
      <c r="Q48" s="307">
        <f>IF(aquarter&lt;&gt;4,N48,K48)</f>
        <v>0.27467811158798289</v>
      </c>
    </row>
    <row r="49" spans="2:17">
      <c r="B49" s="4" t="s">
        <v>279</v>
      </c>
      <c r="C49" s="4"/>
      <c r="D49" s="4"/>
      <c r="E49" s="4"/>
      <c r="F49" s="4"/>
      <c r="G49" s="112" t="str">
        <f>IF(G34&gt;=0,G34/G$47,"NM")</f>
        <v>NM</v>
      </c>
      <c r="H49" s="112" t="str">
        <f>IF(H34&gt;=0,H34/H$47,"NM")</f>
        <v>NM</v>
      </c>
      <c r="I49" s="112" t="str">
        <f>IF(I34&gt;=0,I34/I$47,"NM")</f>
        <v>NM</v>
      </c>
      <c r="J49" s="112" t="str">
        <f>IF(J34&gt;=0,J34/J$47,"NM")</f>
        <v>NM</v>
      </c>
      <c r="K49" s="112" t="str">
        <f>IF(K34&gt;=0,K34/K$47,"NM")</f>
        <v>NM</v>
      </c>
      <c r="L49" s="307"/>
      <c r="M49" s="112" t="str">
        <f>IF(M34&gt;=0,M34/M$47,"NM")</f>
        <v>NM</v>
      </c>
      <c r="N49" s="112" t="str">
        <f>IF(N34&gt;=0,N34/N$47,"NM")</f>
        <v>NM</v>
      </c>
      <c r="O49" s="4"/>
      <c r="Q49" s="307" t="str">
        <f>IF(aquarter&lt;&gt;4,N49,K49)</f>
        <v>NM</v>
      </c>
    </row>
    <row r="50" spans="2:17">
      <c r="Q50" s="4"/>
    </row>
    <row r="51" spans="2:17">
      <c r="B51" s="3" t="s">
        <v>305</v>
      </c>
      <c r="G51" s="115">
        <f>'Acq Income Statement'!H32</f>
        <v>3</v>
      </c>
      <c r="H51" s="115">
        <f>'Acq Income Statement'!I32</f>
        <v>3.2</v>
      </c>
      <c r="I51" s="115">
        <f>'Acq Income Statement'!J32</f>
        <v>3.4</v>
      </c>
      <c r="J51" s="115">
        <f>'Acq Income Statement'!K32</f>
        <v>3.6</v>
      </c>
      <c r="K51" s="115">
        <f>'Acq Income Statement'!L32</f>
        <v>4</v>
      </c>
      <c r="L51" s="115"/>
      <c r="M51" s="115">
        <f>'Acq Income Statement'!R32</f>
        <v>3.6999999999999997</v>
      </c>
      <c r="N51" s="115">
        <f>'Acq Income Statement'!S32</f>
        <v>4.0999999999999996</v>
      </c>
      <c r="Q51" s="68"/>
    </row>
    <row r="52" spans="2:17">
      <c r="B52" s="3" t="s">
        <v>402</v>
      </c>
      <c r="D52" s="308">
        <v>8</v>
      </c>
      <c r="G52" s="260">
        <f>(G51*$D52)+G33</f>
        <v>34.1</v>
      </c>
      <c r="H52" s="260">
        <f>(H51*$D52)+H33</f>
        <v>35.5</v>
      </c>
      <c r="I52" s="260">
        <f>(I51*$D52)+I33</f>
        <v>36.93</v>
      </c>
      <c r="J52" s="260">
        <f>(J51*$D52)+J33</f>
        <v>38.4</v>
      </c>
      <c r="K52" s="260">
        <f>(K51*$D52)+K33</f>
        <v>41.5</v>
      </c>
      <c r="L52" s="161"/>
      <c r="M52" s="260">
        <f>(M51*$D52)+M33</f>
        <v>39.099999999999994</v>
      </c>
      <c r="N52" s="260">
        <f>(N51*$D52)+N33</f>
        <v>42.199999999999996</v>
      </c>
      <c r="Q52" s="68"/>
    </row>
    <row r="53" spans="2:17">
      <c r="B53" s="3" t="s">
        <v>446</v>
      </c>
      <c r="G53" s="115">
        <f>'Acq Income Statement'!H48</f>
        <v>20.971</v>
      </c>
      <c r="H53" s="115">
        <f>'Acq Income Statement'!I48</f>
        <v>25</v>
      </c>
      <c r="I53" s="115">
        <f>'Acq Income Statement'!J48</f>
        <v>28.849999999999998</v>
      </c>
      <c r="J53" s="115">
        <f>'Acq Income Statement'!K48</f>
        <v>34.335000000000001</v>
      </c>
      <c r="K53" s="115">
        <f>'Acq Income Statement'!L48</f>
        <v>37.838499999999989</v>
      </c>
      <c r="L53" s="115"/>
      <c r="M53" s="115">
        <f>'Acq Income Statement'!R48</f>
        <v>35.96</v>
      </c>
      <c r="N53" s="115">
        <f>'Acq Income Statement'!S48</f>
        <v>38.321874999999991</v>
      </c>
      <c r="Q53" s="68"/>
    </row>
    <row r="54" spans="2:17">
      <c r="B54" s="3" t="s">
        <v>403</v>
      </c>
      <c r="G54" s="309">
        <f>G52/G53</f>
        <v>1.6260550283725146</v>
      </c>
      <c r="H54" s="309">
        <f>H52/H53</f>
        <v>1.42</v>
      </c>
      <c r="I54" s="309">
        <f>I52/I53</f>
        <v>1.2800693240901213</v>
      </c>
      <c r="J54" s="309">
        <f>J52/J53</f>
        <v>1.1183923110528615</v>
      </c>
      <c r="K54" s="309">
        <f>K52/K53</f>
        <v>1.0967665208715993</v>
      </c>
      <c r="L54" s="148"/>
      <c r="M54" s="309">
        <f>M52/M53</f>
        <v>1.0873192436040042</v>
      </c>
      <c r="N54" s="309">
        <f>N52/N53</f>
        <v>1.1011987278806166</v>
      </c>
      <c r="Q54" s="307">
        <f>IF(aquarter&lt;&gt;4,N54,K54)</f>
        <v>1.1011987278806166</v>
      </c>
    </row>
    <row r="55" spans="2:17">
      <c r="Q55" s="68"/>
    </row>
    <row r="56" spans="2:17">
      <c r="B56" s="310" t="s">
        <v>75</v>
      </c>
      <c r="G56" s="115">
        <f>'Acq Income Statement'!H14</f>
        <v>0.7</v>
      </c>
      <c r="H56" s="115">
        <f>'Acq Income Statement'!I14</f>
        <v>0.68600000000000017</v>
      </c>
      <c r="I56" s="115">
        <f>'Acq Income Statement'!J14</f>
        <v>0.67410000000000014</v>
      </c>
      <c r="J56" s="115">
        <f>'Acq Income Statement'!K14</f>
        <v>0.66500000000000004</v>
      </c>
      <c r="K56" s="115">
        <f>'Acq Income Statement'!L14</f>
        <v>0.65800000000000014</v>
      </c>
      <c r="L56" s="115"/>
      <c r="M56" s="115">
        <f>'Acq Income Statement'!R14</f>
        <v>0.66500000000000004</v>
      </c>
      <c r="N56" s="115">
        <f>'Acq Income Statement'!S14</f>
        <v>0.65800000000000014</v>
      </c>
      <c r="Q56" s="4"/>
    </row>
    <row r="57" spans="2:17">
      <c r="B57" s="310" t="s">
        <v>620</v>
      </c>
      <c r="G57" s="115">
        <f>-'Acq Cash Flow'!G15</f>
        <v>5</v>
      </c>
      <c r="H57" s="115">
        <f>-'Acq Cash Flow'!H15</f>
        <v>6</v>
      </c>
      <c r="I57" s="115">
        <f>-'Acq Cash Flow'!I15</f>
        <v>7</v>
      </c>
      <c r="J57" s="115">
        <f>-'Acq Cash Flow'!J15</f>
        <v>8</v>
      </c>
      <c r="K57" s="115">
        <f>-'Acq Cash Flow'!K15</f>
        <v>9</v>
      </c>
      <c r="L57" s="161"/>
      <c r="M57" s="201">
        <v>0</v>
      </c>
      <c r="N57" s="115">
        <f>-'Acq Cash Flow'!P15</f>
        <v>9.35</v>
      </c>
      <c r="Q57" s="4"/>
    </row>
    <row r="58" spans="2:17">
      <c r="B58" s="310"/>
      <c r="G58" s="217"/>
      <c r="H58" s="217"/>
      <c r="I58" s="217"/>
      <c r="J58" s="217"/>
      <c r="K58" s="217"/>
      <c r="L58" s="161"/>
      <c r="M58" s="217"/>
      <c r="N58" s="217"/>
      <c r="Q58" s="4"/>
    </row>
    <row r="59" spans="2:17">
      <c r="B59" s="310" t="s">
        <v>621</v>
      </c>
      <c r="G59" s="148">
        <f>G47/G56</f>
        <v>25.672857142857143</v>
      </c>
      <c r="H59" s="148">
        <f>H47/H56</f>
        <v>31.778425655976669</v>
      </c>
      <c r="I59" s="148">
        <f>I47/I56</f>
        <v>37.754042426939613</v>
      </c>
      <c r="J59" s="148">
        <f>J47/J56</f>
        <v>46.218045112781944</v>
      </c>
      <c r="K59" s="148">
        <f>K47/K56</f>
        <v>51.426291793313055</v>
      </c>
      <c r="L59" s="148"/>
      <c r="M59" s="148">
        <f>M47/M56</f>
        <v>48.511278195488714</v>
      </c>
      <c r="N59" s="148">
        <f>N47/N56</f>
        <v>52.008928571428555</v>
      </c>
      <c r="Q59" s="307">
        <f>IF(aquarter&lt;&gt;4,N59,K59)</f>
        <v>52.008928571428555</v>
      </c>
    </row>
    <row r="60" spans="2:17">
      <c r="B60" s="310" t="s">
        <v>622</v>
      </c>
      <c r="G60" s="148">
        <f>+(G47-G57)/G56</f>
        <v>18.53</v>
      </c>
      <c r="H60" s="148">
        <f>+(H47-H57)/H56</f>
        <v>23.032069970845477</v>
      </c>
      <c r="I60" s="148">
        <f>+(I47-I57)/I56</f>
        <v>27.369826435246988</v>
      </c>
      <c r="J60" s="148">
        <f>+(J47-J57)/J56</f>
        <v>34.187969924812023</v>
      </c>
      <c r="K60" s="148">
        <f>+(K47-K57)/K56</f>
        <v>37.748480243161083</v>
      </c>
      <c r="L60" s="148"/>
      <c r="M60" s="148">
        <f>+(M47-M57)/M56</f>
        <v>48.511278195488714</v>
      </c>
      <c r="N60" s="148">
        <f>+(N47-N57)/N56</f>
        <v>37.799202127659562</v>
      </c>
      <c r="Q60" s="307">
        <f>IF(aquarter&lt;&gt;4,N60,K60)</f>
        <v>37.799202127659562</v>
      </c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41"/>
  </sheetPr>
  <dimension ref="A1:Y33"/>
  <sheetViews>
    <sheetView showGridLines="0" view="pageBreakPreview" zoomScale="85" zoomScaleNormal="100" zoomScaleSheetLayoutView="85" workbookViewId="0"/>
  </sheetViews>
  <sheetFormatPr defaultColWidth="10.6640625" defaultRowHeight="12.75"/>
  <cols>
    <col min="1" max="1" width="2.83203125" style="312" customWidth="1"/>
    <col min="2" max="6" width="10.6640625" style="311"/>
    <col min="7" max="7" width="10.83203125" style="311" customWidth="1"/>
    <col min="8" max="8" width="6.83203125" style="311" customWidth="1"/>
    <col min="9" max="9" width="10.83203125" style="311" customWidth="1"/>
    <col min="10" max="10" width="6.83203125" style="311" customWidth="1"/>
    <col min="11" max="11" width="10.83203125" style="311" customWidth="1"/>
    <col min="12" max="12" width="6.83203125" style="311" customWidth="1"/>
    <col min="13" max="13" width="10.83203125" style="311" customWidth="1"/>
    <col min="14" max="14" width="6.83203125" style="311" customWidth="1"/>
    <col min="15" max="15" width="10.83203125" style="311" customWidth="1"/>
    <col min="16" max="16" width="6.83203125" style="311" customWidth="1"/>
    <col min="17" max="17" width="10.83203125" style="311" customWidth="1"/>
    <col min="18" max="18" width="6.83203125" style="311" customWidth="1"/>
    <col min="19" max="21" width="10.6640625" style="312"/>
    <col min="22" max="16384" width="10.6640625" style="311"/>
  </cols>
  <sheetData>
    <row r="1" spans="1:25">
      <c r="A1" s="2"/>
    </row>
    <row r="2" spans="1:25" s="4" customFormat="1" ht="23.25">
      <c r="B2" s="97" t="str">
        <f>proj</f>
        <v>Project MODEL</v>
      </c>
      <c r="C2" s="1311"/>
      <c r="D2" s="1311"/>
      <c r="E2" s="1210"/>
      <c r="F2" s="1210"/>
      <c r="G2" s="1210"/>
      <c r="H2" s="1210"/>
      <c r="I2" s="1210"/>
      <c r="J2" s="1210"/>
      <c r="K2" s="1210"/>
      <c r="L2" s="1210"/>
      <c r="M2" s="1210"/>
      <c r="N2" s="1210"/>
      <c r="O2" s="1210"/>
      <c r="P2" s="1210"/>
      <c r="Q2" s="1210"/>
      <c r="R2" s="1210"/>
      <c r="S2" s="7"/>
      <c r="T2" s="7"/>
      <c r="U2" s="7"/>
      <c r="V2" s="7"/>
      <c r="W2" s="7"/>
      <c r="X2" s="7"/>
      <c r="Y2" s="7"/>
    </row>
    <row r="3" spans="1:25" s="276" customFormat="1" ht="20.100000000000001" customHeight="1">
      <c r="A3" s="313"/>
      <c r="B3" s="384" t="str">
        <f>acq&amp;" - Selected Working Capital Ratios"</f>
        <v>COLEMAN CO. - Selected Working Capital Ratios</v>
      </c>
      <c r="C3" s="392"/>
      <c r="D3" s="392"/>
      <c r="E3" s="393"/>
      <c r="F3" s="393"/>
      <c r="G3" s="393"/>
      <c r="H3" s="393"/>
      <c r="I3" s="393"/>
      <c r="J3" s="393"/>
      <c r="K3" s="393"/>
      <c r="L3" s="393"/>
      <c r="M3" s="393"/>
      <c r="N3" s="393"/>
      <c r="O3" s="393"/>
      <c r="P3" s="393"/>
      <c r="Q3" s="393"/>
      <c r="R3" s="393"/>
      <c r="S3" s="278"/>
      <c r="T3" s="278"/>
      <c r="U3" s="278"/>
      <c r="V3" s="278"/>
    </row>
    <row r="4" spans="1:25">
      <c r="B4" s="314" t="str">
        <f>'Acq Balance Sheet'!B4</f>
        <v>(Amounts in Millions)</v>
      </c>
    </row>
    <row r="5" spans="1:25">
      <c r="B5" s="315"/>
    </row>
    <row r="6" spans="1:25">
      <c r="G6" s="271" t="str">
        <f>'Acq Balance Sheet'!G5</f>
        <v>Fiscal Year Ended December 31,</v>
      </c>
      <c r="H6" s="271"/>
      <c r="I6" s="271"/>
      <c r="J6" s="271"/>
      <c r="K6" s="271"/>
      <c r="L6" s="271"/>
      <c r="M6" s="271"/>
      <c r="N6" s="271"/>
      <c r="O6" s="271"/>
      <c r="P6" s="3"/>
      <c r="Q6" s="271" t="str">
        <f>'Tar Balance Sheet'!M5</f>
        <v>As of</v>
      </c>
    </row>
    <row r="7" spans="1:25" s="317" customFormat="1">
      <c r="A7" s="316"/>
      <c r="D7" s="316"/>
      <c r="G7" s="318">
        <f>'Acq Balance Sheet'!G6</f>
        <v>2014</v>
      </c>
      <c r="H7" s="319"/>
      <c r="I7" s="318">
        <f>'Acq Balance Sheet'!H6</f>
        <v>2015</v>
      </c>
      <c r="J7" s="319"/>
      <c r="K7" s="318">
        <f>'Acq Balance Sheet'!I6</f>
        <v>2016</v>
      </c>
      <c r="L7" s="319"/>
      <c r="M7" s="318">
        <f>'Acq Balance Sheet'!J6</f>
        <v>2017</v>
      </c>
      <c r="N7" s="319"/>
      <c r="O7" s="318">
        <f>'Acq Balance Sheet'!K6</f>
        <v>2018</v>
      </c>
      <c r="P7" s="319"/>
      <c r="Q7" s="320">
        <f>'Acq Balance Sheet'!N6</f>
        <v>43555</v>
      </c>
      <c r="S7" s="316"/>
      <c r="T7" s="316"/>
      <c r="U7" s="316"/>
    </row>
    <row r="8" spans="1:25" s="317" customFormat="1" ht="12.75" customHeight="1">
      <c r="A8" s="316"/>
      <c r="B8" s="10" t="s">
        <v>39</v>
      </c>
      <c r="C8" s="10"/>
      <c r="D8" s="10"/>
      <c r="F8" s="321"/>
      <c r="G8" s="322">
        <f>'Acq Balance Sheet'!G9</f>
        <v>14.180999999999999</v>
      </c>
      <c r="H8" s="322"/>
      <c r="I8" s="322">
        <f>'Acq Balance Sheet'!H9</f>
        <v>12.850999999999999</v>
      </c>
      <c r="J8" s="322"/>
      <c r="K8" s="322">
        <f>'Acq Balance Sheet'!I9</f>
        <v>13.5</v>
      </c>
      <c r="L8" s="322"/>
      <c r="M8" s="322">
        <f>'Acq Balance Sheet'!J9</f>
        <v>16.681000000000001</v>
      </c>
      <c r="N8" s="322"/>
      <c r="O8" s="322">
        <f>'Acq Balance Sheet'!K9</f>
        <v>12.850999999999999</v>
      </c>
      <c r="P8" s="322"/>
      <c r="Q8" s="322">
        <f>'Acq Balance Sheet'!N9</f>
        <v>11</v>
      </c>
      <c r="S8" s="316"/>
      <c r="T8" s="316"/>
      <c r="U8" s="316"/>
    </row>
    <row r="9" spans="1:25" s="317" customFormat="1" ht="12.75" customHeight="1">
      <c r="A9" s="316"/>
      <c r="B9" s="323" t="s">
        <v>257</v>
      </c>
      <c r="C9" s="10"/>
      <c r="D9" s="10"/>
      <c r="G9" s="324">
        <f>G8/G$32*100</f>
        <v>23.634999999999998</v>
      </c>
      <c r="H9" s="325" t="s">
        <v>166</v>
      </c>
      <c r="I9" s="324">
        <f>I8/I$32*100</f>
        <v>18.358571428571427</v>
      </c>
      <c r="J9" s="325" t="s">
        <v>166</v>
      </c>
      <c r="K9" s="324">
        <f>K8/K$32*100</f>
        <v>16.875</v>
      </c>
      <c r="L9" s="325" t="s">
        <v>166</v>
      </c>
      <c r="M9" s="324">
        <f>M8/M$32*100</f>
        <v>18.534444444444446</v>
      </c>
      <c r="N9" s="325" t="s">
        <v>166</v>
      </c>
      <c r="O9" s="324">
        <f>O8/O$32*100</f>
        <v>12.850999999999999</v>
      </c>
      <c r="P9" s="325" t="s">
        <v>166</v>
      </c>
      <c r="Q9" s="324">
        <f>Q8/Q$32*100</f>
        <v>10.731707317073171</v>
      </c>
      <c r="R9" s="325" t="s">
        <v>166</v>
      </c>
      <c r="S9" s="316"/>
      <c r="T9" s="316"/>
      <c r="U9" s="316"/>
    </row>
    <row r="10" spans="1:25" s="317" customFormat="1" ht="12.75" customHeight="1">
      <c r="A10" s="316"/>
      <c r="B10" s="323" t="s">
        <v>95</v>
      </c>
      <c r="C10" s="10"/>
      <c r="D10" s="10"/>
      <c r="G10" s="326">
        <f>G8/G32*365</f>
        <v>86.267749999999992</v>
      </c>
      <c r="H10" s="325" t="s">
        <v>247</v>
      </c>
      <c r="I10" s="326">
        <f>I8/I32*365</f>
        <v>67.008785714285708</v>
      </c>
      <c r="J10" s="325" t="s">
        <v>247</v>
      </c>
      <c r="K10" s="326">
        <f>K8/K32*365</f>
        <v>61.593750000000007</v>
      </c>
      <c r="L10" s="325" t="s">
        <v>247</v>
      </c>
      <c r="M10" s="326">
        <f>M8/M32*365</f>
        <v>67.650722222222228</v>
      </c>
      <c r="N10" s="325" t="s">
        <v>247</v>
      </c>
      <c r="O10" s="326">
        <f>O8/O32*365</f>
        <v>46.906149999999997</v>
      </c>
      <c r="P10" s="325" t="s">
        <v>247</v>
      </c>
      <c r="Q10" s="326">
        <f>Q8/Q32*365</f>
        <v>39.170731707317074</v>
      </c>
      <c r="R10" s="325" t="s">
        <v>247</v>
      </c>
      <c r="S10" s="316"/>
      <c r="T10" s="316"/>
      <c r="U10" s="316"/>
    </row>
    <row r="11" spans="1:25" s="317" customFormat="1" ht="12.75" customHeight="1">
      <c r="A11" s="316"/>
      <c r="B11" s="323"/>
      <c r="C11" s="10"/>
      <c r="D11" s="10"/>
      <c r="G11" s="326"/>
      <c r="H11" s="325"/>
      <c r="I11" s="326"/>
      <c r="J11" s="325"/>
      <c r="K11" s="326"/>
      <c r="L11" s="325"/>
      <c r="M11" s="326"/>
      <c r="N11" s="325"/>
      <c r="O11" s="326"/>
      <c r="P11" s="325"/>
      <c r="Q11" s="326"/>
      <c r="R11" s="325"/>
      <c r="S11" s="316"/>
      <c r="T11" s="316"/>
      <c r="U11" s="316"/>
    </row>
    <row r="12" spans="1:25" s="317" customFormat="1" ht="12.75" customHeight="1">
      <c r="A12" s="316"/>
      <c r="B12" s="10" t="s">
        <v>40</v>
      </c>
      <c r="C12" s="10"/>
      <c r="D12" s="10"/>
      <c r="G12" s="322">
        <f>'Acq Balance Sheet'!G10</f>
        <v>6.4114444444444203</v>
      </c>
      <c r="H12" s="322"/>
      <c r="I12" s="322">
        <f>'Acq Balance Sheet'!H10</f>
        <v>7.7897777777777701</v>
      </c>
      <c r="J12" s="322"/>
      <c r="K12" s="322">
        <f>'Acq Balance Sheet'!I10</f>
        <v>9.1999999999999993</v>
      </c>
      <c r="L12" s="322"/>
      <c r="M12" s="322">
        <f>'Acq Balance Sheet'!J10</f>
        <v>10.482666666666701</v>
      </c>
      <c r="N12" s="322"/>
      <c r="O12" s="322">
        <f>'Acq Balance Sheet'!K10</f>
        <v>11.956666666666701</v>
      </c>
      <c r="P12" s="322"/>
      <c r="Q12" s="322">
        <f>'Acq Balance Sheet'!N10</f>
        <v>10.52</v>
      </c>
      <c r="S12" s="316"/>
      <c r="T12" s="316"/>
      <c r="U12" s="316"/>
    </row>
    <row r="13" spans="1:25" s="317" customFormat="1" ht="12.75" customHeight="1">
      <c r="A13" s="316"/>
      <c r="B13" s="323" t="s">
        <v>96</v>
      </c>
      <c r="C13" s="10"/>
      <c r="D13" s="10"/>
      <c r="G13" s="324">
        <f>G12/G$33*100</f>
        <v>21.3714814814814</v>
      </c>
      <c r="H13" s="325" t="s">
        <v>166</v>
      </c>
      <c r="I13" s="327">
        <f>I12/'Acq Income Statement'!I8*100</f>
        <v>22.256507936507916</v>
      </c>
      <c r="J13" s="325" t="s">
        <v>166</v>
      </c>
      <c r="K13" s="327">
        <f>K12/'Acq Income Statement'!J8*100</f>
        <v>23</v>
      </c>
      <c r="L13" s="325" t="s">
        <v>166</v>
      </c>
      <c r="M13" s="327">
        <f>M12/'Acq Income Statement'!K8*100</f>
        <v>23.294814814814892</v>
      </c>
      <c r="N13" s="325" t="s">
        <v>166</v>
      </c>
      <c r="O13" s="327">
        <f>O12/'Acq Income Statement'!L8*100</f>
        <v>23.913333333333401</v>
      </c>
      <c r="P13" s="325" t="s">
        <v>166</v>
      </c>
      <c r="Q13" s="327">
        <f>Q12/'Acq Income Statement'!S8*100</f>
        <v>20.427184466019416</v>
      </c>
      <c r="R13" s="325" t="s">
        <v>166</v>
      </c>
      <c r="S13" s="316"/>
      <c r="T13" s="316"/>
      <c r="U13" s="316"/>
    </row>
    <row r="14" spans="1:25" s="326" customFormat="1" ht="12.75" customHeight="1">
      <c r="A14" s="1350"/>
      <c r="B14" s="1351" t="s">
        <v>97</v>
      </c>
      <c r="C14" s="40"/>
      <c r="D14" s="40"/>
      <c r="G14" s="326">
        <f>+G33/G12</f>
        <v>4.6791328007209509</v>
      </c>
      <c r="H14" s="326" t="s">
        <v>167</v>
      </c>
      <c r="I14" s="326">
        <f>+I33/I12</f>
        <v>4.4930678381925073</v>
      </c>
      <c r="J14" s="326" t="s">
        <v>167</v>
      </c>
      <c r="K14" s="326">
        <f>+K33/K12</f>
        <v>4.3478260869565224</v>
      </c>
      <c r="L14" s="326" t="s">
        <v>167</v>
      </c>
      <c r="M14" s="326">
        <f>+M33/M12</f>
        <v>4.2928008140422147</v>
      </c>
      <c r="N14" s="326" t="s">
        <v>167</v>
      </c>
      <c r="O14" s="326">
        <f>+O33/O12</f>
        <v>4.181767493727337</v>
      </c>
      <c r="P14" s="326" t="s">
        <v>167</v>
      </c>
      <c r="Q14" s="326">
        <f>+Q33/Q12</f>
        <v>4.8954372623574143</v>
      </c>
      <c r="R14" s="326" t="s">
        <v>167</v>
      </c>
      <c r="S14" s="1350"/>
      <c r="T14" s="1350"/>
      <c r="U14" s="1350"/>
    </row>
    <row r="15" spans="1:25" s="317" customFormat="1" ht="12.75" customHeight="1">
      <c r="A15" s="316"/>
      <c r="B15" s="323"/>
      <c r="C15" s="10"/>
      <c r="D15" s="10"/>
      <c r="G15" s="325"/>
      <c r="H15" s="325"/>
      <c r="I15" s="325"/>
      <c r="J15" s="325"/>
      <c r="K15" s="325"/>
      <c r="L15" s="325"/>
      <c r="M15" s="325"/>
      <c r="N15" s="325"/>
      <c r="O15" s="325"/>
      <c r="P15" s="325"/>
      <c r="Q15" s="325"/>
      <c r="R15" s="328"/>
      <c r="S15" s="316"/>
      <c r="T15" s="316"/>
      <c r="U15" s="316"/>
    </row>
    <row r="16" spans="1:25" s="317" customFormat="1" ht="12.75" customHeight="1">
      <c r="A16" s="316"/>
      <c r="B16" s="10" t="s">
        <v>246</v>
      </c>
      <c r="C16" s="10"/>
      <c r="D16" s="10"/>
      <c r="G16" s="322">
        <f>'Acq Balance Sheet'!G11</f>
        <v>4.2530000000000001</v>
      </c>
      <c r="H16" s="322"/>
      <c r="I16" s="322">
        <f>'Acq Balance Sheet'!H11</f>
        <v>5.8770000000000007</v>
      </c>
      <c r="J16" s="322"/>
      <c r="K16" s="322">
        <f>'Acq Balance Sheet'!I11</f>
        <v>3.5</v>
      </c>
      <c r="L16" s="322"/>
      <c r="M16" s="322">
        <f>'Acq Balance Sheet'!J11</f>
        <v>4.2530000000000001</v>
      </c>
      <c r="N16" s="322"/>
      <c r="O16" s="322">
        <f>'Acq Balance Sheet'!K11</f>
        <v>5.8770000000000007</v>
      </c>
      <c r="P16" s="322"/>
      <c r="Q16" s="322">
        <f>'Acq Balance Sheet'!N11</f>
        <v>5</v>
      </c>
      <c r="S16" s="316"/>
      <c r="T16" s="316"/>
      <c r="U16" s="316"/>
    </row>
    <row r="17" spans="1:21" s="317" customFormat="1" ht="12.75" customHeight="1">
      <c r="A17" s="316"/>
      <c r="B17" s="323" t="s">
        <v>264</v>
      </c>
      <c r="C17" s="10"/>
      <c r="D17" s="10"/>
      <c r="G17" s="324">
        <f>G16/G$32*100</f>
        <v>7.0883333333333338</v>
      </c>
      <c r="H17" s="325" t="s">
        <v>166</v>
      </c>
      <c r="I17" s="324">
        <f>I16/I$32*100</f>
        <v>8.3957142857142877</v>
      </c>
      <c r="J17" s="325" t="s">
        <v>166</v>
      </c>
      <c r="K17" s="324">
        <f>K16/K$32*100</f>
        <v>4.375</v>
      </c>
      <c r="L17" s="325" t="s">
        <v>166</v>
      </c>
      <c r="M17" s="324">
        <f>M16/M$32*100</f>
        <v>4.7255555555555562</v>
      </c>
      <c r="N17" s="325" t="s">
        <v>166</v>
      </c>
      <c r="O17" s="324">
        <f>O16/O$32*100</f>
        <v>5.8770000000000007</v>
      </c>
      <c r="P17" s="325" t="s">
        <v>166</v>
      </c>
      <c r="Q17" s="324">
        <f>Q16/Q$32*100</f>
        <v>4.8780487804878048</v>
      </c>
      <c r="R17" s="325" t="s">
        <v>166</v>
      </c>
      <c r="S17" s="316"/>
      <c r="T17" s="316"/>
      <c r="U17" s="316"/>
    </row>
    <row r="18" spans="1:21" s="317" customFormat="1" ht="12.75" customHeight="1">
      <c r="A18" s="316"/>
      <c r="B18" s="323"/>
      <c r="C18" s="10"/>
      <c r="D18" s="10"/>
      <c r="G18" s="329"/>
      <c r="H18" s="325"/>
      <c r="I18" s="329"/>
      <c r="J18" s="325"/>
      <c r="K18" s="329"/>
      <c r="L18" s="325"/>
      <c r="M18" s="329"/>
      <c r="N18" s="325"/>
      <c r="O18" s="329"/>
      <c r="P18" s="325"/>
      <c r="Q18" s="329"/>
      <c r="R18" s="325"/>
      <c r="S18" s="316"/>
      <c r="T18" s="316"/>
      <c r="U18" s="316"/>
    </row>
    <row r="19" spans="1:21" s="317" customFormat="1" ht="12.75" customHeight="1">
      <c r="A19" s="316"/>
      <c r="B19" s="10" t="s">
        <v>48</v>
      </c>
      <c r="C19" s="10"/>
      <c r="D19" s="10"/>
      <c r="G19" s="322">
        <f>'Acq Balance Sheet'!G21</f>
        <v>10.102</v>
      </c>
      <c r="H19" s="322"/>
      <c r="I19" s="322">
        <f>'Acq Balance Sheet'!H21</f>
        <v>9.173</v>
      </c>
      <c r="J19" s="322"/>
      <c r="K19" s="322">
        <f>'Acq Balance Sheet'!I21</f>
        <v>8.2439999999999998</v>
      </c>
      <c r="L19" s="322"/>
      <c r="M19" s="322">
        <f>'Acq Balance Sheet'!J21</f>
        <v>7.3150000000000004</v>
      </c>
      <c r="N19" s="322"/>
      <c r="O19" s="322">
        <f>'Acq Balance Sheet'!K21</f>
        <v>6.3860000000000001</v>
      </c>
      <c r="P19" s="322"/>
      <c r="Q19" s="322">
        <f>'Acq Balance Sheet'!N21</f>
        <v>6.3860000000000001</v>
      </c>
      <c r="S19" s="316"/>
      <c r="T19" s="316"/>
      <c r="U19" s="316"/>
    </row>
    <row r="20" spans="1:21" s="317" customFormat="1" ht="12.75" customHeight="1">
      <c r="A20" s="316"/>
      <c r="B20" s="323" t="s">
        <v>98</v>
      </c>
      <c r="C20" s="10"/>
      <c r="D20" s="10"/>
      <c r="G20" s="326">
        <f>G19/G12*100</f>
        <v>157.56199850961013</v>
      </c>
      <c r="H20" s="325" t="s">
        <v>166</v>
      </c>
      <c r="I20" s="326">
        <f>I19/I12*100</f>
        <v>117.75688937068534</v>
      </c>
      <c r="J20" s="325" t="s">
        <v>166</v>
      </c>
      <c r="K20" s="326">
        <f>K19/K12*100</f>
        <v>89.608695652173921</v>
      </c>
      <c r="L20" s="325" t="s">
        <v>166</v>
      </c>
      <c r="M20" s="326">
        <f>M19/M12*100</f>
        <v>69.781862121597342</v>
      </c>
      <c r="N20" s="325" t="s">
        <v>166</v>
      </c>
      <c r="O20" s="326">
        <f>O19/O12*100</f>
        <v>53.409534429885554</v>
      </c>
      <c r="P20" s="325" t="s">
        <v>166</v>
      </c>
      <c r="Q20" s="326">
        <f>Q19/Q12*100</f>
        <v>60.703422053231947</v>
      </c>
      <c r="R20" s="325" t="s">
        <v>166</v>
      </c>
      <c r="S20" s="316"/>
      <c r="T20" s="316"/>
      <c r="U20" s="316"/>
    </row>
    <row r="21" spans="1:21" s="317" customFormat="1" ht="12.75" customHeight="1">
      <c r="A21" s="316"/>
      <c r="B21" s="323" t="s">
        <v>99</v>
      </c>
      <c r="C21" s="10"/>
      <c r="D21" s="10"/>
      <c r="G21" s="324">
        <f>G19/G$33*365</f>
        <v>122.90766666666667</v>
      </c>
      <c r="H21" s="325" t="s">
        <v>247</v>
      </c>
      <c r="I21" s="324">
        <f>I19/I$33*365</f>
        <v>95.661285714285725</v>
      </c>
      <c r="J21" s="325" t="s">
        <v>247</v>
      </c>
      <c r="K21" s="324">
        <f>K19/K$33*365</f>
        <v>75.226500000000001</v>
      </c>
      <c r="L21" s="325" t="s">
        <v>247</v>
      </c>
      <c r="M21" s="324">
        <f>M19/M$33*365</f>
        <v>59.332777777777778</v>
      </c>
      <c r="N21" s="325" t="s">
        <v>247</v>
      </c>
      <c r="O21" s="324">
        <f>O19/O$33*365</f>
        <v>46.617800000000003</v>
      </c>
      <c r="P21" s="325" t="s">
        <v>247</v>
      </c>
      <c r="Q21" s="324">
        <f>Q19/Q$33*365</f>
        <v>45.26</v>
      </c>
      <c r="R21" s="325" t="s">
        <v>247</v>
      </c>
      <c r="S21" s="316"/>
      <c r="T21" s="316"/>
      <c r="U21" s="316"/>
    </row>
    <row r="22" spans="1:21" s="317" customFormat="1" ht="12.75" customHeight="1">
      <c r="A22" s="316"/>
      <c r="B22" s="323"/>
      <c r="C22" s="10"/>
      <c r="D22" s="10"/>
      <c r="G22" s="329"/>
      <c r="H22" s="325"/>
      <c r="I22" s="329"/>
      <c r="J22" s="325"/>
      <c r="K22" s="329"/>
      <c r="L22" s="325"/>
      <c r="M22" s="329"/>
      <c r="N22" s="325"/>
      <c r="O22" s="329"/>
      <c r="P22" s="325"/>
      <c r="Q22" s="329"/>
      <c r="R22" s="325"/>
      <c r="S22" s="316"/>
      <c r="T22" s="316"/>
      <c r="U22" s="316"/>
    </row>
    <row r="23" spans="1:21" s="317" customFormat="1" ht="12.75" customHeight="1">
      <c r="A23" s="316"/>
      <c r="B23" s="10" t="s">
        <v>100</v>
      </c>
      <c r="C23" s="10"/>
      <c r="D23" s="10"/>
      <c r="G23" s="322">
        <f>'Acq Balance Sheet'!G22</f>
        <v>6.891</v>
      </c>
      <c r="H23" s="322"/>
      <c r="I23" s="322">
        <f>'Acq Balance Sheet'!H22</f>
        <v>7.383</v>
      </c>
      <c r="J23" s="322"/>
      <c r="K23" s="322">
        <f>'Acq Balance Sheet'!I22</f>
        <v>7.875</v>
      </c>
      <c r="L23" s="322"/>
      <c r="M23" s="322">
        <f>'Acq Balance Sheet'!J22</f>
        <v>8.3670000000000009</v>
      </c>
      <c r="N23" s="322"/>
      <c r="O23" s="322">
        <f>'Acq Balance Sheet'!K22</f>
        <v>8.859</v>
      </c>
      <c r="P23" s="322"/>
      <c r="Q23" s="322">
        <f>'Acq Balance Sheet'!N22</f>
        <v>8.859</v>
      </c>
      <c r="S23" s="316"/>
      <c r="T23" s="316"/>
      <c r="U23" s="316"/>
    </row>
    <row r="24" spans="1:21" s="317" customFormat="1" ht="12.75" customHeight="1">
      <c r="A24" s="316"/>
      <c r="B24" s="323" t="s">
        <v>259</v>
      </c>
      <c r="C24" s="10"/>
      <c r="D24" s="10"/>
      <c r="G24" s="324">
        <f>G23/G$32*100</f>
        <v>11.484999999999999</v>
      </c>
      <c r="H24" s="325" t="s">
        <v>166</v>
      </c>
      <c r="I24" s="324">
        <f>I23/I$32*100</f>
        <v>10.547142857142857</v>
      </c>
      <c r="J24" s="325" t="s">
        <v>166</v>
      </c>
      <c r="K24" s="324">
        <f>K23/K$32*100</f>
        <v>9.84375</v>
      </c>
      <c r="L24" s="325" t="s">
        <v>166</v>
      </c>
      <c r="M24" s="324">
        <f>M23/M$32*100</f>
        <v>9.2966666666666669</v>
      </c>
      <c r="N24" s="325" t="s">
        <v>166</v>
      </c>
      <c r="O24" s="324">
        <f>O23/O$32*100</f>
        <v>8.859</v>
      </c>
      <c r="P24" s="325" t="s">
        <v>166</v>
      </c>
      <c r="Q24" s="324">
        <f>Q23/Q$32*100</f>
        <v>8.6429268292682924</v>
      </c>
      <c r="R24" s="325" t="s">
        <v>166</v>
      </c>
      <c r="S24" s="316"/>
      <c r="T24" s="316"/>
      <c r="U24" s="316"/>
    </row>
    <row r="25" spans="1:21" s="317" customFormat="1" ht="12.75" customHeight="1">
      <c r="A25" s="316"/>
      <c r="B25" s="323"/>
      <c r="C25" s="10"/>
      <c r="D25" s="10"/>
      <c r="G25" s="329"/>
      <c r="H25" s="325"/>
      <c r="I25" s="329"/>
      <c r="J25" s="325"/>
      <c r="K25" s="329"/>
      <c r="L25" s="325"/>
      <c r="M25" s="329"/>
      <c r="N25" s="325"/>
      <c r="O25" s="329"/>
      <c r="P25" s="325"/>
      <c r="Q25" s="329"/>
      <c r="R25" s="325"/>
      <c r="S25" s="316"/>
      <c r="T25" s="316"/>
      <c r="U25" s="316"/>
    </row>
    <row r="26" spans="1:21" s="317" customFormat="1" ht="12.75" customHeight="1">
      <c r="A26" s="316"/>
      <c r="B26" s="317" t="s">
        <v>55</v>
      </c>
      <c r="G26" s="322">
        <f>'Acq Balance Sheet'!G31</f>
        <v>7.8524444444444192</v>
      </c>
      <c r="H26" s="322"/>
      <c r="I26" s="322">
        <f>'Acq Balance Sheet'!H31</f>
        <v>9.9617777777777761</v>
      </c>
      <c r="J26" s="322"/>
      <c r="K26" s="322">
        <f>'Acq Balance Sheet'!I31</f>
        <v>10.081000000000003</v>
      </c>
      <c r="L26" s="322"/>
      <c r="M26" s="322">
        <f>'Acq Balance Sheet'!J31</f>
        <v>15.734666666666707</v>
      </c>
      <c r="N26" s="322"/>
      <c r="O26" s="322">
        <f>'Acq Balance Sheet'!K31</f>
        <v>15.439666666666701</v>
      </c>
      <c r="P26" s="322"/>
      <c r="Q26" s="322">
        <f>'Acq Balance Sheet'!N31</f>
        <v>11.374999999999995</v>
      </c>
      <c r="S26" s="316"/>
      <c r="T26" s="316"/>
      <c r="U26" s="316"/>
    </row>
    <row r="27" spans="1:21" s="317" customFormat="1" ht="12.75" customHeight="1">
      <c r="A27" s="316"/>
      <c r="B27" s="330" t="s">
        <v>256</v>
      </c>
      <c r="C27" s="10"/>
      <c r="G27" s="324">
        <f>G26/G$32*100</f>
        <v>13.087407407407364</v>
      </c>
      <c r="H27" s="325" t="s">
        <v>166</v>
      </c>
      <c r="I27" s="324">
        <f>I26/I$32*100</f>
        <v>14.231111111111108</v>
      </c>
      <c r="J27" s="325" t="s">
        <v>166</v>
      </c>
      <c r="K27" s="324">
        <f>K26/K$32*100</f>
        <v>12.601250000000002</v>
      </c>
      <c r="L27" s="325" t="s">
        <v>166</v>
      </c>
      <c r="M27" s="324">
        <f>M26/M$32*100</f>
        <v>17.482962962963008</v>
      </c>
      <c r="N27" s="325" t="s">
        <v>166</v>
      </c>
      <c r="O27" s="324">
        <f>O26/O$32*100</f>
        <v>15.439666666666701</v>
      </c>
      <c r="P27" s="325" t="s">
        <v>166</v>
      </c>
      <c r="Q27" s="324">
        <f>Q26/Q$32*100</f>
        <v>11.097560975609751</v>
      </c>
      <c r="R27" s="325" t="s">
        <v>166</v>
      </c>
      <c r="S27" s="316"/>
      <c r="T27" s="316"/>
      <c r="U27" s="316"/>
    </row>
    <row r="29" spans="1:21">
      <c r="B29" s="312"/>
      <c r="C29" s="312"/>
      <c r="D29" s="312"/>
      <c r="E29" s="312"/>
      <c r="F29" s="312"/>
      <c r="G29" s="312"/>
      <c r="H29" s="312"/>
      <c r="I29" s="312"/>
      <c r="J29" s="312"/>
      <c r="K29" s="312"/>
      <c r="L29" s="312"/>
      <c r="M29" s="312"/>
      <c r="N29" s="312"/>
      <c r="O29" s="312"/>
      <c r="P29" s="312"/>
      <c r="Q29" s="312"/>
      <c r="R29" s="312"/>
    </row>
    <row r="30" spans="1:21" ht="13.5">
      <c r="B30" s="331" t="str">
        <f>'Acq Balance Sheet'!B36</f>
        <v>Source: Company's 2018 Form 10-K and Form 10-Q for the period ended March 31, 2019.</v>
      </c>
      <c r="C30" s="332"/>
      <c r="D30" s="332"/>
      <c r="E30" s="332"/>
      <c r="F30" s="332"/>
      <c r="G30" s="332"/>
      <c r="H30" s="332"/>
      <c r="I30" s="332"/>
      <c r="J30" s="332"/>
      <c r="K30" s="332"/>
      <c r="L30" s="332"/>
      <c r="M30" s="332"/>
      <c r="N30" s="332"/>
      <c r="O30" s="332"/>
      <c r="P30" s="332"/>
      <c r="Q30" s="332"/>
      <c r="R30" s="332"/>
    </row>
    <row r="32" spans="1:21">
      <c r="B32" s="311" t="s">
        <v>254</v>
      </c>
      <c r="F32" s="333"/>
      <c r="G32" s="334">
        <f>'Acq Income Statement'!H7</f>
        <v>60</v>
      </c>
      <c r="H32" s="334"/>
      <c r="I32" s="334">
        <f>'Acq Income Statement'!I7</f>
        <v>70</v>
      </c>
      <c r="J32" s="334"/>
      <c r="K32" s="334">
        <f>'Acq Income Statement'!J7</f>
        <v>80</v>
      </c>
      <c r="L32" s="334"/>
      <c r="M32" s="334">
        <f>'Acq Income Statement'!K7</f>
        <v>90</v>
      </c>
      <c r="N32" s="334"/>
      <c r="O32" s="334">
        <f>'Acq Income Statement'!L7</f>
        <v>100</v>
      </c>
      <c r="P32" s="334"/>
      <c r="Q32" s="334">
        <f>'Acq Income Statement'!S7</f>
        <v>102.5</v>
      </c>
    </row>
    <row r="33" spans="2:17">
      <c r="B33" s="311" t="s">
        <v>444</v>
      </c>
      <c r="G33" s="334">
        <f>'Acq Income Statement'!H8</f>
        <v>30</v>
      </c>
      <c r="H33" s="334"/>
      <c r="I33" s="334">
        <f>'Acq Income Statement'!I8</f>
        <v>35</v>
      </c>
      <c r="J33" s="334"/>
      <c r="K33" s="334">
        <f>'Acq Income Statement'!J8</f>
        <v>40</v>
      </c>
      <c r="L33" s="334"/>
      <c r="M33" s="334">
        <f>'Acq Income Statement'!K8</f>
        <v>45</v>
      </c>
      <c r="N33" s="334"/>
      <c r="O33" s="334">
        <f>'Acq Income Statement'!L8</f>
        <v>50</v>
      </c>
      <c r="P33" s="334"/>
      <c r="Q33" s="334">
        <f>'Acq Income Statement'!S8</f>
        <v>51.5</v>
      </c>
    </row>
  </sheetData>
  <customSheetViews>
    <customSheetView guid="{9AE38660-BF5A-49A3-9FC0-AD5890AFC019}" scale="115" showPageBreaks="1" showGridLines="0" printArea="1" view="pageBreakPreview" showRuler="0">
      <selection activeCell="L28" sqref="L28"/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2" type="noConversion"/>
  <printOptions horizontalCentered="1"/>
  <pageMargins left="0.35" right="0.35" top="0.35" bottom="0.35" header="0.15" footer="0.15"/>
  <pageSetup scale="91" orientation="landscape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41"/>
  </sheetPr>
  <dimension ref="A1:V45"/>
  <sheetViews>
    <sheetView showGridLines="0" view="pageBreakPreview" zoomScale="85" zoomScaleNormal="100" zoomScaleSheetLayoutView="85" workbookViewId="0"/>
  </sheetViews>
  <sheetFormatPr defaultColWidth="10.33203125" defaultRowHeight="12.75"/>
  <cols>
    <col min="1" max="1" width="2.83203125" style="4" customWidth="1"/>
    <col min="2" max="6" width="10.33203125" style="3" customWidth="1"/>
    <col min="7" max="9" width="9.6640625" style="3" customWidth="1"/>
    <col min="10" max="11" width="9.5" style="3" customWidth="1"/>
    <col min="12" max="12" width="2.83203125" style="3" customWidth="1"/>
    <col min="13" max="14" width="9.5" style="3" customWidth="1"/>
    <col min="15" max="15" width="2.83203125" style="3" customWidth="1"/>
    <col min="16" max="16" width="9.5" style="3" customWidth="1"/>
    <col min="17" max="17" width="2.83203125" style="4" customWidth="1"/>
    <col min="18" max="16384" width="10.33203125" style="4"/>
  </cols>
  <sheetData>
    <row r="1" spans="1:22">
      <c r="A1" s="2"/>
    </row>
    <row r="2" spans="1:22" ht="23.25">
      <c r="B2" s="97" t="str">
        <f>proj</f>
        <v>Project MODEL</v>
      </c>
      <c r="C2" s="1311"/>
      <c r="D2" s="1311"/>
      <c r="E2" s="1210"/>
      <c r="F2" s="1210"/>
      <c r="G2" s="1210"/>
      <c r="H2" s="1210"/>
      <c r="I2" s="1210"/>
      <c r="J2" s="1210"/>
      <c r="K2" s="1210"/>
      <c r="L2" s="1210"/>
      <c r="M2" s="1210"/>
      <c r="N2" s="1210"/>
      <c r="O2" s="1210"/>
      <c r="P2" s="1210"/>
      <c r="Q2" s="7"/>
      <c r="R2" s="7"/>
      <c r="S2" s="7"/>
      <c r="T2" s="7"/>
      <c r="U2" s="7"/>
      <c r="V2" s="7"/>
    </row>
    <row r="3" spans="1:22" s="276" customFormat="1" ht="20.100000000000001" customHeight="1">
      <c r="B3" s="384" t="str">
        <f>acq&amp;" - Cash Flow Statement"</f>
        <v>COLEMAN CO. - Cash Flow Statement</v>
      </c>
      <c r="C3" s="392"/>
      <c r="D3" s="392"/>
      <c r="E3" s="393"/>
      <c r="F3" s="393"/>
      <c r="G3" s="393"/>
      <c r="H3" s="393"/>
      <c r="I3" s="393"/>
      <c r="J3" s="393"/>
      <c r="K3" s="393"/>
      <c r="L3" s="393"/>
      <c r="M3" s="393"/>
      <c r="N3" s="393"/>
      <c r="O3" s="393"/>
      <c r="P3" s="393"/>
      <c r="Q3" s="278"/>
      <c r="R3" s="278"/>
      <c r="S3" s="278"/>
    </row>
    <row r="4" spans="1:22" s="279" customFormat="1">
      <c r="B4" s="176" t="str">
        <f>'Acq Balance Sheet'!B4</f>
        <v>(Amounts in Millions)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</row>
    <row r="5" spans="1:22" s="279" customFormat="1">
      <c r="B5" s="1302"/>
      <c r="C5" s="8"/>
      <c r="D5" s="8"/>
      <c r="E5" s="8"/>
      <c r="F5" s="8"/>
      <c r="G5" s="271" t="str">
        <f>'Acq Income Statement'!H5</f>
        <v>Fiscal Year Ended December 31,</v>
      </c>
      <c r="H5" s="271"/>
      <c r="I5" s="271"/>
      <c r="J5" s="271"/>
      <c r="K5" s="271"/>
      <c r="L5" s="17"/>
      <c r="M5" s="271" t="str">
        <f>'Acq Income Statement'!O5</f>
        <v>Three Months Ended</v>
      </c>
      <c r="N5" s="271"/>
      <c r="O5" s="179"/>
      <c r="P5" s="271" t="str">
        <f>'Acq Income Statement'!S5</f>
        <v>LTM</v>
      </c>
    </row>
    <row r="6" spans="1:22" ht="12.75" customHeight="1">
      <c r="G6" s="180">
        <f>'Acq Income Statement'!H6</f>
        <v>2014</v>
      </c>
      <c r="H6" s="180">
        <f>'Acq Income Statement'!I6</f>
        <v>2015</v>
      </c>
      <c r="I6" s="180">
        <f>'Acq Income Statement'!J6</f>
        <v>2016</v>
      </c>
      <c r="J6" s="180">
        <f>'Acq Income Statement'!K6</f>
        <v>2017</v>
      </c>
      <c r="K6" s="180">
        <f>'Acq Income Statement'!L6</f>
        <v>2018</v>
      </c>
      <c r="L6" s="109"/>
      <c r="M6" s="181">
        <f>'Acq Income Statement'!O6</f>
        <v>43190</v>
      </c>
      <c r="N6" s="181">
        <f>'Acq Income Statement'!P6</f>
        <v>43555</v>
      </c>
      <c r="O6" s="181"/>
      <c r="P6" s="1303">
        <f>'Acq Income Statement'!S6</f>
        <v>43555</v>
      </c>
    </row>
    <row r="7" spans="1:22" ht="18" customHeight="1">
      <c r="B7" s="205" t="s">
        <v>186</v>
      </c>
      <c r="G7" s="286"/>
      <c r="H7" s="287"/>
      <c r="I7" s="287"/>
      <c r="J7" s="287"/>
      <c r="K7" s="288"/>
      <c r="M7" s="286"/>
      <c r="N7" s="288"/>
    </row>
    <row r="8" spans="1:22" ht="12.75" customHeight="1">
      <c r="B8" s="151" t="s">
        <v>65</v>
      </c>
      <c r="G8" s="113">
        <f>'Acq Income Statement'!H21</f>
        <v>9.85</v>
      </c>
      <c r="H8" s="113">
        <f>'Acq Income Statement'!I21</f>
        <v>12.489000000000001</v>
      </c>
      <c r="I8" s="113">
        <f>'Acq Income Statement'!J21</f>
        <v>15.013400000000001</v>
      </c>
      <c r="J8" s="113">
        <f>'Acq Income Statement'!K21</f>
        <v>17.411249999999999</v>
      </c>
      <c r="K8" s="113">
        <f>'Acq Income Statement'!L21</f>
        <v>19.670874999999995</v>
      </c>
      <c r="L8" s="113"/>
      <c r="M8" s="113">
        <f>'Acq Income Statement'!O21</f>
        <v>4.0000000000000009</v>
      </c>
      <c r="N8" s="113">
        <f>'Acq Income Statement'!P21</f>
        <v>4.3500000000000005</v>
      </c>
      <c r="O8" s="153"/>
      <c r="P8" s="153">
        <f>K8-M8+N8</f>
        <v>20.020874999999997</v>
      </c>
    </row>
    <row r="9" spans="1:22" ht="12.75" customHeight="1">
      <c r="B9" s="145" t="s">
        <v>78</v>
      </c>
      <c r="D9" s="102"/>
      <c r="E9" s="102"/>
      <c r="F9" s="102"/>
      <c r="G9" s="190">
        <v>2.371</v>
      </c>
      <c r="H9" s="190">
        <v>2.5</v>
      </c>
      <c r="I9" s="190">
        <v>2.6</v>
      </c>
      <c r="J9" s="190">
        <v>2.7</v>
      </c>
      <c r="K9" s="190">
        <v>2.9</v>
      </c>
      <c r="L9" s="161"/>
      <c r="M9" s="190">
        <v>0.72499999999999998</v>
      </c>
      <c r="N9" s="190">
        <v>0.80837499999999995</v>
      </c>
      <c r="O9" s="161"/>
      <c r="P9" s="68">
        <f>K9-M9+N9</f>
        <v>2.9833749999999997</v>
      </c>
    </row>
    <row r="10" spans="1:22" ht="12.75" customHeight="1">
      <c r="B10" s="760" t="s">
        <v>665</v>
      </c>
      <c r="D10" s="160"/>
      <c r="E10" s="160"/>
      <c r="F10" s="160"/>
      <c r="G10" s="190">
        <v>1.1000000000000001</v>
      </c>
      <c r="H10" s="190">
        <v>1.3</v>
      </c>
      <c r="I10" s="190">
        <v>1.5</v>
      </c>
      <c r="J10" s="190">
        <v>1.7</v>
      </c>
      <c r="K10" s="190">
        <v>1.9</v>
      </c>
      <c r="L10" s="161"/>
      <c r="M10" s="190">
        <v>0.47499999999999998</v>
      </c>
      <c r="N10" s="190">
        <v>0.6</v>
      </c>
      <c r="O10" s="161"/>
      <c r="P10" s="68">
        <f>K10-M10+N10</f>
        <v>2.0249999999999999</v>
      </c>
    </row>
    <row r="11" spans="1:22" ht="12.75" customHeight="1">
      <c r="B11" s="145" t="s">
        <v>187</v>
      </c>
      <c r="D11" s="102"/>
      <c r="E11" s="102"/>
      <c r="F11" s="102"/>
      <c r="G11" s="268">
        <f>+G45</f>
        <v>0.5</v>
      </c>
      <c r="H11" s="268">
        <f t="shared" ref="H11:N11" si="0">+H45</f>
        <v>1.23533333333335</v>
      </c>
      <c r="I11" s="268">
        <f t="shared" si="0"/>
        <v>-0.75477777777777089</v>
      </c>
      <c r="J11" s="268">
        <f t="shared" si="0"/>
        <v>4.7796666666667038</v>
      </c>
      <c r="K11" s="268">
        <f t="shared" si="0"/>
        <v>-1.1690000000000023</v>
      </c>
      <c r="L11" s="161"/>
      <c r="M11" s="268">
        <f t="shared" si="0"/>
        <v>-0.52625000000000055</v>
      </c>
      <c r="N11" s="268">
        <f t="shared" si="0"/>
        <v>-0.55256250000000062</v>
      </c>
      <c r="O11" s="161"/>
      <c r="P11" s="268">
        <f>K11-M11+N11</f>
        <v>-1.1953125000000022</v>
      </c>
    </row>
    <row r="12" spans="1:22" ht="12.75" customHeight="1">
      <c r="B12" s="102" t="s">
        <v>196</v>
      </c>
      <c r="G12" s="213">
        <f>SUM(G8:G11)</f>
        <v>13.821</v>
      </c>
      <c r="H12" s="213">
        <f>SUM(H8:H11)</f>
        <v>17.524333333333352</v>
      </c>
      <c r="I12" s="213">
        <f>SUM(I8:I11)</f>
        <v>18.35862222222223</v>
      </c>
      <c r="J12" s="213">
        <f>SUM(J8:J11)</f>
        <v>26.590916666666701</v>
      </c>
      <c r="K12" s="213">
        <f>SUM(K8:K11)</f>
        <v>23.301874999999988</v>
      </c>
      <c r="L12" s="153"/>
      <c r="M12" s="213">
        <f>SUM(M8:M11)</f>
        <v>4.6737500000000001</v>
      </c>
      <c r="N12" s="213">
        <f>SUM(N8:N11)</f>
        <v>5.2058124999999995</v>
      </c>
      <c r="O12" s="153"/>
      <c r="P12" s="213">
        <f>SUM(P8:P11)</f>
        <v>23.83393749999999</v>
      </c>
    </row>
    <row r="13" spans="1:22" ht="12.75" customHeight="1">
      <c r="G13" s="310"/>
      <c r="H13" s="310"/>
      <c r="I13" s="310"/>
      <c r="J13" s="310"/>
      <c r="K13" s="310"/>
      <c r="M13" s="310"/>
      <c r="N13" s="310"/>
      <c r="P13" s="310"/>
    </row>
    <row r="14" spans="1:22" ht="12.75" customHeight="1">
      <c r="B14" s="205" t="s">
        <v>188</v>
      </c>
      <c r="G14" s="310"/>
      <c r="H14" s="310"/>
      <c r="I14" s="310"/>
      <c r="J14" s="310"/>
      <c r="K14" s="310"/>
      <c r="M14" s="310"/>
      <c r="N14" s="310"/>
      <c r="P14" s="310"/>
    </row>
    <row r="15" spans="1:22" ht="12.75" customHeight="1">
      <c r="B15" s="145" t="s">
        <v>122</v>
      </c>
      <c r="D15" s="102"/>
      <c r="E15" s="102"/>
      <c r="F15" s="102"/>
      <c r="G15" s="292">
        <v>-5</v>
      </c>
      <c r="H15" s="292">
        <v>-6</v>
      </c>
      <c r="I15" s="292">
        <v>-7</v>
      </c>
      <c r="J15" s="292">
        <v>-8</v>
      </c>
      <c r="K15" s="292">
        <v>-9</v>
      </c>
      <c r="L15" s="153"/>
      <c r="M15" s="292">
        <v>-2.25</v>
      </c>
      <c r="N15" s="292">
        <v>-2.6</v>
      </c>
      <c r="O15" s="153"/>
      <c r="P15" s="153">
        <f>K15-M15+N15</f>
        <v>-9.35</v>
      </c>
    </row>
    <row r="16" spans="1:22" ht="12.75" customHeight="1">
      <c r="B16" s="760" t="s">
        <v>49</v>
      </c>
      <c r="D16" s="160"/>
      <c r="E16" s="160"/>
      <c r="F16" s="160"/>
      <c r="G16" s="296">
        <v>0</v>
      </c>
      <c r="H16" s="296">
        <v>0</v>
      </c>
      <c r="I16" s="296">
        <v>0</v>
      </c>
      <c r="J16" s="296">
        <v>0</v>
      </c>
      <c r="K16" s="296">
        <v>0</v>
      </c>
      <c r="L16" s="161"/>
      <c r="M16" s="296">
        <v>0</v>
      </c>
      <c r="N16" s="296">
        <v>0</v>
      </c>
      <c r="O16" s="161"/>
      <c r="P16" s="268">
        <f>K16-M16+N16</f>
        <v>0</v>
      </c>
    </row>
    <row r="17" spans="2:16" ht="12.75" customHeight="1">
      <c r="B17" s="102" t="s">
        <v>197</v>
      </c>
      <c r="G17" s="213">
        <f>SUM(G15:G16)</f>
        <v>-5</v>
      </c>
      <c r="H17" s="213">
        <f>SUM(H15:H16)</f>
        <v>-6</v>
      </c>
      <c r="I17" s="213">
        <f>SUM(I15:I16)</f>
        <v>-7</v>
      </c>
      <c r="J17" s="213">
        <f>SUM(J15:J16)</f>
        <v>-8</v>
      </c>
      <c r="K17" s="213">
        <f>SUM(K15:K16)</f>
        <v>-9</v>
      </c>
      <c r="L17" s="153"/>
      <c r="M17" s="213">
        <f>SUM(M15:M16)</f>
        <v>-2.25</v>
      </c>
      <c r="N17" s="213">
        <f>SUM(N15:N16)</f>
        <v>-2.6</v>
      </c>
      <c r="O17" s="153"/>
      <c r="P17" s="213">
        <f>SUM(P15:P16)</f>
        <v>-9.35</v>
      </c>
    </row>
    <row r="18" spans="2:16" ht="12.75" customHeight="1">
      <c r="G18" s="310"/>
      <c r="H18" s="310"/>
      <c r="I18" s="310"/>
      <c r="J18" s="310"/>
      <c r="K18" s="310"/>
      <c r="M18" s="310"/>
      <c r="N18" s="310"/>
      <c r="P18" s="310"/>
    </row>
    <row r="19" spans="2:16" ht="12.75" customHeight="1">
      <c r="B19" s="205" t="s">
        <v>189</v>
      </c>
      <c r="G19" s="310"/>
      <c r="H19" s="310"/>
      <c r="I19" s="310"/>
      <c r="J19" s="310"/>
      <c r="K19" s="310"/>
      <c r="M19" s="310"/>
      <c r="N19" s="310"/>
      <c r="P19" s="310"/>
    </row>
    <row r="20" spans="2:16" ht="12.75" customHeight="1">
      <c r="B20" s="760" t="s">
        <v>666</v>
      </c>
      <c r="D20" s="160"/>
      <c r="E20" s="160"/>
      <c r="F20" s="160"/>
      <c r="G20" s="185">
        <v>0.103833333333333</v>
      </c>
      <c r="H20" s="185">
        <v>3.53333333333333E-2</v>
      </c>
      <c r="I20" s="185">
        <v>-1.2E-2</v>
      </c>
      <c r="J20" s="185">
        <v>-0.14399999999999999</v>
      </c>
      <c r="K20" s="185">
        <v>-0.14899999999999999</v>
      </c>
      <c r="L20" s="153"/>
      <c r="M20" s="185">
        <v>-3.7249999999999998E-2</v>
      </c>
      <c r="N20" s="185">
        <v>-3.7249999999999998E-2</v>
      </c>
      <c r="O20" s="153"/>
      <c r="P20" s="153">
        <f>K20-M20+N20</f>
        <v>-0.14899999999999999</v>
      </c>
    </row>
    <row r="21" spans="2:16" ht="12.75" customHeight="1">
      <c r="B21" s="760" t="s">
        <v>671</v>
      </c>
      <c r="D21" s="160"/>
      <c r="E21" s="160"/>
      <c r="F21" s="160"/>
      <c r="G21" s="185">
        <v>-0.19999999999999929</v>
      </c>
      <c r="H21" s="185">
        <v>-0.19999999999999929</v>
      </c>
      <c r="I21" s="185">
        <v>-0.16999999999999993</v>
      </c>
      <c r="J21" s="185">
        <v>-0.13000000000000078</v>
      </c>
      <c r="K21" s="185">
        <v>-9.9999999999999645E-2</v>
      </c>
      <c r="L21" s="153"/>
      <c r="M21" s="185">
        <v>-1E-3</v>
      </c>
      <c r="N21" s="185">
        <v>-9.9999999999999645E-2</v>
      </c>
      <c r="O21" s="153"/>
      <c r="P21" s="153">
        <f>K21-M21+N21</f>
        <v>-0.19899999999999929</v>
      </c>
    </row>
    <row r="22" spans="2:16" ht="12.75" customHeight="1">
      <c r="B22" s="760" t="s">
        <v>667</v>
      </c>
      <c r="G22" s="296">
        <v>-1.8815</v>
      </c>
      <c r="H22" s="296">
        <v>-0.98</v>
      </c>
      <c r="I22" s="296">
        <v>0.20300000000000001</v>
      </c>
      <c r="J22" s="296">
        <v>0.26</v>
      </c>
      <c r="K22" s="296">
        <v>0.04</v>
      </c>
      <c r="L22" s="161"/>
      <c r="M22" s="296">
        <v>0.01</v>
      </c>
      <c r="N22" s="296">
        <v>0.01</v>
      </c>
      <c r="O22" s="161"/>
      <c r="P22" s="268">
        <f>K22-M22+N22</f>
        <v>0.04</v>
      </c>
    </row>
    <row r="23" spans="2:16" ht="12.75" customHeight="1">
      <c r="B23" s="102" t="s">
        <v>198</v>
      </c>
      <c r="G23" s="213">
        <f>SUM(G20:G22)</f>
        <v>-1.9776666666666662</v>
      </c>
      <c r="H23" s="213">
        <f>SUM(H20:H22)</f>
        <v>-1.1446666666666661</v>
      </c>
      <c r="I23" s="213">
        <f>SUM(I20:I22)</f>
        <v>2.1000000000000074E-2</v>
      </c>
      <c r="J23" s="213">
        <f>SUM(J20:J22)</f>
        <v>-1.400000000000079E-2</v>
      </c>
      <c r="K23" s="213">
        <f>SUM(K20:K22)</f>
        <v>-0.20899999999999963</v>
      </c>
      <c r="L23" s="153"/>
      <c r="M23" s="213">
        <f>SUM(M20:M22)</f>
        <v>-2.8249999999999997E-2</v>
      </c>
      <c r="N23" s="213">
        <f>SUM(N20:N22)</f>
        <v>-0.12724999999999964</v>
      </c>
      <c r="O23" s="153"/>
      <c r="P23" s="213">
        <f>SUM(P20:P22)</f>
        <v>-0.30799999999999933</v>
      </c>
    </row>
    <row r="24" spans="2:16" ht="12.75" customHeight="1">
      <c r="G24" s="310"/>
      <c r="H24" s="310"/>
      <c r="I24" s="310"/>
      <c r="J24" s="310"/>
      <c r="K24" s="310"/>
      <c r="M24" s="310"/>
      <c r="N24" s="310"/>
      <c r="P24" s="310"/>
    </row>
    <row r="25" spans="2:16" ht="12.75" customHeight="1">
      <c r="B25" s="3" t="s">
        <v>410</v>
      </c>
      <c r="G25" s="185">
        <v>0.1</v>
      </c>
      <c r="H25" s="185">
        <v>-0.3</v>
      </c>
      <c r="I25" s="185">
        <v>0.2</v>
      </c>
      <c r="J25" s="185">
        <v>-0.3</v>
      </c>
      <c r="K25" s="185">
        <v>-0.1</v>
      </c>
      <c r="L25" s="153"/>
      <c r="M25" s="185">
        <v>-2.5000000000000001E-2</v>
      </c>
      <c r="N25" s="185">
        <v>0.01</v>
      </c>
      <c r="O25" s="153"/>
      <c r="P25" s="153">
        <f>K25-M25+N25</f>
        <v>-6.5000000000000016E-2</v>
      </c>
    </row>
    <row r="26" spans="2:16" ht="12.75" customHeight="1">
      <c r="G26" s="153"/>
      <c r="H26" s="153"/>
      <c r="I26" s="153"/>
      <c r="J26" s="153"/>
      <c r="K26" s="153"/>
      <c r="L26" s="153"/>
      <c r="M26" s="153"/>
      <c r="N26" s="153"/>
      <c r="O26" s="153"/>
      <c r="P26" s="153"/>
    </row>
    <row r="27" spans="2:16" ht="12.75" customHeight="1">
      <c r="B27" s="102" t="s">
        <v>199</v>
      </c>
      <c r="G27" s="213">
        <f>G12+G17+G23+G25</f>
        <v>6.9433333333333334</v>
      </c>
      <c r="H27" s="213">
        <f>H12+H17+H23+H25</f>
        <v>10.079666666666686</v>
      </c>
      <c r="I27" s="213">
        <f>I12+I17+I23+I25</f>
        <v>11.57962222222223</v>
      </c>
      <c r="J27" s="213">
        <f>J12+J17+J23+J25</f>
        <v>18.2769166666667</v>
      </c>
      <c r="K27" s="213">
        <f>K12+K17+K23+K25</f>
        <v>13.992874999999989</v>
      </c>
      <c r="L27" s="153"/>
      <c r="M27" s="213">
        <f>M12+M17+M23+M25</f>
        <v>2.3705000000000003</v>
      </c>
      <c r="N27" s="213">
        <f>N12+N17+N23+N25</f>
        <v>2.4885624999999996</v>
      </c>
      <c r="O27" s="153"/>
      <c r="P27" s="213">
        <f>P12+P17+P23+P25</f>
        <v>14.110937499999991</v>
      </c>
    </row>
    <row r="28" spans="2:16" ht="12.75" customHeight="1">
      <c r="B28" s="102"/>
      <c r="G28" s="213"/>
      <c r="H28" s="213"/>
      <c r="I28" s="213"/>
      <c r="J28" s="213"/>
      <c r="K28" s="213"/>
      <c r="L28" s="153"/>
      <c r="M28" s="213"/>
      <c r="N28" s="213"/>
      <c r="O28" s="153"/>
      <c r="P28" s="213"/>
    </row>
    <row r="29" spans="2:16" ht="12.75" customHeight="1">
      <c r="B29" s="3" t="s">
        <v>201</v>
      </c>
      <c r="G29" s="1304">
        <v>8</v>
      </c>
      <c r="H29" s="1305">
        <f>G30</f>
        <v>14.943333333333333</v>
      </c>
      <c r="I29" s="1305">
        <f>H30</f>
        <v>25.023000000000017</v>
      </c>
      <c r="J29" s="1305">
        <f>I30</f>
        <v>36.602622222222251</v>
      </c>
      <c r="K29" s="1305">
        <f>J30</f>
        <v>54.879538888888952</v>
      </c>
      <c r="L29" s="153"/>
      <c r="M29" s="1305">
        <f>+J30</f>
        <v>54.879538888888952</v>
      </c>
      <c r="N29" s="1305">
        <f>+K30</f>
        <v>68.872413888888943</v>
      </c>
      <c r="O29" s="153"/>
      <c r="P29" s="1305">
        <f>+M30</f>
        <v>57.250038888888952</v>
      </c>
    </row>
    <row r="30" spans="2:16" ht="12.75" customHeight="1" thickBot="1">
      <c r="B30" s="3" t="s">
        <v>202</v>
      </c>
      <c r="G30" s="1306">
        <f>G27+G29</f>
        <v>14.943333333333333</v>
      </c>
      <c r="H30" s="1306">
        <f>H27+H29</f>
        <v>25.023000000000017</v>
      </c>
      <c r="I30" s="1306">
        <f>I27+I29</f>
        <v>36.602622222222251</v>
      </c>
      <c r="J30" s="1306">
        <f>J27+J29</f>
        <v>54.879538888888952</v>
      </c>
      <c r="K30" s="1306">
        <f>K27+K29</f>
        <v>68.872413888888943</v>
      </c>
      <c r="L30" s="153"/>
      <c r="M30" s="1306">
        <f>M27+M29</f>
        <v>57.250038888888952</v>
      </c>
      <c r="N30" s="1306">
        <f>N27+N29</f>
        <v>71.360976388888943</v>
      </c>
      <c r="O30" s="153"/>
      <c r="P30" s="1306">
        <f>P27+P29</f>
        <v>71.360976388888943</v>
      </c>
    </row>
    <row r="31" spans="2:16" ht="12.75" customHeight="1" thickTop="1"/>
    <row r="32" spans="2:16" ht="12.75" customHeight="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2:16" ht="12.75" customHeight="1">
      <c r="B33" s="250" t="str">
        <f>"Source: Company's "&amp;YEAR(afye)&amp;" Form 10-K."</f>
        <v>Source: Company's 2018 Form 10-K.</v>
      </c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</row>
    <row r="34" spans="2:16" ht="12.75" customHeight="1"/>
    <row r="35" spans="2:16" ht="12.75" customHeight="1">
      <c r="B35" s="3" t="s">
        <v>389</v>
      </c>
      <c r="G35" s="113">
        <f>'Acq Balance Sheet'!G8</f>
        <v>14.943333333333333</v>
      </c>
      <c r="H35" s="113">
        <f>'Acq Balance Sheet'!H8</f>
        <v>25.023000000000017</v>
      </c>
      <c r="I35" s="113">
        <f>'Acq Balance Sheet'!I8</f>
        <v>36.602622222222251</v>
      </c>
      <c r="J35" s="113">
        <f>'Acq Balance Sheet'!J8</f>
        <v>54.879538888888952</v>
      </c>
      <c r="K35" s="113">
        <f>'Acq Balance Sheet'!K8</f>
        <v>68.872413888888943</v>
      </c>
      <c r="L35" s="109"/>
      <c r="M35" s="113">
        <f>'Acq Balance Sheet'!M8</f>
        <v>57.250038888888952</v>
      </c>
      <c r="N35" s="113">
        <f>'Acq Balance Sheet'!N8</f>
        <v>71.360976388888943</v>
      </c>
      <c r="O35" s="109"/>
      <c r="P35" s="153">
        <f>+N35</f>
        <v>71.360976388888943</v>
      </c>
    </row>
    <row r="36" spans="2:16" s="267" customFormat="1" ht="12.75" customHeight="1">
      <c r="B36" s="1051" t="s">
        <v>292</v>
      </c>
      <c r="C36" s="263"/>
      <c r="D36" s="263"/>
      <c r="E36" s="263"/>
      <c r="F36" s="263"/>
      <c r="G36" s="1307">
        <f>G30-G35</f>
        <v>0</v>
      </c>
      <c r="H36" s="1307">
        <f>H30-H35</f>
        <v>0</v>
      </c>
      <c r="I36" s="1307">
        <f>I30-I35</f>
        <v>0</v>
      </c>
      <c r="J36" s="1307">
        <f>J30-J35</f>
        <v>0</v>
      </c>
      <c r="K36" s="1307">
        <f>K30-K35</f>
        <v>0</v>
      </c>
      <c r="L36" s="263"/>
      <c r="M36" s="1307">
        <f>M30-M35</f>
        <v>0</v>
      </c>
      <c r="N36" s="1307">
        <f>N30-N35</f>
        <v>0</v>
      </c>
      <c r="O36" s="263"/>
      <c r="P36" s="1307">
        <f>P30-P35</f>
        <v>0</v>
      </c>
    </row>
    <row r="37" spans="2:16" ht="12.75" customHeight="1">
      <c r="J37" s="1308"/>
      <c r="P37" s="1309"/>
    </row>
    <row r="38" spans="2:16" ht="12.75" customHeight="1">
      <c r="B38" s="1310" t="s">
        <v>187</v>
      </c>
      <c r="G38" s="372"/>
      <c r="H38" s="372"/>
      <c r="I38" s="372"/>
      <c r="J38" s="372"/>
      <c r="K38" s="372"/>
      <c r="M38" s="372"/>
      <c r="N38" s="372"/>
      <c r="P38" s="372"/>
    </row>
    <row r="39" spans="2:16" ht="12.75" customHeight="1">
      <c r="B39" s="1" t="s">
        <v>39</v>
      </c>
      <c r="F39" s="201"/>
      <c r="G39" s="185">
        <v>-1.2</v>
      </c>
      <c r="H39" s="185">
        <v>-1.33</v>
      </c>
      <c r="I39" s="185">
        <v>0.64900000000000091</v>
      </c>
      <c r="J39" s="185">
        <v>3.1810000000000009</v>
      </c>
      <c r="K39" s="185">
        <v>-3.8300000000000018</v>
      </c>
      <c r="L39" s="153"/>
      <c r="M39" s="185">
        <v>-0.95750000000000046</v>
      </c>
      <c r="N39" s="185">
        <v>-1.0053750000000006</v>
      </c>
      <c r="O39" s="153"/>
      <c r="P39" s="153">
        <f t="shared" ref="P39:P44" si="1">K39-M39+N39</f>
        <v>-3.8778750000000022</v>
      </c>
    </row>
    <row r="40" spans="2:16">
      <c r="B40" s="1" t="s">
        <v>40</v>
      </c>
      <c r="G40" s="201">
        <v>1.3</v>
      </c>
      <c r="H40" s="201">
        <v>1.3783333333333498</v>
      </c>
      <c r="I40" s="201">
        <v>1.4102222222222291</v>
      </c>
      <c r="J40" s="201">
        <v>1.2826666666667013</v>
      </c>
      <c r="K40" s="201">
        <v>1.4740000000000002</v>
      </c>
      <c r="L40" s="161"/>
      <c r="M40" s="185">
        <v>0.36850000000000005</v>
      </c>
      <c r="N40" s="185">
        <v>0.38692500000000007</v>
      </c>
      <c r="O40" s="161"/>
      <c r="P40" s="161">
        <f t="shared" si="1"/>
        <v>1.4924250000000003</v>
      </c>
    </row>
    <row r="41" spans="2:16">
      <c r="B41" s="1" t="s">
        <v>246</v>
      </c>
      <c r="G41" s="201">
        <v>1.5</v>
      </c>
      <c r="H41" s="201">
        <v>1.6240000000000006</v>
      </c>
      <c r="I41" s="201">
        <v>-2.3770000000000007</v>
      </c>
      <c r="J41" s="201">
        <v>0.75300000000000011</v>
      </c>
      <c r="K41" s="201">
        <v>1.6240000000000006</v>
      </c>
      <c r="L41" s="161"/>
      <c r="M41" s="185">
        <v>0.40600000000000014</v>
      </c>
      <c r="N41" s="185">
        <v>0.42630000000000018</v>
      </c>
      <c r="O41" s="161"/>
      <c r="P41" s="161">
        <f t="shared" si="1"/>
        <v>1.6443000000000005</v>
      </c>
    </row>
    <row r="42" spans="2:16">
      <c r="B42" s="1" t="s">
        <v>48</v>
      </c>
      <c r="G42" s="201">
        <v>-0.8</v>
      </c>
      <c r="H42" s="201">
        <v>-0.92900000000000027</v>
      </c>
      <c r="I42" s="201">
        <v>-0.92900000000000027</v>
      </c>
      <c r="J42" s="201">
        <v>-0.92899999999999938</v>
      </c>
      <c r="K42" s="201">
        <v>-0.92900000000000027</v>
      </c>
      <c r="L42" s="161"/>
      <c r="M42" s="185">
        <v>-0.23225000000000007</v>
      </c>
      <c r="N42" s="185">
        <v>-0.24386250000000009</v>
      </c>
      <c r="O42" s="161"/>
      <c r="P42" s="161">
        <f t="shared" si="1"/>
        <v>-0.9406125000000003</v>
      </c>
    </row>
    <row r="43" spans="2:16">
      <c r="B43" s="1" t="s">
        <v>100</v>
      </c>
      <c r="G43" s="201">
        <v>0.5</v>
      </c>
      <c r="H43" s="201">
        <v>0.49199999999999999</v>
      </c>
      <c r="I43" s="201">
        <v>0.49199999999999999</v>
      </c>
      <c r="J43" s="201">
        <v>0.49200000000000088</v>
      </c>
      <c r="K43" s="201">
        <v>0.4919999999999991</v>
      </c>
      <c r="L43" s="161"/>
      <c r="M43" s="185">
        <v>0.12299999999999978</v>
      </c>
      <c r="N43" s="185">
        <v>0.12914999999999976</v>
      </c>
      <c r="O43" s="161"/>
      <c r="P43" s="161">
        <f t="shared" si="1"/>
        <v>0.49814999999999909</v>
      </c>
    </row>
    <row r="44" spans="2:16">
      <c r="B44" s="1" t="s">
        <v>233</v>
      </c>
      <c r="G44" s="201">
        <v>-0.8</v>
      </c>
      <c r="H44" s="201">
        <v>-0.93599999999999994</v>
      </c>
      <c r="I44" s="201">
        <v>-0.93599999999999994</v>
      </c>
      <c r="J44" s="201">
        <v>-0.93599999999999994</v>
      </c>
      <c r="K44" s="201">
        <v>-0.93599999999999994</v>
      </c>
      <c r="L44" s="161"/>
      <c r="M44" s="185">
        <v>-0.23399999999999999</v>
      </c>
      <c r="N44" s="185">
        <v>-0.2457</v>
      </c>
      <c r="O44" s="161"/>
      <c r="P44" s="161">
        <f t="shared" si="1"/>
        <v>-0.94769999999999999</v>
      </c>
    </row>
    <row r="45" spans="2:16">
      <c r="B45" s="145" t="s">
        <v>445</v>
      </c>
      <c r="G45" s="381">
        <f>SUM(G39:G44)</f>
        <v>0.5</v>
      </c>
      <c r="H45" s="381">
        <f t="shared" ref="H45:K45" si="2">SUM(H39:H43)</f>
        <v>1.23533333333335</v>
      </c>
      <c r="I45" s="381">
        <f t="shared" si="2"/>
        <v>-0.75477777777777089</v>
      </c>
      <c r="J45" s="381">
        <f t="shared" si="2"/>
        <v>4.7796666666667038</v>
      </c>
      <c r="K45" s="381">
        <f t="shared" si="2"/>
        <v>-1.1690000000000023</v>
      </c>
      <c r="L45" s="153"/>
      <c r="M45" s="381">
        <f>SUM(M39:M44)</f>
        <v>-0.52625000000000055</v>
      </c>
      <c r="N45" s="381">
        <f t="shared" ref="N45" si="3">SUM(N39:N44)</f>
        <v>-0.55256250000000062</v>
      </c>
      <c r="O45" s="153"/>
      <c r="P45" s="381">
        <f>SUM(P39:P43)</f>
        <v>-1.1836125000000024</v>
      </c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indexed="41"/>
    <pageSetUpPr fitToPage="1"/>
  </sheetPr>
  <dimension ref="A1:JM77"/>
  <sheetViews>
    <sheetView showGridLines="0" view="pageBreakPreview" zoomScale="85" zoomScaleNormal="100" zoomScaleSheetLayoutView="85" workbookViewId="0"/>
  </sheetViews>
  <sheetFormatPr defaultRowHeight="12.75" outlineLevelRow="1" outlineLevelCol="2"/>
  <cols>
    <col min="1" max="1" width="2.83203125" style="4" customWidth="1"/>
    <col min="2" max="4" width="10.83203125" style="3" customWidth="1"/>
    <col min="5" max="5" width="2.83203125" style="3" customWidth="1"/>
    <col min="6" max="6" width="10.33203125" style="3" customWidth="1" outlineLevel="1"/>
    <col min="7" max="7" width="2.83203125" style="3" customWidth="1" outlineLevel="1"/>
    <col min="8" max="8" width="10.33203125" style="3" customWidth="1" outlineLevel="1"/>
    <col min="9" max="9" width="2.83203125" style="3" customWidth="1" outlineLevel="1"/>
    <col min="10" max="10" width="10.33203125" style="3" customWidth="1" outlineLevel="1"/>
    <col min="11" max="11" width="2.83203125" style="3" customWidth="1" outlineLevel="1"/>
    <col min="12" max="12" width="10.33203125" style="3" customWidth="1" outlineLevel="1"/>
    <col min="13" max="13" width="2.83203125" style="3" customWidth="1" outlineLevel="1"/>
    <col min="14" max="14" width="10.33203125" style="3" customWidth="1" outlineLevel="1"/>
    <col min="15" max="15" width="2.83203125" style="3" customWidth="1" outlineLevel="1"/>
    <col min="16" max="16" width="10.33203125" style="3" customWidth="1" outlineLevel="2"/>
    <col min="17" max="17" width="2.83203125" style="3" customWidth="1" outlineLevel="2"/>
    <col min="18" max="18" width="10.33203125" style="3" customWidth="1" outlineLevel="2"/>
    <col min="19" max="19" width="2.83203125" style="3" customWidth="1" outlineLevel="2"/>
    <col min="20" max="20" width="10.33203125" style="3" customWidth="1" outlineLevel="1"/>
    <col min="21" max="21" width="2.83203125" style="3" customWidth="1" outlineLevel="1"/>
    <col min="22" max="22" width="12.33203125" style="3" customWidth="1" outlineLevel="1"/>
    <col min="23" max="23" width="2.83203125" style="3" customWidth="1" outlineLevel="1"/>
    <col min="24" max="24" width="10.33203125" style="3" bestFit="1" customWidth="1"/>
    <col min="25" max="25" width="2.83203125" style="96" customWidth="1"/>
    <col min="26" max="26" width="10.33203125" style="3" bestFit="1" customWidth="1"/>
    <col min="27" max="27" width="2.83203125" style="3" customWidth="1"/>
    <col min="28" max="28" width="10.33203125" style="3" bestFit="1" customWidth="1"/>
    <col min="29" max="29" width="2.83203125" style="3" customWidth="1"/>
    <col min="30" max="30" width="10.33203125" style="3" bestFit="1" customWidth="1"/>
    <col min="31" max="31" width="2.83203125" style="3" customWidth="1"/>
    <col min="32" max="32" width="10.33203125" style="3" bestFit="1" customWidth="1"/>
    <col min="33" max="33" width="2.83203125" style="3" customWidth="1"/>
    <col min="34" max="34" width="10.33203125" style="3" bestFit="1" customWidth="1"/>
    <col min="35" max="35" width="2.83203125" style="3" customWidth="1"/>
    <col min="36" max="36" width="10.33203125" style="3" bestFit="1" customWidth="1"/>
    <col min="37" max="37" width="2.83203125" style="3" customWidth="1"/>
    <col min="38" max="38" width="12.33203125" style="3" bestFit="1" customWidth="1"/>
    <col min="39" max="39" width="2.83203125" style="3" customWidth="1"/>
    <col min="40" max="240" width="9.33203125" style="3"/>
    <col min="241" max="16384" width="9.33203125" style="4"/>
  </cols>
  <sheetData>
    <row r="1" spans="1:240">
      <c r="A1" s="2"/>
    </row>
    <row r="2" spans="1:240" ht="23.25">
      <c r="B2" s="97" t="str">
        <f>proj</f>
        <v>Project MODEL</v>
      </c>
      <c r="C2" s="97"/>
      <c r="D2" s="1210"/>
      <c r="E2" s="1210"/>
      <c r="F2" s="1210"/>
      <c r="G2" s="1210"/>
      <c r="H2" s="1210"/>
      <c r="I2" s="1210"/>
      <c r="J2" s="1210"/>
      <c r="K2" s="1210"/>
      <c r="L2" s="1210"/>
      <c r="M2" s="1210"/>
      <c r="N2" s="1210"/>
      <c r="O2" s="1210"/>
      <c r="P2" s="1210"/>
      <c r="Q2" s="1210"/>
      <c r="R2" s="1210"/>
      <c r="S2" s="282"/>
      <c r="T2" s="1210"/>
      <c r="U2" s="282"/>
      <c r="V2" s="282"/>
      <c r="W2" s="282"/>
      <c r="X2" s="1210"/>
      <c r="Y2" s="1325"/>
      <c r="Z2" s="1210"/>
      <c r="AA2" s="282"/>
      <c r="AB2" s="1210"/>
      <c r="AC2" s="1210"/>
      <c r="AD2" s="1210"/>
      <c r="AE2" s="1210"/>
      <c r="AF2" s="1210"/>
      <c r="AG2" s="1210"/>
      <c r="AH2" s="1210"/>
      <c r="AI2" s="1210"/>
      <c r="AJ2" s="1210"/>
      <c r="AK2" s="282"/>
      <c r="AL2" s="282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</row>
    <row r="3" spans="1:240" s="276" customFormat="1" ht="20.100000000000001" customHeight="1">
      <c r="B3" s="384" t="str">
        <f>acq&amp;" - Summary Historical and Projected Financial Performance"</f>
        <v>COLEMAN CO. - Summary Historical and Projected Financial Performance</v>
      </c>
      <c r="C3" s="384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6" t="str">
        <f>acname</f>
        <v>Wall street consensus</v>
      </c>
    </row>
    <row r="4" spans="1:240">
      <c r="Y4" s="3"/>
    </row>
    <row r="5" spans="1:240">
      <c r="B5" s="1298" t="str">
        <f>acname</f>
        <v>Wall street consensus</v>
      </c>
      <c r="C5" s="1299"/>
      <c r="D5" s="1300"/>
      <c r="F5" s="1298" t="s">
        <v>495</v>
      </c>
      <c r="G5" s="1299"/>
      <c r="H5" s="1299"/>
      <c r="I5" s="1299"/>
      <c r="J5" s="1299"/>
      <c r="K5" s="1299"/>
      <c r="L5" s="1299"/>
      <c r="M5" s="1299"/>
      <c r="N5" s="1299"/>
      <c r="O5" s="1299"/>
      <c r="P5" s="1299"/>
      <c r="Q5" s="1299"/>
      <c r="R5" s="1299"/>
      <c r="S5" s="1299"/>
      <c r="T5" s="1299"/>
      <c r="U5" s="1299"/>
      <c r="V5" s="1300"/>
      <c r="X5" s="1298" t="s">
        <v>31</v>
      </c>
      <c r="Y5" s="1299"/>
      <c r="Z5" s="1299"/>
      <c r="AA5" s="1299"/>
      <c r="AB5" s="1299"/>
      <c r="AC5" s="1299"/>
      <c r="AD5" s="1299"/>
      <c r="AE5" s="1299"/>
      <c r="AF5" s="1299"/>
      <c r="AG5" s="1299"/>
      <c r="AH5" s="1299"/>
      <c r="AI5" s="1299"/>
      <c r="AJ5" s="1299"/>
      <c r="AK5" s="1299"/>
      <c r="AL5" s="1299"/>
      <c r="AM5" s="96"/>
      <c r="AN5" s="96"/>
      <c r="AO5" s="96"/>
    </row>
    <row r="6" spans="1:240">
      <c r="F6" s="7"/>
      <c r="H6" s="7"/>
      <c r="J6" s="7"/>
      <c r="L6" s="7"/>
      <c r="N6" s="7"/>
      <c r="O6" s="7"/>
      <c r="P6" s="7"/>
      <c r="R6" s="7"/>
      <c r="T6" s="7"/>
      <c r="X6" s="7"/>
      <c r="Z6" s="7"/>
    </row>
    <row r="7" spans="1:240">
      <c r="B7" s="176" t="str">
        <f>'Acq Proj'!B4</f>
        <v>(Amounts in Millions, Except Per Share Data)</v>
      </c>
    </row>
    <row r="8" spans="1:240" ht="5.0999999999999996" customHeight="1">
      <c r="B8" s="335"/>
    </row>
    <row r="9" spans="1:240">
      <c r="F9" s="271" t="str">
        <f>'Acq Income Statement'!H5</f>
        <v>Fiscal Year Ended December 31,</v>
      </c>
      <c r="G9" s="271"/>
      <c r="H9" s="271"/>
      <c r="I9" s="271"/>
      <c r="J9" s="271"/>
      <c r="K9" s="271"/>
      <c r="L9" s="271"/>
      <c r="M9" s="271"/>
      <c r="N9" s="271"/>
      <c r="O9" s="104"/>
      <c r="P9" s="271" t="str">
        <f>'Acq Income Statement'!O5</f>
        <v>Three Months Ended</v>
      </c>
      <c r="Q9" s="271"/>
      <c r="R9" s="271"/>
      <c r="T9" s="271" t="str">
        <f>'Acq Income Statement'!S5</f>
        <v>LTM</v>
      </c>
      <c r="V9" s="271" t="s">
        <v>183</v>
      </c>
      <c r="X9" s="271" t="s">
        <v>320</v>
      </c>
      <c r="Z9" s="271" t="str">
        <f>+T9</f>
        <v>LTM</v>
      </c>
      <c r="AB9" s="271" t="str">
        <f>"Fiscal Year Ending "&amp;TEXT(afye,"mmmm d,")</f>
        <v>Fiscal Year Ending December 31,</v>
      </c>
      <c r="AC9" s="271"/>
      <c r="AD9" s="271"/>
      <c r="AE9" s="271"/>
      <c r="AF9" s="271"/>
      <c r="AG9" s="271"/>
      <c r="AH9" s="271"/>
      <c r="AI9" s="271"/>
      <c r="AJ9" s="271"/>
      <c r="AL9" s="271" t="str">
        <f>+V9</f>
        <v>CAGR</v>
      </c>
    </row>
    <row r="10" spans="1:240">
      <c r="B10" s="336" t="s">
        <v>615</v>
      </c>
      <c r="C10" s="4"/>
      <c r="D10" s="4"/>
      <c r="F10" s="337">
        <f>'Acq Income Statement'!H6</f>
        <v>2014</v>
      </c>
      <c r="G10" s="338"/>
      <c r="H10" s="337">
        <f>'Acq Income Statement'!I6</f>
        <v>2015</v>
      </c>
      <c r="I10" s="338"/>
      <c r="J10" s="337">
        <f>'Acq Income Statement'!J6</f>
        <v>2016</v>
      </c>
      <c r="K10" s="338"/>
      <c r="L10" s="337">
        <f>'Acq Income Statement'!K6</f>
        <v>2017</v>
      </c>
      <c r="M10" s="338"/>
      <c r="N10" s="337">
        <f>'Acq Income Statement'!L6</f>
        <v>2018</v>
      </c>
      <c r="O10" s="104"/>
      <c r="P10" s="339">
        <f>'Acq Income Statement'!O6</f>
        <v>43190</v>
      </c>
      <c r="Q10" s="338"/>
      <c r="R10" s="339">
        <f>'Acq Income Statement'!P6</f>
        <v>43555</v>
      </c>
      <c r="T10" s="339">
        <f>'Acq Income Statement'!S6</f>
        <v>43555</v>
      </c>
      <c r="V10" s="340" t="str">
        <f>"FY"&amp;TEXT(F10-2000,"00")&amp;"-FY"&amp;TEXT(N10-2000,"00")</f>
        <v>FY14-FY18</v>
      </c>
      <c r="X10" s="337">
        <f t="shared" ref="X10:X16" si="0">+N10</f>
        <v>2018</v>
      </c>
      <c r="Z10" s="339">
        <f>+T10</f>
        <v>43555</v>
      </c>
      <c r="AB10" s="338">
        <f>'Acq Proj'!L7</f>
        <v>2019</v>
      </c>
      <c r="AC10" s="338"/>
      <c r="AD10" s="341">
        <f>'Acq Proj'!M7</f>
        <v>2020</v>
      </c>
      <c r="AE10" s="341"/>
      <c r="AF10" s="341">
        <f>'Acq Proj'!N7</f>
        <v>2021</v>
      </c>
      <c r="AG10" s="338"/>
      <c r="AH10" s="341">
        <f>'Acq Proj'!O7</f>
        <v>2022</v>
      </c>
      <c r="AI10" s="338"/>
      <c r="AJ10" s="341">
        <f>'Acq Proj'!P7</f>
        <v>2023</v>
      </c>
      <c r="AL10" s="340" t="str">
        <f>"FY"&amp;TEXT(AB10-2000,"00")&amp;"-FY"&amp;TEXT(AJ10-2000,"00")</f>
        <v>FY19-FY23</v>
      </c>
    </row>
    <row r="11" spans="1:240">
      <c r="B11" s="235" t="str">
        <f>'Acq Income Statement'!B7</f>
        <v>Net Sales</v>
      </c>
      <c r="C11" s="4"/>
      <c r="D11" s="4"/>
      <c r="F11" s="342">
        <f>'Acq Income Statement'!H7</f>
        <v>60</v>
      </c>
      <c r="G11" s="113"/>
      <c r="H11" s="342">
        <f>'Acq Income Statement'!I7</f>
        <v>70</v>
      </c>
      <c r="I11" s="113"/>
      <c r="J11" s="342">
        <f>'Acq Income Statement'!J7</f>
        <v>80</v>
      </c>
      <c r="K11" s="113"/>
      <c r="L11" s="342">
        <f>'Acq Income Statement'!K7</f>
        <v>90</v>
      </c>
      <c r="M11" s="113"/>
      <c r="N11" s="342">
        <f>'Acq Income Statement'!L7</f>
        <v>100</v>
      </c>
      <c r="O11" s="113"/>
      <c r="P11" s="342">
        <f>'Acq Income Statement'!O7</f>
        <v>22.5</v>
      </c>
      <c r="Q11" s="113"/>
      <c r="R11" s="342">
        <f>'Acq Income Statement'!P7</f>
        <v>25</v>
      </c>
      <c r="S11" s="109"/>
      <c r="T11" s="342">
        <f>'Acq Income Statement'!S7</f>
        <v>102.5</v>
      </c>
      <c r="V11" s="343">
        <f t="shared" ref="V11:V16" si="1">IF(AND(N11&gt;=0,F11&gt;=0),((N11/F11)^(1/(N$10-F$10))-1)*100,"NM ")</f>
        <v>13.621936646749933</v>
      </c>
      <c r="W11" s="310" t="s">
        <v>166</v>
      </c>
      <c r="X11" s="344">
        <f t="shared" si="0"/>
        <v>100</v>
      </c>
      <c r="Z11" s="153">
        <f t="shared" ref="Z11:Z16" si="2">+T11</f>
        <v>102.5</v>
      </c>
      <c r="AB11" s="342">
        <f>'Acq Proj'!L8</f>
        <v>120</v>
      </c>
      <c r="AC11" s="113"/>
      <c r="AD11" s="342">
        <f>'Acq Proj'!M8</f>
        <v>140</v>
      </c>
      <c r="AE11" s="113"/>
      <c r="AF11" s="342">
        <f>'Acq Proj'!N8</f>
        <v>160</v>
      </c>
      <c r="AG11" s="113"/>
      <c r="AH11" s="342">
        <f>'Acq Proj'!O8</f>
        <v>180</v>
      </c>
      <c r="AI11" s="113"/>
      <c r="AJ11" s="342">
        <f>'Acq Proj'!P8</f>
        <v>202.5</v>
      </c>
      <c r="AL11" s="343">
        <f t="shared" ref="AL11:AL16" si="3">IF(AND(AJ11&gt;=0,AB11&gt;=0),((AJ11/AB11)^(1/(AJ$10-AB$10))-1)*100,"NM ")</f>
        <v>13.975352847738876</v>
      </c>
      <c r="AM11" s="310" t="s">
        <v>166</v>
      </c>
    </row>
    <row r="12" spans="1:240">
      <c r="B12" s="109" t="str">
        <f>alabel1&amp;'Acq Income Statement'!B9</f>
        <v>Gross Profit</v>
      </c>
      <c r="F12" s="115">
        <f>'Acq Income Statement'!H36</f>
        <v>30</v>
      </c>
      <c r="G12" s="115"/>
      <c r="H12" s="115">
        <f>'Acq Income Statement'!I36</f>
        <v>35</v>
      </c>
      <c r="I12" s="115"/>
      <c r="J12" s="115">
        <f>'Acq Income Statement'!J36</f>
        <v>40</v>
      </c>
      <c r="K12" s="115"/>
      <c r="L12" s="115">
        <f>'Acq Income Statement'!K36</f>
        <v>46.3</v>
      </c>
      <c r="M12" s="115"/>
      <c r="N12" s="115">
        <f>'Acq Income Statement'!L36</f>
        <v>50.5</v>
      </c>
      <c r="O12" s="115"/>
      <c r="P12" s="115">
        <f>'Acq Income Statement'!O36</f>
        <v>11.5</v>
      </c>
      <c r="Q12" s="115"/>
      <c r="R12" s="115">
        <f>'Acq Income Statement'!P36</f>
        <v>12.5</v>
      </c>
      <c r="S12" s="109"/>
      <c r="T12" s="115">
        <f>'Acq Income Statement'!S36</f>
        <v>51.5</v>
      </c>
      <c r="V12" s="343">
        <f t="shared" si="1"/>
        <v>13.904932454009099</v>
      </c>
      <c r="X12" s="161">
        <f t="shared" si="0"/>
        <v>50.5</v>
      </c>
      <c r="Z12" s="161">
        <f t="shared" si="2"/>
        <v>51.5</v>
      </c>
      <c r="AB12" s="115">
        <f>'Acq Proj'!L10</f>
        <v>60</v>
      </c>
      <c r="AC12" s="115"/>
      <c r="AD12" s="115">
        <f>'Acq Proj'!M10</f>
        <v>70</v>
      </c>
      <c r="AE12" s="115"/>
      <c r="AF12" s="115">
        <f>'Acq Proj'!N10</f>
        <v>80</v>
      </c>
      <c r="AG12" s="115"/>
      <c r="AH12" s="115">
        <f>'Acq Proj'!O10</f>
        <v>90</v>
      </c>
      <c r="AI12" s="115"/>
      <c r="AJ12" s="115">
        <f>'Acq Proj'!P10</f>
        <v>101.25</v>
      </c>
      <c r="AL12" s="343">
        <f t="shared" si="3"/>
        <v>13.975352847738876</v>
      </c>
    </row>
    <row r="13" spans="1:240">
      <c r="B13" s="109" t="str">
        <f>alabel1&amp;'Acq Income Statement'!B31</f>
        <v>EBITDA</v>
      </c>
      <c r="F13" s="115">
        <f>'Acq Income Statement'!H40</f>
        <v>16.870999999999999</v>
      </c>
      <c r="G13" s="115"/>
      <c r="H13" s="115">
        <f>'Acq Income Statement'!I40</f>
        <v>20.5</v>
      </c>
      <c r="I13" s="115"/>
      <c r="J13" s="115">
        <f>'Acq Income Statement'!J40</f>
        <v>23.95</v>
      </c>
      <c r="K13" s="115"/>
      <c r="L13" s="115">
        <f>'Acq Income Statement'!K40</f>
        <v>29.034999999999997</v>
      </c>
      <c r="M13" s="115"/>
      <c r="N13" s="115">
        <f>'Acq Income Statement'!L40</f>
        <v>31.938499999999994</v>
      </c>
      <c r="O13" s="115"/>
      <c r="P13" s="115">
        <f>'Acq Income Statement'!O40</f>
        <v>6.3250000000000002</v>
      </c>
      <c r="Q13" s="115"/>
      <c r="R13" s="115">
        <f>'Acq Income Statement'!P40</f>
        <v>6.7083750000000002</v>
      </c>
      <c r="S13" s="109"/>
      <c r="T13" s="115">
        <f>'Acq Income Statement'!S40</f>
        <v>32.321874999999991</v>
      </c>
      <c r="V13" s="343">
        <f t="shared" si="1"/>
        <v>17.298760389509038</v>
      </c>
      <c r="X13" s="161">
        <f t="shared" si="0"/>
        <v>31.938499999999994</v>
      </c>
      <c r="Z13" s="161">
        <f t="shared" si="2"/>
        <v>32.321874999999991</v>
      </c>
      <c r="AB13" s="115">
        <f>'Acq Proj'!L36</f>
        <v>40</v>
      </c>
      <c r="AC13" s="115"/>
      <c r="AD13" s="115">
        <f>'Acq Proj'!M36</f>
        <v>45</v>
      </c>
      <c r="AE13" s="115"/>
      <c r="AF13" s="115">
        <f>'Acq Proj'!N36</f>
        <v>51.428571428571431</v>
      </c>
      <c r="AG13" s="115"/>
      <c r="AH13" s="115">
        <f>'Acq Proj'!O36</f>
        <v>57.857142857142854</v>
      </c>
      <c r="AI13" s="115"/>
      <c r="AJ13" s="115">
        <f>'Acq Proj'!P36</f>
        <v>65.089285714285708</v>
      </c>
      <c r="AL13" s="343">
        <f t="shared" si="3"/>
        <v>12.943795597905329</v>
      </c>
    </row>
    <row r="14" spans="1:240">
      <c r="B14" s="109" t="str">
        <f>alabel1&amp;'Acq Income Statement'!B29</f>
        <v>EBIT</v>
      </c>
      <c r="F14" s="115">
        <f>'Acq Income Statement'!H41</f>
        <v>14.5</v>
      </c>
      <c r="G14" s="115"/>
      <c r="H14" s="115">
        <f>'Acq Income Statement'!I41</f>
        <v>18</v>
      </c>
      <c r="I14" s="115"/>
      <c r="J14" s="115">
        <f>'Acq Income Statement'!J41</f>
        <v>21.349999999999998</v>
      </c>
      <c r="K14" s="115"/>
      <c r="L14" s="115">
        <f>'Acq Income Statement'!K41</f>
        <v>26.334999999999997</v>
      </c>
      <c r="M14" s="115"/>
      <c r="N14" s="115">
        <f>'Acq Income Statement'!L41</f>
        <v>29.038499999999996</v>
      </c>
      <c r="O14" s="115"/>
      <c r="P14" s="115">
        <f>'Acq Income Statement'!O41</f>
        <v>5.6000000000000005</v>
      </c>
      <c r="Q14" s="115"/>
      <c r="R14" s="115">
        <f>'Acq Income Statement'!P41</f>
        <v>5.9</v>
      </c>
      <c r="S14" s="109"/>
      <c r="T14" s="115">
        <f>'Acq Income Statement'!S41</f>
        <v>29.338499999999996</v>
      </c>
      <c r="V14" s="343">
        <f t="shared" si="1"/>
        <v>18.960161239927189</v>
      </c>
      <c r="X14" s="161">
        <f t="shared" si="0"/>
        <v>29.038499999999996</v>
      </c>
      <c r="Z14" s="161">
        <f t="shared" si="2"/>
        <v>29.338499999999996</v>
      </c>
      <c r="AB14" s="115">
        <f>'Acq Proj'!L34</f>
        <v>30</v>
      </c>
      <c r="AC14" s="115"/>
      <c r="AD14" s="115">
        <f>'Acq Proj'!M34</f>
        <v>35</v>
      </c>
      <c r="AE14" s="115"/>
      <c r="AF14" s="115">
        <f>'Acq Proj'!N34</f>
        <v>40</v>
      </c>
      <c r="AG14" s="115"/>
      <c r="AH14" s="115">
        <f>'Acq Proj'!O34</f>
        <v>45</v>
      </c>
      <c r="AI14" s="115"/>
      <c r="AJ14" s="115">
        <f>'Acq Proj'!P34</f>
        <v>50.625</v>
      </c>
      <c r="AL14" s="343">
        <f t="shared" si="3"/>
        <v>13.975352847738876</v>
      </c>
    </row>
    <row r="15" spans="1:240">
      <c r="B15" s="109" t="str">
        <f>'Acq Income Statement'!B19&amp;alabel2</f>
        <v>Net Income</v>
      </c>
      <c r="F15" s="115">
        <f>'Acq Income Statement'!H43</f>
        <v>9.85</v>
      </c>
      <c r="G15" s="115"/>
      <c r="H15" s="115">
        <f>'Acq Income Statement'!I43</f>
        <v>12.489000000000001</v>
      </c>
      <c r="I15" s="115"/>
      <c r="J15" s="115">
        <f>'Acq Income Statement'!J43</f>
        <v>15.013400000000001</v>
      </c>
      <c r="K15" s="115"/>
      <c r="L15" s="115">
        <f>'Acq Income Statement'!K43</f>
        <v>18.76125</v>
      </c>
      <c r="M15" s="115"/>
      <c r="N15" s="115">
        <f>'Acq Income Statement'!L43</f>
        <v>20.795874999999995</v>
      </c>
      <c r="O15" s="115"/>
      <c r="P15" s="115">
        <f>'Acq Income Statement'!O43</f>
        <v>4.0000000000000009</v>
      </c>
      <c r="Q15" s="115"/>
      <c r="R15" s="115">
        <f>'Acq Income Statement'!P43</f>
        <v>4.3500000000000005</v>
      </c>
      <c r="S15" s="109"/>
      <c r="T15" s="115">
        <f>'Acq Income Statement'!S43</f>
        <v>21.145874999999997</v>
      </c>
      <c r="V15" s="343">
        <f t="shared" si="1"/>
        <v>20.5411254354281</v>
      </c>
      <c r="X15" s="161">
        <f t="shared" si="0"/>
        <v>20.795874999999995</v>
      </c>
      <c r="Z15" s="161">
        <f t="shared" si="2"/>
        <v>21.145874999999997</v>
      </c>
      <c r="AB15" s="115">
        <f ca="1">'Acq Proj'!L20</f>
        <v>22.594155697330223</v>
      </c>
      <c r="AC15" s="115"/>
      <c r="AD15" s="115">
        <f ca="1">'Acq Proj'!M20</f>
        <v>26.58263288760627</v>
      </c>
      <c r="AE15" s="115"/>
      <c r="AF15" s="115">
        <f ca="1">'Acq Proj'!N20</f>
        <v>30.417724059325856</v>
      </c>
      <c r="AG15" s="115"/>
      <c r="AH15" s="115">
        <f ca="1">'Acq Proj'!O20</f>
        <v>34.266150397805632</v>
      </c>
      <c r="AI15" s="115"/>
      <c r="AJ15" s="115">
        <f ca="1">'Acq Proj'!P20</f>
        <v>38.596797734568078</v>
      </c>
      <c r="AL15" s="343">
        <f t="shared" ca="1" si="3"/>
        <v>14.324362731019512</v>
      </c>
    </row>
    <row r="16" spans="1:240">
      <c r="B16" s="109" t="str">
        <f>'Acq Income Statement'!B24&amp;alabel2</f>
        <v>Diluted EPS</v>
      </c>
      <c r="F16" s="108">
        <f>'Acq Income Statement'!H44</f>
        <v>0.94711538461538436</v>
      </c>
      <c r="G16" s="108"/>
      <c r="H16" s="108">
        <f>'Acq Income Statement'!I44</f>
        <v>1.1782075471698112</v>
      </c>
      <c r="I16" s="108"/>
      <c r="J16" s="108">
        <f>'Acq Income Statement'!J44</f>
        <v>1.3901296296296297</v>
      </c>
      <c r="K16" s="108"/>
      <c r="L16" s="108">
        <f>'Acq Income Statement'!K44</f>
        <v>1.7055681818181818</v>
      </c>
      <c r="M16" s="108"/>
      <c r="N16" s="108">
        <f>'Acq Income Statement'!L44</f>
        <v>1.8567745535714282</v>
      </c>
      <c r="O16" s="108"/>
      <c r="P16" s="108">
        <f>'Acq Income Statement'!O44</f>
        <v>0.35874439461883417</v>
      </c>
      <c r="Q16" s="108"/>
      <c r="R16" s="108">
        <f>'Acq Income Statement'!P44</f>
        <v>0.38495575221238942</v>
      </c>
      <c r="S16" s="109"/>
      <c r="T16" s="108">
        <f>'Acq Income Statement'!S44</f>
        <v>1.8817241379310341</v>
      </c>
      <c r="V16" s="343">
        <f t="shared" si="1"/>
        <v>18.328421510837089</v>
      </c>
      <c r="X16" s="138">
        <f t="shared" si="0"/>
        <v>1.8567745535714282</v>
      </c>
      <c r="Z16" s="138">
        <f t="shared" si="2"/>
        <v>1.8817241379310341</v>
      </c>
      <c r="AB16" s="108">
        <f ca="1">'Acq Proj'!L26</f>
        <v>1.8393463904462517</v>
      </c>
      <c r="AC16" s="108"/>
      <c r="AD16" s="108">
        <f ca="1">'Acq Proj'!M26</f>
        <v>2.1640405822357822</v>
      </c>
      <c r="AE16" s="108"/>
      <c r="AF16" s="108">
        <f ca="1">'Acq Proj'!N26</f>
        <v>2.4762479157706321</v>
      </c>
      <c r="AG16" s="108"/>
      <c r="AH16" s="108">
        <f ca="1">'Acq Proj'!O26</f>
        <v>2.7895408393658023</v>
      </c>
      <c r="AI16" s="108"/>
      <c r="AJ16" s="108">
        <f ca="1">'Acq Proj'!P26</f>
        <v>3.1420904390886593</v>
      </c>
      <c r="AL16" s="343">
        <f t="shared" ca="1" si="3"/>
        <v>14.324362731019512</v>
      </c>
    </row>
    <row r="17" spans="2:273" hidden="1" outlineLevel="1">
      <c r="B17" s="109"/>
      <c r="F17" s="345"/>
      <c r="G17" s="345"/>
      <c r="H17" s="345"/>
      <c r="I17" s="345"/>
      <c r="J17" s="345"/>
      <c r="K17" s="345"/>
      <c r="L17" s="345"/>
      <c r="M17" s="345"/>
      <c r="N17" s="345"/>
      <c r="O17" s="109"/>
      <c r="P17" s="345"/>
      <c r="Q17" s="345"/>
      <c r="R17" s="345"/>
      <c r="S17" s="109"/>
      <c r="T17" s="345"/>
      <c r="X17" s="164"/>
      <c r="Z17" s="123"/>
      <c r="AB17" s="345"/>
      <c r="AC17" s="345"/>
      <c r="AD17" s="345"/>
      <c r="AE17" s="345"/>
      <c r="AF17" s="345"/>
      <c r="AG17" s="345"/>
      <c r="AH17" s="345"/>
      <c r="AI17" s="345"/>
      <c r="AJ17" s="345"/>
    </row>
    <row r="18" spans="2:273" hidden="1" outlineLevel="1">
      <c r="B18" s="109" t="str">
        <f>'Acq Income Statement'!B26</f>
        <v>Number of Stores</v>
      </c>
      <c r="F18" s="346">
        <f>'Acq Income Statement'!H26</f>
        <v>51</v>
      </c>
      <c r="G18" s="346"/>
      <c r="H18" s="346">
        <f>'Acq Income Statement'!I26</f>
        <v>60</v>
      </c>
      <c r="I18" s="346"/>
      <c r="J18" s="346">
        <f>'Acq Income Statement'!J26</f>
        <v>62</v>
      </c>
      <c r="K18" s="346"/>
      <c r="L18" s="346">
        <f>'Acq Income Statement'!K26</f>
        <v>65</v>
      </c>
      <c r="M18" s="346"/>
      <c r="N18" s="346">
        <f>'Acq Income Statement'!L26</f>
        <v>72</v>
      </c>
      <c r="O18" s="346"/>
      <c r="P18" s="346">
        <f>'Acq Income Statement'!O26</f>
        <v>66</v>
      </c>
      <c r="Q18" s="346"/>
      <c r="R18" s="346">
        <f>'Acq Income Statement'!P26</f>
        <v>73</v>
      </c>
      <c r="S18" s="347"/>
      <c r="T18" s="346">
        <f>'Acq Income Statement'!S26</f>
        <v>73</v>
      </c>
      <c r="U18" s="348"/>
      <c r="V18" s="348"/>
      <c r="W18" s="348"/>
      <c r="X18" s="349">
        <f>+N18</f>
        <v>72</v>
      </c>
      <c r="Z18" s="349">
        <f>+T18</f>
        <v>73</v>
      </c>
      <c r="AA18" s="348"/>
      <c r="AB18" s="346">
        <f>'Acq Proj'!L28</f>
        <v>77</v>
      </c>
      <c r="AC18" s="346"/>
      <c r="AD18" s="346">
        <f>'Acq Proj'!M28</f>
        <v>82</v>
      </c>
      <c r="AE18" s="346"/>
      <c r="AF18" s="346">
        <f>'Acq Proj'!N28</f>
        <v>87</v>
      </c>
      <c r="AG18" s="346"/>
      <c r="AH18" s="346">
        <f>'Acq Proj'!O28</f>
        <v>92</v>
      </c>
      <c r="AI18" s="346"/>
      <c r="AJ18" s="346">
        <f>'Acq Proj'!P28</f>
        <v>97</v>
      </c>
      <c r="AK18" s="348"/>
      <c r="AL18" s="348"/>
      <c r="AM18" s="348"/>
      <c r="AN18" s="348"/>
      <c r="AO18" s="348"/>
      <c r="AP18" s="348"/>
      <c r="AQ18" s="348"/>
      <c r="AR18" s="348"/>
      <c r="AS18" s="348"/>
      <c r="AT18" s="348"/>
      <c r="AU18" s="348"/>
      <c r="AV18" s="348"/>
      <c r="AW18" s="348"/>
      <c r="AX18" s="348"/>
      <c r="AY18" s="348"/>
      <c r="AZ18" s="348"/>
      <c r="BA18" s="348"/>
      <c r="BB18" s="348"/>
      <c r="BC18" s="348"/>
      <c r="BD18" s="348"/>
      <c r="BE18" s="348"/>
      <c r="BF18" s="348"/>
      <c r="BG18" s="348"/>
      <c r="BH18" s="348"/>
      <c r="BI18" s="348"/>
      <c r="BJ18" s="348"/>
      <c r="BK18" s="348"/>
      <c r="BL18" s="348"/>
      <c r="BM18" s="348"/>
      <c r="BN18" s="348"/>
      <c r="BO18" s="348"/>
      <c r="BP18" s="348"/>
      <c r="BQ18" s="348"/>
      <c r="BR18" s="348"/>
      <c r="BS18" s="348"/>
      <c r="BT18" s="348"/>
      <c r="BU18" s="348"/>
      <c r="BV18" s="348"/>
      <c r="BW18" s="348"/>
      <c r="BX18" s="348"/>
      <c r="BY18" s="348"/>
      <c r="BZ18" s="348"/>
      <c r="CA18" s="348"/>
      <c r="CB18" s="348"/>
      <c r="CC18" s="348"/>
      <c r="CD18" s="348"/>
      <c r="CE18" s="348"/>
      <c r="CF18" s="348"/>
      <c r="CG18" s="348"/>
      <c r="CH18" s="348"/>
      <c r="CI18" s="348"/>
      <c r="CJ18" s="348"/>
      <c r="CK18" s="348"/>
      <c r="CL18" s="348"/>
      <c r="CM18" s="348"/>
      <c r="CN18" s="348"/>
      <c r="CO18" s="348"/>
      <c r="CP18" s="348"/>
      <c r="CQ18" s="348"/>
      <c r="CR18" s="348"/>
      <c r="CS18" s="348"/>
      <c r="CT18" s="348"/>
      <c r="CU18" s="348"/>
      <c r="CV18" s="348"/>
      <c r="CW18" s="348"/>
      <c r="CX18" s="348"/>
      <c r="CY18" s="348"/>
      <c r="CZ18" s="348"/>
      <c r="DA18" s="348"/>
      <c r="DB18" s="348"/>
      <c r="DC18" s="348"/>
      <c r="DD18" s="348"/>
      <c r="DE18" s="348"/>
      <c r="DF18" s="348"/>
      <c r="DG18" s="348"/>
      <c r="DH18" s="348"/>
      <c r="DI18" s="348"/>
      <c r="DJ18" s="348"/>
      <c r="DK18" s="348"/>
      <c r="DL18" s="348"/>
      <c r="DM18" s="348"/>
      <c r="DN18" s="348"/>
      <c r="DO18" s="348"/>
      <c r="DP18" s="348"/>
      <c r="DQ18" s="348"/>
      <c r="DR18" s="348"/>
      <c r="DS18" s="348"/>
      <c r="DT18" s="348"/>
      <c r="DU18" s="348"/>
      <c r="DV18" s="348"/>
      <c r="DW18" s="348"/>
      <c r="DX18" s="348"/>
      <c r="DY18" s="348"/>
      <c r="DZ18" s="348"/>
      <c r="EA18" s="348"/>
      <c r="EB18" s="348"/>
      <c r="EC18" s="348"/>
      <c r="ED18" s="348"/>
      <c r="EE18" s="348"/>
      <c r="EF18" s="348"/>
      <c r="EG18" s="348"/>
      <c r="EH18" s="348"/>
      <c r="EI18" s="348"/>
      <c r="EJ18" s="348"/>
      <c r="EK18" s="348"/>
      <c r="EL18" s="348"/>
      <c r="EM18" s="348"/>
      <c r="EN18" s="348"/>
      <c r="EO18" s="348"/>
      <c r="EP18" s="348"/>
      <c r="EQ18" s="348"/>
      <c r="ER18" s="348"/>
      <c r="ES18" s="348"/>
      <c r="ET18" s="348"/>
      <c r="EU18" s="348"/>
      <c r="EV18" s="348"/>
      <c r="EW18" s="348"/>
      <c r="EX18" s="348"/>
      <c r="EY18" s="348"/>
      <c r="EZ18" s="348"/>
      <c r="FA18" s="348"/>
      <c r="FB18" s="348"/>
      <c r="FC18" s="348"/>
      <c r="FD18" s="348"/>
      <c r="FE18" s="348"/>
      <c r="FF18" s="348"/>
      <c r="FG18" s="348"/>
      <c r="FH18" s="348"/>
      <c r="FI18" s="348"/>
      <c r="FJ18" s="348"/>
      <c r="FK18" s="348"/>
      <c r="FL18" s="348"/>
      <c r="FM18" s="348"/>
      <c r="FN18" s="348"/>
      <c r="FO18" s="348"/>
      <c r="FP18" s="348"/>
      <c r="FQ18" s="348"/>
      <c r="FR18" s="348"/>
      <c r="FS18" s="348"/>
      <c r="FT18" s="348"/>
      <c r="FU18" s="348"/>
      <c r="FV18" s="348"/>
      <c r="FW18" s="348"/>
      <c r="FX18" s="348"/>
      <c r="FY18" s="348"/>
      <c r="FZ18" s="348"/>
      <c r="GA18" s="348"/>
      <c r="GB18" s="348"/>
      <c r="GC18" s="348"/>
      <c r="GD18" s="348"/>
      <c r="GE18" s="348"/>
      <c r="GF18" s="348"/>
      <c r="GG18" s="348"/>
      <c r="GH18" s="348"/>
      <c r="GI18" s="348"/>
      <c r="GJ18" s="348"/>
      <c r="GK18" s="348"/>
      <c r="GL18" s="348"/>
      <c r="GM18" s="348"/>
      <c r="GN18" s="348"/>
      <c r="GO18" s="348"/>
      <c r="GP18" s="348"/>
      <c r="GQ18" s="348"/>
      <c r="GR18" s="348"/>
      <c r="GS18" s="348"/>
      <c r="GT18" s="348"/>
      <c r="GU18" s="348"/>
      <c r="GV18" s="348"/>
      <c r="GW18" s="348"/>
      <c r="GX18" s="348"/>
      <c r="GY18" s="348"/>
      <c r="GZ18" s="348"/>
      <c r="HA18" s="348"/>
      <c r="HB18" s="348"/>
      <c r="HC18" s="348"/>
      <c r="HD18" s="348"/>
      <c r="HE18" s="348"/>
      <c r="HF18" s="348"/>
      <c r="HG18" s="348"/>
      <c r="HH18" s="348"/>
      <c r="HI18" s="348"/>
      <c r="HJ18" s="348"/>
      <c r="HK18" s="348"/>
      <c r="HL18" s="348"/>
      <c r="HM18" s="348"/>
      <c r="HN18" s="348"/>
      <c r="HO18" s="348"/>
      <c r="HP18" s="348"/>
      <c r="HQ18" s="348"/>
      <c r="HR18" s="348"/>
      <c r="HS18" s="348"/>
      <c r="HT18" s="348"/>
      <c r="HU18" s="348"/>
      <c r="HV18" s="348"/>
      <c r="HW18" s="348"/>
      <c r="HX18" s="348"/>
      <c r="HY18" s="348"/>
      <c r="HZ18" s="348"/>
      <c r="IA18" s="348"/>
      <c r="IB18" s="348"/>
      <c r="IC18" s="348"/>
      <c r="ID18" s="348"/>
      <c r="IE18" s="348"/>
      <c r="IF18" s="348"/>
      <c r="IG18" s="350"/>
      <c r="IH18" s="350"/>
      <c r="II18" s="350"/>
      <c r="IJ18" s="350"/>
      <c r="IK18" s="350"/>
      <c r="IL18" s="350"/>
      <c r="IM18" s="350"/>
      <c r="IN18" s="350"/>
      <c r="IO18" s="350"/>
      <c r="IP18" s="350"/>
      <c r="IQ18" s="350"/>
      <c r="IR18" s="350"/>
      <c r="IS18" s="350"/>
      <c r="IT18" s="350"/>
      <c r="IU18" s="350"/>
      <c r="IV18" s="350"/>
      <c r="IW18" s="350"/>
      <c r="IX18" s="350"/>
      <c r="IY18" s="350"/>
      <c r="IZ18" s="350"/>
      <c r="JA18" s="350"/>
      <c r="JB18" s="350"/>
      <c r="JC18" s="350"/>
      <c r="JD18" s="350"/>
      <c r="JE18" s="350"/>
      <c r="JF18" s="350"/>
      <c r="JG18" s="350"/>
      <c r="JH18" s="350"/>
      <c r="JI18" s="350"/>
      <c r="JJ18" s="350"/>
      <c r="JK18" s="350"/>
      <c r="JL18" s="350"/>
      <c r="JM18" s="350"/>
    </row>
    <row r="19" spans="2:273" collapsed="1"/>
    <row r="20" spans="2:273">
      <c r="B20" s="139" t="s">
        <v>184</v>
      </c>
    </row>
    <row r="21" spans="2:273" s="351" customFormat="1">
      <c r="B21" s="3" t="str">
        <f>alabel1&amp;"Gross Margin"</f>
        <v>Gross Margin</v>
      </c>
      <c r="C21" s="310"/>
      <c r="D21" s="310"/>
      <c r="E21" s="310"/>
      <c r="F21" s="343">
        <f>(F12/F$11)*100</f>
        <v>50</v>
      </c>
      <c r="G21" s="310" t="s">
        <v>166</v>
      </c>
      <c r="H21" s="343">
        <f>(H12/H$11)*100</f>
        <v>50</v>
      </c>
      <c r="I21" s="310" t="s">
        <v>166</v>
      </c>
      <c r="J21" s="343">
        <f>(J12/J$11)*100</f>
        <v>50</v>
      </c>
      <c r="K21" s="310" t="s">
        <v>166</v>
      </c>
      <c r="L21" s="343">
        <f>(L12/L$11)*100</f>
        <v>51.444444444444436</v>
      </c>
      <c r="M21" s="310" t="s">
        <v>166</v>
      </c>
      <c r="N21" s="343">
        <f>(N12/N$11)*100</f>
        <v>50.5</v>
      </c>
      <c r="O21" s="310" t="s">
        <v>166</v>
      </c>
      <c r="P21" s="343">
        <f>(P12/P$11)*100</f>
        <v>51.111111111111107</v>
      </c>
      <c r="Q21" s="310" t="s">
        <v>166</v>
      </c>
      <c r="R21" s="343">
        <f>(R12/R$11)*100</f>
        <v>50</v>
      </c>
      <c r="S21" s="310" t="s">
        <v>166</v>
      </c>
      <c r="T21" s="343">
        <f>(T12/T$11)*100</f>
        <v>50.243902439024389</v>
      </c>
      <c r="U21" s="310" t="s">
        <v>166</v>
      </c>
      <c r="V21" s="310"/>
      <c r="W21" s="310"/>
      <c r="X21" s="343">
        <f>(X12/X$11)*100</f>
        <v>50.5</v>
      </c>
      <c r="Z21" s="343">
        <f>(Z12/Z$11)*100</f>
        <v>50.243902439024389</v>
      </c>
      <c r="AA21" s="310" t="s">
        <v>166</v>
      </c>
      <c r="AB21" s="343">
        <f>(AB12/AB$11)*100</f>
        <v>50</v>
      </c>
      <c r="AC21" s="310" t="s">
        <v>166</v>
      </c>
      <c r="AD21" s="343">
        <f>(AD12/AD$11)*100</f>
        <v>50</v>
      </c>
      <c r="AE21" s="310" t="s">
        <v>166</v>
      </c>
      <c r="AF21" s="343">
        <f>(AF12/AF$11)*100</f>
        <v>50</v>
      </c>
      <c r="AG21" s="310" t="s">
        <v>166</v>
      </c>
      <c r="AH21" s="343">
        <f>(AH12/AH$11)*100</f>
        <v>50</v>
      </c>
      <c r="AI21" s="310" t="s">
        <v>166</v>
      </c>
      <c r="AJ21" s="343">
        <f>(AJ12/AJ$11)*100</f>
        <v>50</v>
      </c>
      <c r="AK21" s="310" t="s">
        <v>166</v>
      </c>
      <c r="AL21" s="310"/>
      <c r="AM21" s="310"/>
      <c r="AN21" s="310"/>
      <c r="AO21" s="310"/>
      <c r="AP21" s="310"/>
      <c r="AQ21" s="310"/>
      <c r="AR21" s="310"/>
      <c r="AS21" s="310"/>
      <c r="AT21" s="310"/>
      <c r="AU21" s="310"/>
      <c r="AV21" s="310"/>
      <c r="AW21" s="310"/>
      <c r="AX21" s="310"/>
      <c r="AY21" s="310"/>
      <c r="AZ21" s="310"/>
      <c r="BA21" s="310"/>
      <c r="BB21" s="310"/>
      <c r="BC21" s="310"/>
      <c r="BD21" s="310"/>
      <c r="BE21" s="310"/>
      <c r="BF21" s="310"/>
      <c r="BG21" s="310"/>
      <c r="BH21" s="310"/>
      <c r="BI21" s="310"/>
      <c r="BJ21" s="310"/>
      <c r="BK21" s="310"/>
      <c r="BL21" s="310"/>
      <c r="BM21" s="310"/>
      <c r="BN21" s="310"/>
      <c r="BO21" s="310"/>
      <c r="BP21" s="310"/>
      <c r="BQ21" s="310"/>
      <c r="BR21" s="310"/>
      <c r="BS21" s="310"/>
      <c r="BT21" s="310"/>
      <c r="BU21" s="310"/>
      <c r="BV21" s="310"/>
      <c r="BW21" s="310"/>
      <c r="BX21" s="310"/>
      <c r="BY21" s="310"/>
      <c r="BZ21" s="310"/>
      <c r="CA21" s="310"/>
      <c r="CB21" s="310"/>
      <c r="CC21" s="310"/>
      <c r="CD21" s="310"/>
      <c r="CE21" s="310"/>
      <c r="CF21" s="310"/>
      <c r="CG21" s="310"/>
      <c r="CH21" s="310"/>
      <c r="CI21" s="310"/>
      <c r="CJ21" s="310"/>
      <c r="CK21" s="310"/>
      <c r="CL21" s="310"/>
      <c r="CM21" s="310"/>
      <c r="CN21" s="310"/>
      <c r="CO21" s="310"/>
      <c r="CP21" s="310"/>
      <c r="CQ21" s="310"/>
      <c r="CR21" s="310"/>
      <c r="CS21" s="310"/>
      <c r="CT21" s="310"/>
      <c r="CU21" s="310"/>
      <c r="CV21" s="310"/>
      <c r="CW21" s="310"/>
      <c r="CX21" s="310"/>
      <c r="CY21" s="310"/>
      <c r="CZ21" s="310"/>
      <c r="DA21" s="310"/>
      <c r="DB21" s="310"/>
      <c r="DC21" s="310"/>
      <c r="DD21" s="310"/>
      <c r="DE21" s="310"/>
      <c r="DF21" s="310"/>
      <c r="DG21" s="310"/>
      <c r="DH21" s="310"/>
      <c r="DI21" s="310"/>
      <c r="DJ21" s="310"/>
      <c r="DK21" s="310"/>
      <c r="DL21" s="310"/>
      <c r="DM21" s="310"/>
      <c r="DN21" s="310"/>
      <c r="DO21" s="310"/>
      <c r="DP21" s="310"/>
      <c r="DQ21" s="310"/>
      <c r="DR21" s="310"/>
      <c r="DS21" s="310"/>
      <c r="DT21" s="310"/>
      <c r="DU21" s="310"/>
      <c r="DV21" s="310"/>
      <c r="DW21" s="310"/>
      <c r="DX21" s="310"/>
      <c r="DY21" s="310"/>
      <c r="DZ21" s="310"/>
      <c r="EA21" s="310"/>
      <c r="EB21" s="310"/>
      <c r="EC21" s="310"/>
      <c r="ED21" s="310"/>
      <c r="EE21" s="310"/>
      <c r="EF21" s="310"/>
      <c r="EG21" s="310"/>
      <c r="EH21" s="310"/>
      <c r="EI21" s="310"/>
      <c r="EJ21" s="310"/>
      <c r="EK21" s="310"/>
      <c r="EL21" s="310"/>
      <c r="EM21" s="310"/>
      <c r="EN21" s="310"/>
      <c r="EO21" s="310"/>
      <c r="EP21" s="310"/>
      <c r="EQ21" s="310"/>
      <c r="ER21" s="310"/>
      <c r="ES21" s="310"/>
      <c r="ET21" s="310"/>
      <c r="EU21" s="310"/>
      <c r="EV21" s="310"/>
      <c r="EW21" s="310"/>
      <c r="EX21" s="310"/>
      <c r="EY21" s="310"/>
      <c r="EZ21" s="310"/>
      <c r="FA21" s="310"/>
      <c r="FB21" s="310"/>
      <c r="FC21" s="310"/>
      <c r="FD21" s="310"/>
      <c r="FE21" s="310"/>
      <c r="FF21" s="310"/>
      <c r="FG21" s="310"/>
      <c r="FH21" s="310"/>
      <c r="FI21" s="310"/>
      <c r="FJ21" s="310"/>
      <c r="FK21" s="310"/>
      <c r="FL21" s="310"/>
      <c r="FM21" s="310"/>
      <c r="FN21" s="310"/>
      <c r="FO21" s="310"/>
      <c r="FP21" s="310"/>
      <c r="FQ21" s="310"/>
      <c r="FR21" s="310"/>
      <c r="FS21" s="310"/>
      <c r="FT21" s="310"/>
      <c r="FU21" s="310"/>
      <c r="FV21" s="310"/>
      <c r="FW21" s="310"/>
      <c r="FX21" s="310"/>
      <c r="FY21" s="310"/>
      <c r="FZ21" s="310"/>
      <c r="GA21" s="310"/>
      <c r="GB21" s="310"/>
      <c r="GC21" s="310"/>
      <c r="GD21" s="310"/>
      <c r="GE21" s="310"/>
      <c r="GF21" s="310"/>
      <c r="GG21" s="310"/>
      <c r="GH21" s="310"/>
      <c r="GI21" s="310"/>
      <c r="GJ21" s="310"/>
      <c r="GK21" s="310"/>
      <c r="GL21" s="310"/>
      <c r="GM21" s="310"/>
      <c r="GN21" s="310"/>
      <c r="GO21" s="310"/>
      <c r="GP21" s="310"/>
      <c r="GQ21" s="310"/>
      <c r="GR21" s="310"/>
      <c r="GS21" s="310"/>
      <c r="GT21" s="310"/>
      <c r="GU21" s="310"/>
      <c r="GV21" s="310"/>
      <c r="GW21" s="310"/>
      <c r="GX21" s="310"/>
      <c r="GY21" s="310"/>
      <c r="GZ21" s="310"/>
      <c r="HA21" s="310"/>
      <c r="HB21" s="310"/>
      <c r="HC21" s="310"/>
      <c r="HD21" s="310"/>
      <c r="HE21" s="310"/>
      <c r="HF21" s="310"/>
      <c r="HG21" s="310"/>
      <c r="HH21" s="310"/>
      <c r="HI21" s="310"/>
      <c r="HJ21" s="310"/>
      <c r="HK21" s="310"/>
      <c r="HL21" s="310"/>
      <c r="HM21" s="310"/>
      <c r="HN21" s="310"/>
      <c r="HO21" s="310"/>
      <c r="HP21" s="310"/>
      <c r="HQ21" s="310"/>
      <c r="HR21" s="310"/>
      <c r="HS21" s="310"/>
      <c r="HT21" s="310"/>
      <c r="HU21" s="310"/>
      <c r="HV21" s="310"/>
      <c r="HW21" s="310"/>
      <c r="HX21" s="310"/>
      <c r="HY21" s="310"/>
      <c r="HZ21" s="310"/>
      <c r="IA21" s="310"/>
      <c r="IB21" s="310"/>
      <c r="IC21" s="310"/>
      <c r="ID21" s="310"/>
      <c r="IE21" s="310"/>
      <c r="IF21" s="310"/>
    </row>
    <row r="22" spans="2:273" s="351" customFormat="1">
      <c r="B22" s="310" t="str">
        <f>+B13</f>
        <v>EBITDA</v>
      </c>
      <c r="C22" s="310"/>
      <c r="D22" s="310"/>
      <c r="E22" s="310"/>
      <c r="F22" s="343">
        <f>(F13/F$11)*100</f>
        <v>28.118333333333329</v>
      </c>
      <c r="G22" s="310"/>
      <c r="H22" s="343">
        <f>(H13/H$11)*100</f>
        <v>29.285714285714288</v>
      </c>
      <c r="I22" s="310"/>
      <c r="J22" s="343">
        <f>(J13/J$11)*100</f>
        <v>29.9375</v>
      </c>
      <c r="K22" s="310"/>
      <c r="L22" s="343">
        <f>(L13/L$11)*100</f>
        <v>32.261111111111106</v>
      </c>
      <c r="M22" s="310"/>
      <c r="N22" s="343">
        <f>(N13/N$11)*100</f>
        <v>31.938499999999991</v>
      </c>
      <c r="O22" s="310"/>
      <c r="P22" s="343">
        <f>(P13/P$11)*100</f>
        <v>28.111111111111114</v>
      </c>
      <c r="Q22" s="310"/>
      <c r="R22" s="343">
        <f>(R13/R$11)*100</f>
        <v>26.833500000000001</v>
      </c>
      <c r="S22" s="310"/>
      <c r="T22" s="343">
        <f>(T13/T$11)*100</f>
        <v>31.533536585365844</v>
      </c>
      <c r="U22" s="310"/>
      <c r="V22" s="310"/>
      <c r="W22" s="310"/>
      <c r="X22" s="343">
        <f>(X13/X$11)*100</f>
        <v>31.938499999999991</v>
      </c>
      <c r="Z22" s="343">
        <f>(Z13/Z$11)*100</f>
        <v>31.533536585365844</v>
      </c>
      <c r="AA22" s="310"/>
      <c r="AB22" s="343">
        <f>(AB13/AB$11)*100</f>
        <v>33.333333333333329</v>
      </c>
      <c r="AC22" s="310"/>
      <c r="AD22" s="343">
        <f>(AD13/AD$11)*100</f>
        <v>32.142857142857146</v>
      </c>
      <c r="AE22" s="310"/>
      <c r="AF22" s="343">
        <f>(AF13/AF$11)*100</f>
        <v>32.142857142857146</v>
      </c>
      <c r="AG22" s="310"/>
      <c r="AH22" s="343">
        <f>(AH13/AH$11)*100</f>
        <v>32.142857142857139</v>
      </c>
      <c r="AI22" s="310"/>
      <c r="AJ22" s="343">
        <f>(AJ13/AJ$11)*100</f>
        <v>32.142857142857139</v>
      </c>
      <c r="AK22" s="310"/>
      <c r="AL22" s="310"/>
      <c r="AM22" s="310"/>
      <c r="AN22" s="310"/>
      <c r="AO22" s="310"/>
      <c r="AP22" s="310"/>
      <c r="AQ22" s="310"/>
      <c r="AR22" s="310"/>
      <c r="AS22" s="310"/>
      <c r="AT22" s="310"/>
      <c r="AU22" s="310"/>
      <c r="AV22" s="310"/>
      <c r="AW22" s="310"/>
      <c r="AX22" s="310"/>
      <c r="AY22" s="310"/>
      <c r="AZ22" s="310"/>
      <c r="BA22" s="310"/>
      <c r="BB22" s="310"/>
      <c r="BC22" s="310"/>
      <c r="BD22" s="310"/>
      <c r="BE22" s="310"/>
      <c r="BF22" s="310"/>
      <c r="BG22" s="310"/>
      <c r="BH22" s="310"/>
      <c r="BI22" s="310"/>
      <c r="BJ22" s="310"/>
      <c r="BK22" s="310"/>
      <c r="BL22" s="310"/>
      <c r="BM22" s="310"/>
      <c r="BN22" s="310"/>
      <c r="BO22" s="310"/>
      <c r="BP22" s="310"/>
      <c r="BQ22" s="310"/>
      <c r="BR22" s="310"/>
      <c r="BS22" s="310"/>
      <c r="BT22" s="310"/>
      <c r="BU22" s="310"/>
      <c r="BV22" s="310"/>
      <c r="BW22" s="310"/>
      <c r="BX22" s="310"/>
      <c r="BY22" s="310"/>
      <c r="BZ22" s="310"/>
      <c r="CA22" s="310"/>
      <c r="CB22" s="310"/>
      <c r="CC22" s="310"/>
      <c r="CD22" s="310"/>
      <c r="CE22" s="310"/>
      <c r="CF22" s="310"/>
      <c r="CG22" s="310"/>
      <c r="CH22" s="310"/>
      <c r="CI22" s="310"/>
      <c r="CJ22" s="310"/>
      <c r="CK22" s="310"/>
      <c r="CL22" s="310"/>
      <c r="CM22" s="310"/>
      <c r="CN22" s="310"/>
      <c r="CO22" s="310"/>
      <c r="CP22" s="310"/>
      <c r="CQ22" s="310"/>
      <c r="CR22" s="310"/>
      <c r="CS22" s="310"/>
      <c r="CT22" s="310"/>
      <c r="CU22" s="310"/>
      <c r="CV22" s="310"/>
      <c r="CW22" s="310"/>
      <c r="CX22" s="310"/>
      <c r="CY22" s="310"/>
      <c r="CZ22" s="310"/>
      <c r="DA22" s="310"/>
      <c r="DB22" s="310"/>
      <c r="DC22" s="310"/>
      <c r="DD22" s="310"/>
      <c r="DE22" s="310"/>
      <c r="DF22" s="310"/>
      <c r="DG22" s="310"/>
      <c r="DH22" s="310"/>
      <c r="DI22" s="310"/>
      <c r="DJ22" s="310"/>
      <c r="DK22" s="310"/>
      <c r="DL22" s="310"/>
      <c r="DM22" s="310"/>
      <c r="DN22" s="310"/>
      <c r="DO22" s="310"/>
      <c r="DP22" s="310"/>
      <c r="DQ22" s="310"/>
      <c r="DR22" s="310"/>
      <c r="DS22" s="310"/>
      <c r="DT22" s="310"/>
      <c r="DU22" s="310"/>
      <c r="DV22" s="310"/>
      <c r="DW22" s="310"/>
      <c r="DX22" s="310"/>
      <c r="DY22" s="310"/>
      <c r="DZ22" s="310"/>
      <c r="EA22" s="310"/>
      <c r="EB22" s="310"/>
      <c r="EC22" s="310"/>
      <c r="ED22" s="310"/>
      <c r="EE22" s="310"/>
      <c r="EF22" s="310"/>
      <c r="EG22" s="310"/>
      <c r="EH22" s="310"/>
      <c r="EI22" s="310"/>
      <c r="EJ22" s="310"/>
      <c r="EK22" s="310"/>
      <c r="EL22" s="310"/>
      <c r="EM22" s="310"/>
      <c r="EN22" s="310"/>
      <c r="EO22" s="310"/>
      <c r="EP22" s="310"/>
      <c r="EQ22" s="310"/>
      <c r="ER22" s="310"/>
      <c r="ES22" s="310"/>
      <c r="ET22" s="310"/>
      <c r="EU22" s="310"/>
      <c r="EV22" s="310"/>
      <c r="EW22" s="310"/>
      <c r="EX22" s="310"/>
      <c r="EY22" s="310"/>
      <c r="EZ22" s="310"/>
      <c r="FA22" s="310"/>
      <c r="FB22" s="310"/>
      <c r="FC22" s="310"/>
      <c r="FD22" s="310"/>
      <c r="FE22" s="310"/>
      <c r="FF22" s="310"/>
      <c r="FG22" s="310"/>
      <c r="FH22" s="310"/>
      <c r="FI22" s="310"/>
      <c r="FJ22" s="310"/>
      <c r="FK22" s="310"/>
      <c r="FL22" s="310"/>
      <c r="FM22" s="310"/>
      <c r="FN22" s="310"/>
      <c r="FO22" s="310"/>
      <c r="FP22" s="310"/>
      <c r="FQ22" s="310"/>
      <c r="FR22" s="310"/>
      <c r="FS22" s="310"/>
      <c r="FT22" s="310"/>
      <c r="FU22" s="310"/>
      <c r="FV22" s="310"/>
      <c r="FW22" s="310"/>
      <c r="FX22" s="310"/>
      <c r="FY22" s="310"/>
      <c r="FZ22" s="310"/>
      <c r="GA22" s="310"/>
      <c r="GB22" s="310"/>
      <c r="GC22" s="310"/>
      <c r="GD22" s="310"/>
      <c r="GE22" s="310"/>
      <c r="GF22" s="310"/>
      <c r="GG22" s="310"/>
      <c r="GH22" s="310"/>
      <c r="GI22" s="310"/>
      <c r="GJ22" s="310"/>
      <c r="GK22" s="310"/>
      <c r="GL22" s="310"/>
      <c r="GM22" s="310"/>
      <c r="GN22" s="310"/>
      <c r="GO22" s="310"/>
      <c r="GP22" s="310"/>
      <c r="GQ22" s="310"/>
      <c r="GR22" s="310"/>
      <c r="GS22" s="310"/>
      <c r="GT22" s="310"/>
      <c r="GU22" s="310"/>
      <c r="GV22" s="310"/>
      <c r="GW22" s="310"/>
      <c r="GX22" s="310"/>
      <c r="GY22" s="310"/>
      <c r="GZ22" s="310"/>
      <c r="HA22" s="310"/>
      <c r="HB22" s="310"/>
      <c r="HC22" s="310"/>
      <c r="HD22" s="310"/>
      <c r="HE22" s="310"/>
      <c r="HF22" s="310"/>
      <c r="HG22" s="310"/>
      <c r="HH22" s="310"/>
      <c r="HI22" s="310"/>
      <c r="HJ22" s="310"/>
      <c r="HK22" s="310"/>
      <c r="HL22" s="310"/>
      <c r="HM22" s="310"/>
      <c r="HN22" s="310"/>
      <c r="HO22" s="310"/>
      <c r="HP22" s="310"/>
      <c r="HQ22" s="310"/>
      <c r="HR22" s="310"/>
      <c r="HS22" s="310"/>
      <c r="HT22" s="310"/>
      <c r="HU22" s="310"/>
      <c r="HV22" s="310"/>
      <c r="HW22" s="310"/>
      <c r="HX22" s="310"/>
      <c r="HY22" s="310"/>
      <c r="HZ22" s="310"/>
      <c r="IA22" s="310"/>
      <c r="IB22" s="310"/>
      <c r="IC22" s="310"/>
      <c r="ID22" s="310"/>
      <c r="IE22" s="310"/>
      <c r="IF22" s="310"/>
    </row>
    <row r="23" spans="2:273" s="351" customFormat="1">
      <c r="B23" s="310" t="str">
        <f>+B14</f>
        <v>EBIT</v>
      </c>
      <c r="C23" s="310"/>
      <c r="D23" s="310"/>
      <c r="E23" s="310"/>
      <c r="F23" s="343">
        <f>(F14/F$11)*100</f>
        <v>24.166666666666668</v>
      </c>
      <c r="G23" s="310"/>
      <c r="H23" s="343">
        <f>(H14/H$11)*100</f>
        <v>25.714285714285712</v>
      </c>
      <c r="I23" s="310"/>
      <c r="J23" s="343">
        <f>(J14/J$11)*100</f>
        <v>26.687499999999996</v>
      </c>
      <c r="K23" s="310"/>
      <c r="L23" s="343">
        <f>(L14/L$11)*100</f>
        <v>29.261111111111109</v>
      </c>
      <c r="M23" s="310"/>
      <c r="N23" s="343">
        <f>(N14/N$11)*100</f>
        <v>29.038499999999996</v>
      </c>
      <c r="O23" s="310"/>
      <c r="P23" s="343">
        <f>(P14/P$11)*100</f>
        <v>24.888888888888889</v>
      </c>
      <c r="Q23" s="310"/>
      <c r="R23" s="343">
        <f>(R14/R$11)*100</f>
        <v>23.6</v>
      </c>
      <c r="S23" s="310"/>
      <c r="T23" s="343">
        <f>(T14/T$11)*100</f>
        <v>28.622926829268291</v>
      </c>
      <c r="U23" s="310"/>
      <c r="V23" s="310"/>
      <c r="W23" s="310"/>
      <c r="X23" s="343">
        <f>(X14/X$11)*100</f>
        <v>29.038499999999996</v>
      </c>
      <c r="Z23" s="343">
        <f>(Z14/Z$11)*100</f>
        <v>28.622926829268291</v>
      </c>
      <c r="AA23" s="310"/>
      <c r="AB23" s="343">
        <f>(AB14/AB$11)*100</f>
        <v>25</v>
      </c>
      <c r="AC23" s="310"/>
      <c r="AD23" s="343">
        <f>(AD14/AD$11)*100</f>
        <v>25</v>
      </c>
      <c r="AE23" s="310"/>
      <c r="AF23" s="343">
        <f>(AF14/AF$11)*100</f>
        <v>25</v>
      </c>
      <c r="AG23" s="310"/>
      <c r="AH23" s="343">
        <f>(AH14/AH$11)*100</f>
        <v>25</v>
      </c>
      <c r="AI23" s="310"/>
      <c r="AJ23" s="343">
        <f>(AJ14/AJ$11)*100</f>
        <v>25</v>
      </c>
      <c r="AK23" s="310"/>
      <c r="AL23" s="310"/>
      <c r="AM23" s="310"/>
      <c r="AN23" s="310"/>
      <c r="AO23" s="310"/>
      <c r="AP23" s="310"/>
      <c r="AQ23" s="310"/>
      <c r="AR23" s="310"/>
      <c r="AS23" s="310"/>
      <c r="AT23" s="310"/>
      <c r="AU23" s="310"/>
      <c r="AV23" s="310"/>
      <c r="AW23" s="310"/>
      <c r="AX23" s="310"/>
      <c r="AY23" s="310"/>
      <c r="AZ23" s="310"/>
      <c r="BA23" s="310"/>
      <c r="BB23" s="310"/>
      <c r="BC23" s="310"/>
      <c r="BD23" s="310"/>
      <c r="BE23" s="310"/>
      <c r="BF23" s="310"/>
      <c r="BG23" s="310"/>
      <c r="BH23" s="310"/>
      <c r="BI23" s="310"/>
      <c r="BJ23" s="310"/>
      <c r="BK23" s="310"/>
      <c r="BL23" s="310"/>
      <c r="BM23" s="310"/>
      <c r="BN23" s="310"/>
      <c r="BO23" s="310"/>
      <c r="BP23" s="310"/>
      <c r="BQ23" s="310"/>
      <c r="BR23" s="310"/>
      <c r="BS23" s="310"/>
      <c r="BT23" s="310"/>
      <c r="BU23" s="310"/>
      <c r="BV23" s="310"/>
      <c r="BW23" s="310"/>
      <c r="BX23" s="310"/>
      <c r="BY23" s="310"/>
      <c r="BZ23" s="310"/>
      <c r="CA23" s="310"/>
      <c r="CB23" s="310"/>
      <c r="CC23" s="310"/>
      <c r="CD23" s="310"/>
      <c r="CE23" s="310"/>
      <c r="CF23" s="310"/>
      <c r="CG23" s="310"/>
      <c r="CH23" s="310"/>
      <c r="CI23" s="310"/>
      <c r="CJ23" s="310"/>
      <c r="CK23" s="310"/>
      <c r="CL23" s="310"/>
      <c r="CM23" s="310"/>
      <c r="CN23" s="310"/>
      <c r="CO23" s="310"/>
      <c r="CP23" s="310"/>
      <c r="CQ23" s="310"/>
      <c r="CR23" s="310"/>
      <c r="CS23" s="310"/>
      <c r="CT23" s="310"/>
      <c r="CU23" s="310"/>
      <c r="CV23" s="310"/>
      <c r="CW23" s="310"/>
      <c r="CX23" s="310"/>
      <c r="CY23" s="310"/>
      <c r="CZ23" s="310"/>
      <c r="DA23" s="310"/>
      <c r="DB23" s="310"/>
      <c r="DC23" s="310"/>
      <c r="DD23" s="310"/>
      <c r="DE23" s="310"/>
      <c r="DF23" s="310"/>
      <c r="DG23" s="310"/>
      <c r="DH23" s="310"/>
      <c r="DI23" s="310"/>
      <c r="DJ23" s="310"/>
      <c r="DK23" s="310"/>
      <c r="DL23" s="310"/>
      <c r="DM23" s="310"/>
      <c r="DN23" s="310"/>
      <c r="DO23" s="310"/>
      <c r="DP23" s="310"/>
      <c r="DQ23" s="310"/>
      <c r="DR23" s="310"/>
      <c r="DS23" s="310"/>
      <c r="DT23" s="310"/>
      <c r="DU23" s="310"/>
      <c r="DV23" s="310"/>
      <c r="DW23" s="310"/>
      <c r="DX23" s="310"/>
      <c r="DY23" s="310"/>
      <c r="DZ23" s="310"/>
      <c r="EA23" s="310"/>
      <c r="EB23" s="310"/>
      <c r="EC23" s="310"/>
      <c r="ED23" s="310"/>
      <c r="EE23" s="310"/>
      <c r="EF23" s="310"/>
      <c r="EG23" s="310"/>
      <c r="EH23" s="310"/>
      <c r="EI23" s="310"/>
      <c r="EJ23" s="310"/>
      <c r="EK23" s="310"/>
      <c r="EL23" s="310"/>
      <c r="EM23" s="310"/>
      <c r="EN23" s="310"/>
      <c r="EO23" s="310"/>
      <c r="EP23" s="310"/>
      <c r="EQ23" s="310"/>
      <c r="ER23" s="310"/>
      <c r="ES23" s="310"/>
      <c r="ET23" s="310"/>
      <c r="EU23" s="310"/>
      <c r="EV23" s="310"/>
      <c r="EW23" s="310"/>
      <c r="EX23" s="310"/>
      <c r="EY23" s="310"/>
      <c r="EZ23" s="310"/>
      <c r="FA23" s="310"/>
      <c r="FB23" s="310"/>
      <c r="FC23" s="310"/>
      <c r="FD23" s="310"/>
      <c r="FE23" s="310"/>
      <c r="FF23" s="310"/>
      <c r="FG23" s="310"/>
      <c r="FH23" s="310"/>
      <c r="FI23" s="310"/>
      <c r="FJ23" s="310"/>
      <c r="FK23" s="310"/>
      <c r="FL23" s="310"/>
      <c r="FM23" s="310"/>
      <c r="FN23" s="310"/>
      <c r="FO23" s="310"/>
      <c r="FP23" s="310"/>
      <c r="FQ23" s="310"/>
      <c r="FR23" s="310"/>
      <c r="FS23" s="310"/>
      <c r="FT23" s="310"/>
      <c r="FU23" s="310"/>
      <c r="FV23" s="310"/>
      <c r="FW23" s="310"/>
      <c r="FX23" s="310"/>
      <c r="FY23" s="310"/>
      <c r="FZ23" s="310"/>
      <c r="GA23" s="310"/>
      <c r="GB23" s="310"/>
      <c r="GC23" s="310"/>
      <c r="GD23" s="310"/>
      <c r="GE23" s="310"/>
      <c r="GF23" s="310"/>
      <c r="GG23" s="310"/>
      <c r="GH23" s="310"/>
      <c r="GI23" s="310"/>
      <c r="GJ23" s="310"/>
      <c r="GK23" s="310"/>
      <c r="GL23" s="310"/>
      <c r="GM23" s="310"/>
      <c r="GN23" s="310"/>
      <c r="GO23" s="310"/>
      <c r="GP23" s="310"/>
      <c r="GQ23" s="310"/>
      <c r="GR23" s="310"/>
      <c r="GS23" s="310"/>
      <c r="GT23" s="310"/>
      <c r="GU23" s="310"/>
      <c r="GV23" s="310"/>
      <c r="GW23" s="310"/>
      <c r="GX23" s="310"/>
      <c r="GY23" s="310"/>
      <c r="GZ23" s="310"/>
      <c r="HA23" s="310"/>
      <c r="HB23" s="310"/>
      <c r="HC23" s="310"/>
      <c r="HD23" s="310"/>
      <c r="HE23" s="310"/>
      <c r="HF23" s="310"/>
      <c r="HG23" s="310"/>
      <c r="HH23" s="310"/>
      <c r="HI23" s="310"/>
      <c r="HJ23" s="310"/>
      <c r="HK23" s="310"/>
      <c r="HL23" s="310"/>
      <c r="HM23" s="310"/>
      <c r="HN23" s="310"/>
      <c r="HO23" s="310"/>
      <c r="HP23" s="310"/>
      <c r="HQ23" s="310"/>
      <c r="HR23" s="310"/>
      <c r="HS23" s="310"/>
      <c r="HT23" s="310"/>
      <c r="HU23" s="310"/>
      <c r="HV23" s="310"/>
      <c r="HW23" s="310"/>
      <c r="HX23" s="310"/>
      <c r="HY23" s="310"/>
      <c r="HZ23" s="310"/>
      <c r="IA23" s="310"/>
      <c r="IB23" s="310"/>
      <c r="IC23" s="310"/>
      <c r="ID23" s="310"/>
      <c r="IE23" s="310"/>
      <c r="IF23" s="310"/>
    </row>
    <row r="24" spans="2:273" s="351" customFormat="1">
      <c r="B24" s="310" t="str">
        <f>+B15</f>
        <v>Net Income</v>
      </c>
      <c r="C24" s="310"/>
      <c r="D24" s="310"/>
      <c r="E24" s="310"/>
      <c r="F24" s="343">
        <f>(F15/F$11)*100</f>
        <v>16.416666666666664</v>
      </c>
      <c r="G24" s="310"/>
      <c r="H24" s="343">
        <f>(H15/H$11)*100</f>
        <v>17.841428571428573</v>
      </c>
      <c r="I24" s="310"/>
      <c r="J24" s="343">
        <f>(J15/J$11)*100</f>
        <v>18.766750000000002</v>
      </c>
      <c r="K24" s="310"/>
      <c r="L24" s="343">
        <f>(L15/L$11)*100</f>
        <v>20.845833333333331</v>
      </c>
      <c r="M24" s="310"/>
      <c r="N24" s="343">
        <f>(N15/N$11)*100</f>
        <v>20.795874999999995</v>
      </c>
      <c r="O24" s="310"/>
      <c r="P24" s="343">
        <f>(P15/P$11)*100</f>
        <v>17.777777777777782</v>
      </c>
      <c r="Q24" s="310"/>
      <c r="R24" s="343">
        <f>(R15/R$11)*100</f>
        <v>17.400000000000002</v>
      </c>
      <c r="S24" s="310"/>
      <c r="T24" s="343">
        <f>(T15/T$11)*100</f>
        <v>20.630121951219511</v>
      </c>
      <c r="U24" s="310"/>
      <c r="V24" s="310"/>
      <c r="W24" s="310"/>
      <c r="X24" s="343">
        <f>(X15/X$11)*100</f>
        <v>20.795874999999995</v>
      </c>
      <c r="Z24" s="343">
        <f>(Z15/Z$11)*100</f>
        <v>20.630121951219511</v>
      </c>
      <c r="AA24" s="310"/>
      <c r="AB24" s="343">
        <f ca="1">(AB15/AB$11)*100</f>
        <v>18.828463081108517</v>
      </c>
      <c r="AC24" s="310"/>
      <c r="AD24" s="343">
        <f ca="1">(AD15/AD$11)*100</f>
        <v>18.987594919718763</v>
      </c>
      <c r="AE24" s="310"/>
      <c r="AF24" s="343">
        <f ca="1">(AF15/AF$11)*100</f>
        <v>19.011077537078659</v>
      </c>
      <c r="AG24" s="310"/>
      <c r="AH24" s="343">
        <f ca="1">(AH15/AH$11)*100</f>
        <v>19.036750221003128</v>
      </c>
      <c r="AI24" s="310"/>
      <c r="AJ24" s="343">
        <f ca="1">(AJ15/AJ$11)*100</f>
        <v>19.060147029416335</v>
      </c>
      <c r="AK24" s="310"/>
      <c r="AL24" s="310"/>
      <c r="AM24" s="310"/>
      <c r="AN24" s="310"/>
      <c r="AO24" s="310"/>
      <c r="AP24" s="310"/>
      <c r="AQ24" s="310"/>
      <c r="AR24" s="310"/>
      <c r="AS24" s="310"/>
      <c r="AT24" s="310"/>
      <c r="AU24" s="310"/>
      <c r="AV24" s="310"/>
      <c r="AW24" s="310"/>
      <c r="AX24" s="310"/>
      <c r="AY24" s="310"/>
      <c r="AZ24" s="310"/>
      <c r="BA24" s="310"/>
      <c r="BB24" s="310"/>
      <c r="BC24" s="310"/>
      <c r="BD24" s="310"/>
      <c r="BE24" s="310"/>
      <c r="BF24" s="310"/>
      <c r="BG24" s="310"/>
      <c r="BH24" s="310"/>
      <c r="BI24" s="310"/>
      <c r="BJ24" s="310"/>
      <c r="BK24" s="310"/>
      <c r="BL24" s="310"/>
      <c r="BM24" s="310"/>
      <c r="BN24" s="310"/>
      <c r="BO24" s="310"/>
      <c r="BP24" s="310"/>
      <c r="BQ24" s="310"/>
      <c r="BR24" s="310"/>
      <c r="BS24" s="310"/>
      <c r="BT24" s="310"/>
      <c r="BU24" s="310"/>
      <c r="BV24" s="310"/>
      <c r="BW24" s="310"/>
      <c r="BX24" s="310"/>
      <c r="BY24" s="310"/>
      <c r="BZ24" s="310"/>
      <c r="CA24" s="310"/>
      <c r="CB24" s="310"/>
      <c r="CC24" s="310"/>
      <c r="CD24" s="310"/>
      <c r="CE24" s="310"/>
      <c r="CF24" s="310"/>
      <c r="CG24" s="310"/>
      <c r="CH24" s="310"/>
      <c r="CI24" s="310"/>
      <c r="CJ24" s="310"/>
      <c r="CK24" s="310"/>
      <c r="CL24" s="310"/>
      <c r="CM24" s="310"/>
      <c r="CN24" s="310"/>
      <c r="CO24" s="310"/>
      <c r="CP24" s="310"/>
      <c r="CQ24" s="310"/>
      <c r="CR24" s="310"/>
      <c r="CS24" s="310"/>
      <c r="CT24" s="310"/>
      <c r="CU24" s="310"/>
      <c r="CV24" s="310"/>
      <c r="CW24" s="310"/>
      <c r="CX24" s="310"/>
      <c r="CY24" s="310"/>
      <c r="CZ24" s="310"/>
      <c r="DA24" s="310"/>
      <c r="DB24" s="310"/>
      <c r="DC24" s="310"/>
      <c r="DD24" s="310"/>
      <c r="DE24" s="310"/>
      <c r="DF24" s="310"/>
      <c r="DG24" s="310"/>
      <c r="DH24" s="310"/>
      <c r="DI24" s="310"/>
      <c r="DJ24" s="310"/>
      <c r="DK24" s="310"/>
      <c r="DL24" s="310"/>
      <c r="DM24" s="310"/>
      <c r="DN24" s="310"/>
      <c r="DO24" s="310"/>
      <c r="DP24" s="310"/>
      <c r="DQ24" s="310"/>
      <c r="DR24" s="310"/>
      <c r="DS24" s="310"/>
      <c r="DT24" s="310"/>
      <c r="DU24" s="310"/>
      <c r="DV24" s="310"/>
      <c r="DW24" s="310"/>
      <c r="DX24" s="310"/>
      <c r="DY24" s="310"/>
      <c r="DZ24" s="310"/>
      <c r="EA24" s="310"/>
      <c r="EB24" s="310"/>
      <c r="EC24" s="310"/>
      <c r="ED24" s="310"/>
      <c r="EE24" s="310"/>
      <c r="EF24" s="310"/>
      <c r="EG24" s="310"/>
      <c r="EH24" s="310"/>
      <c r="EI24" s="310"/>
      <c r="EJ24" s="310"/>
      <c r="EK24" s="310"/>
      <c r="EL24" s="310"/>
      <c r="EM24" s="310"/>
      <c r="EN24" s="310"/>
      <c r="EO24" s="310"/>
      <c r="EP24" s="310"/>
      <c r="EQ24" s="310"/>
      <c r="ER24" s="310"/>
      <c r="ES24" s="310"/>
      <c r="ET24" s="310"/>
      <c r="EU24" s="310"/>
      <c r="EV24" s="310"/>
      <c r="EW24" s="310"/>
      <c r="EX24" s="310"/>
      <c r="EY24" s="310"/>
      <c r="EZ24" s="310"/>
      <c r="FA24" s="310"/>
      <c r="FB24" s="310"/>
      <c r="FC24" s="310"/>
      <c r="FD24" s="310"/>
      <c r="FE24" s="310"/>
      <c r="FF24" s="310"/>
      <c r="FG24" s="310"/>
      <c r="FH24" s="310"/>
      <c r="FI24" s="310"/>
      <c r="FJ24" s="310"/>
      <c r="FK24" s="310"/>
      <c r="FL24" s="310"/>
      <c r="FM24" s="310"/>
      <c r="FN24" s="310"/>
      <c r="FO24" s="310"/>
      <c r="FP24" s="310"/>
      <c r="FQ24" s="310"/>
      <c r="FR24" s="310"/>
      <c r="FS24" s="310"/>
      <c r="FT24" s="310"/>
      <c r="FU24" s="310"/>
      <c r="FV24" s="310"/>
      <c r="FW24" s="310"/>
      <c r="FX24" s="310"/>
      <c r="FY24" s="310"/>
      <c r="FZ24" s="310"/>
      <c r="GA24" s="310"/>
      <c r="GB24" s="310"/>
      <c r="GC24" s="310"/>
      <c r="GD24" s="310"/>
      <c r="GE24" s="310"/>
      <c r="GF24" s="310"/>
      <c r="GG24" s="310"/>
      <c r="GH24" s="310"/>
      <c r="GI24" s="310"/>
      <c r="GJ24" s="310"/>
      <c r="GK24" s="310"/>
      <c r="GL24" s="310"/>
      <c r="GM24" s="310"/>
      <c r="GN24" s="310"/>
      <c r="GO24" s="310"/>
      <c r="GP24" s="310"/>
      <c r="GQ24" s="310"/>
      <c r="GR24" s="310"/>
      <c r="GS24" s="310"/>
      <c r="GT24" s="310"/>
      <c r="GU24" s="310"/>
      <c r="GV24" s="310"/>
      <c r="GW24" s="310"/>
      <c r="GX24" s="310"/>
      <c r="GY24" s="310"/>
      <c r="GZ24" s="310"/>
      <c r="HA24" s="310"/>
      <c r="HB24" s="310"/>
      <c r="HC24" s="310"/>
      <c r="HD24" s="310"/>
      <c r="HE24" s="310"/>
      <c r="HF24" s="310"/>
      <c r="HG24" s="310"/>
      <c r="HH24" s="310"/>
      <c r="HI24" s="310"/>
      <c r="HJ24" s="310"/>
      <c r="HK24" s="310"/>
      <c r="HL24" s="310"/>
      <c r="HM24" s="310"/>
      <c r="HN24" s="310"/>
      <c r="HO24" s="310"/>
      <c r="HP24" s="310"/>
      <c r="HQ24" s="310"/>
      <c r="HR24" s="310"/>
      <c r="HS24" s="310"/>
      <c r="HT24" s="310"/>
      <c r="HU24" s="310"/>
      <c r="HV24" s="310"/>
      <c r="HW24" s="310"/>
      <c r="HX24" s="310"/>
      <c r="HY24" s="310"/>
      <c r="HZ24" s="310"/>
      <c r="IA24" s="310"/>
      <c r="IB24" s="310"/>
      <c r="IC24" s="310"/>
      <c r="ID24" s="310"/>
      <c r="IE24" s="310"/>
      <c r="IF24" s="310"/>
    </row>
    <row r="26" spans="2:273">
      <c r="B26" s="139" t="str">
        <f>'Acq Proj'!B47</f>
        <v>Growth Rates</v>
      </c>
    </row>
    <row r="27" spans="2:273" hidden="1" outlineLevel="1">
      <c r="B27" s="109" t="str">
        <f>'Acq Income Statement'!B58</f>
        <v>Same Store Sales</v>
      </c>
      <c r="F27" s="103">
        <f>'Acq Income Statement'!H58*100</f>
        <v>3</v>
      </c>
      <c r="G27" s="3" t="str">
        <f>IF(F27=0,"","%")</f>
        <v>%</v>
      </c>
      <c r="H27" s="103">
        <f>'Acq Income Statement'!I58</f>
        <v>0.04</v>
      </c>
      <c r="I27" s="109" t="str">
        <f>IF(H27=0,"","%")</f>
        <v>%</v>
      </c>
      <c r="J27" s="103">
        <f>'Acq Income Statement'!J58</f>
        <v>4.4999999999999998E-2</v>
      </c>
      <c r="K27" s="109" t="str">
        <f>IF(J27=0,"","%")</f>
        <v>%</v>
      </c>
      <c r="L27" s="103">
        <f>'Acq Income Statement'!K58</f>
        <v>0.04</v>
      </c>
      <c r="M27" s="109" t="str">
        <f>IF(L27=0,"","%")</f>
        <v>%</v>
      </c>
      <c r="N27" s="103">
        <f>'Acq Income Statement'!L58</f>
        <v>3.9E-2</v>
      </c>
      <c r="O27" s="109" t="str">
        <f>IF(N27=0,"","%")</f>
        <v>%</v>
      </c>
      <c r="P27" s="103">
        <f>'Acq Income Statement'!O58*100</f>
        <v>4</v>
      </c>
      <c r="Q27" s="109" t="str">
        <f>IF(P27=0,"","%")</f>
        <v>%</v>
      </c>
      <c r="R27" s="103">
        <f>'Acq Income Statement'!P58</f>
        <v>4.4999999999999998E-2</v>
      </c>
      <c r="S27" s="109" t="str">
        <f>IF(R27=0,"","%")</f>
        <v>%</v>
      </c>
      <c r="T27" s="103">
        <f>'Acq Income Statement'!S58*100</f>
        <v>4.5999999999999996</v>
      </c>
      <c r="U27" s="3" t="str">
        <f>IF(T27=0,"","%")</f>
        <v>%</v>
      </c>
      <c r="X27" s="343">
        <f t="shared" ref="X27:X32" si="4">+N27</f>
        <v>3.9E-2</v>
      </c>
      <c r="Y27" s="3" t="str">
        <f>IF(X27=0,"","%")</f>
        <v>%</v>
      </c>
      <c r="Z27" s="343">
        <f t="shared" ref="Z27:Z32" si="5">+T27</f>
        <v>4.5999999999999996</v>
      </c>
      <c r="AA27" s="3" t="str">
        <f>IF(Z27=0,"","%")</f>
        <v>%</v>
      </c>
      <c r="AB27" s="103">
        <f>IF(ISERROR('Acq Proj'!L48*100),"NM",'Acq Proj'!L48*100)</f>
        <v>3</v>
      </c>
      <c r="AC27" s="109" t="str">
        <f>IF(AB27=0,"","%")</f>
        <v>%</v>
      </c>
      <c r="AD27" s="103">
        <f>IF(ISERROR('Acq Proj'!M48*100),"NM",'Acq Proj'!M48*100)</f>
        <v>3.2</v>
      </c>
      <c r="AE27" s="109" t="str">
        <f>IF(AD27=0,"","%")</f>
        <v>%</v>
      </c>
      <c r="AF27" s="103">
        <f>IF(ISERROR('Acq Proj'!N48*100),"NM",'Acq Proj'!N48*100)</f>
        <v>3.3000000000000003</v>
      </c>
      <c r="AG27" s="109" t="str">
        <f>IF(AF27=0,"","%")</f>
        <v>%</v>
      </c>
      <c r="AH27" s="103">
        <f>IF(ISERROR('Acq Proj'!O48*100),"NM",'Acq Proj'!O48*100)</f>
        <v>3.4000000000000004</v>
      </c>
      <c r="AI27" s="109" t="str">
        <f>IF(AH27=0,"","%")</f>
        <v>%</v>
      </c>
      <c r="AJ27" s="103">
        <f>IF(ISERROR('Acq Proj'!P48*100),"NM",'Acq Proj'!P48*100)</f>
        <v>3.5000000000000004</v>
      </c>
      <c r="AK27" s="3" t="str">
        <f>IF(AJ27=0,"","%")</f>
        <v>%</v>
      </c>
    </row>
    <row r="28" spans="2:273" collapsed="1">
      <c r="B28" s="3" t="str">
        <f>+B11</f>
        <v>Net Sales</v>
      </c>
      <c r="F28" s="103">
        <f>'Acq Income Statement'!H59*100</f>
        <v>9.0909090909090828</v>
      </c>
      <c r="G28" s="3" t="str">
        <f>IF(F27=0,"%","")</f>
        <v/>
      </c>
      <c r="H28" s="343">
        <f>IF(AND(H11&gt;=0,F11&gt;=0),(H11/F11-1)*100,"NM")</f>
        <v>16.666666666666675</v>
      </c>
      <c r="I28" s="3" t="str">
        <f>IF(H27=0,"%","")</f>
        <v/>
      </c>
      <c r="J28" s="343">
        <f>IF(AND(J11&gt;=0,H11&gt;=0),(J11/H11-1)*100,"NM")</f>
        <v>14.285714285714279</v>
      </c>
      <c r="K28" s="3" t="str">
        <f>IF(J27=0,"%","")</f>
        <v/>
      </c>
      <c r="L28" s="343">
        <f>IF(AND(L11&gt;=0,J11&gt;=0),(L11/J11-1)*100,"NM")</f>
        <v>12.5</v>
      </c>
      <c r="M28" s="3" t="str">
        <f>IF(L27=0,"%","")</f>
        <v/>
      </c>
      <c r="N28" s="343">
        <f>IF(AND(N11&gt;=0,L11&gt;=0),(N11/L11-1)*100,"NM")</f>
        <v>11.111111111111116</v>
      </c>
      <c r="O28" s="3" t="str">
        <f>IF(N27=0,"%","")</f>
        <v/>
      </c>
      <c r="P28" s="103">
        <f>'Acq Income Statement'!O59*100</f>
        <v>12.5</v>
      </c>
      <c r="Q28" s="3" t="str">
        <f>IF(P27=0,"%","")</f>
        <v/>
      </c>
      <c r="R28" s="343">
        <f>IF(AND(R11&gt;=0,P11&gt;=0),(R11/P11-1)*100,"NM")</f>
        <v>11.111111111111116</v>
      </c>
      <c r="S28" s="3" t="str">
        <f>IF(R27=0,"%","")</f>
        <v/>
      </c>
      <c r="T28" s="103">
        <f>'Acq Income Statement'!S59*100</f>
        <v>10.810810810810811</v>
      </c>
      <c r="U28" s="3" t="str">
        <f>IF(T27=0,"%","")</f>
        <v/>
      </c>
      <c r="X28" s="343">
        <f t="shared" si="4"/>
        <v>11.111111111111116</v>
      </c>
      <c r="Y28" s="3" t="str">
        <f>IF(X27=0,"%","")</f>
        <v/>
      </c>
      <c r="Z28" s="343">
        <f t="shared" si="5"/>
        <v>10.810810810810811</v>
      </c>
      <c r="AA28" s="3" t="str">
        <f>IF(Z27=0,"%","")</f>
        <v/>
      </c>
      <c r="AB28" s="343">
        <f>IF(AND(AB11&gt;=0,N11&gt;=0),(AB11/N11-1)*100,"NM")</f>
        <v>19.999999999999996</v>
      </c>
      <c r="AC28" s="3" t="str">
        <f>IF(AB27=0,"%","")</f>
        <v/>
      </c>
      <c r="AD28" s="343">
        <f>IF(AND(AD11&gt;=0,AB11&gt;=0),(AD11/AB11-1)*100,"NM")</f>
        <v>16.666666666666675</v>
      </c>
      <c r="AE28" s="3" t="str">
        <f>IF(AD27=0,"%","")</f>
        <v/>
      </c>
      <c r="AF28" s="343">
        <f>IF(AND(AF11&gt;=0,AD11&gt;=0),(AF11/AD11-1)*100,"NM")</f>
        <v>14.285714285714279</v>
      </c>
      <c r="AG28" s="3" t="str">
        <f>IF(AF27=0,"%","")</f>
        <v/>
      </c>
      <c r="AH28" s="343">
        <f>IF(AND(AH11&gt;=0,AF11&gt;=0),(AH11/AF11-1)*100,"NM")</f>
        <v>12.5</v>
      </c>
      <c r="AI28" s="3" t="str">
        <f>IF(AH27=0,"%","")</f>
        <v/>
      </c>
      <c r="AJ28" s="343">
        <f>IF(AND(AJ11&gt;=0,AH11&gt;=0),(AJ11/AH11-1)*100,"NM")</f>
        <v>12.5</v>
      </c>
      <c r="AK28" s="3" t="str">
        <f>IF(AJ27=0,"%","")</f>
        <v/>
      </c>
    </row>
    <row r="29" spans="2:273">
      <c r="B29" s="3" t="str">
        <f>+B13</f>
        <v>EBITDA</v>
      </c>
      <c r="F29" s="103">
        <f>'Acq Income Statement'!H60*100</f>
        <v>19.652482269503537</v>
      </c>
      <c r="H29" s="343">
        <f>IF(AND(H13&gt;=0,F13&gt;=0),(H13/F13-1)*100,"NM")</f>
        <v>21.51028391915122</v>
      </c>
      <c r="J29" s="343">
        <f>IF(AND(J13&gt;=0,H13&gt;=0),(J13/H13-1)*100,"NM")</f>
        <v>16.829268292682919</v>
      </c>
      <c r="L29" s="343">
        <f>IF(AND(L13&gt;=0,J13&gt;=0),(L13/J13-1)*100,"NM")</f>
        <v>21.231732776617939</v>
      </c>
      <c r="N29" s="343">
        <f>IF(AND(N13&gt;=0,L13&gt;=0),(N13/L13-1)*100,"NM")</f>
        <v>9.9999999999999858</v>
      </c>
      <c r="P29" s="103">
        <f>'Acq Income Statement'!O60*100</f>
        <v>31.77083333333335</v>
      </c>
      <c r="R29" s="343">
        <f>IF(AND(R13&gt;=0,P13&gt;=0),(R13/P13-1)*100,"NM")</f>
        <v>6.0612648221343823</v>
      </c>
      <c r="T29" s="103">
        <f>'Acq Income Statement'!S60*100</f>
        <v>5.7652977748690937</v>
      </c>
      <c r="X29" s="343">
        <f t="shared" si="4"/>
        <v>9.9999999999999858</v>
      </c>
      <c r="Z29" s="343">
        <f t="shared" si="5"/>
        <v>5.7652977748690937</v>
      </c>
      <c r="AA29" s="96"/>
      <c r="AB29" s="343">
        <f>IF(AND(AB13&gt;=0,N13&gt;=0),(AB13/N13-1)*100,"NM")</f>
        <v>25.240696964478637</v>
      </c>
      <c r="AD29" s="343">
        <f>IF(AND(AD13&gt;=0,AB13&gt;=0),(AD13/AB13-1)*100,"NM")</f>
        <v>12.5</v>
      </c>
      <c r="AF29" s="343">
        <f>IF(AND(AF13&gt;=0,AD13&gt;=0),(AF13/AD13-1)*100,"NM")</f>
        <v>14.285714285714279</v>
      </c>
      <c r="AH29" s="343">
        <f>IF(AND(AH13&gt;=0,AF13&gt;=0),(AH13/AF13-1)*100,"NM")</f>
        <v>12.5</v>
      </c>
      <c r="AJ29" s="343">
        <f>IF(AND(AJ13&gt;=0,AH13&gt;=0),(AJ13/AH13-1)*100,"NM")</f>
        <v>12.5</v>
      </c>
    </row>
    <row r="30" spans="2:273">
      <c r="B30" s="3" t="str">
        <f>+B14</f>
        <v>EBIT</v>
      </c>
      <c r="F30" s="103">
        <f>'Acq Income Statement'!H61*100</f>
        <v>2.8368794326241176</v>
      </c>
      <c r="H30" s="343">
        <f>IF(AND(H14&gt;=0,F14&gt;=0),(H14/F14-1)*100,"NM")</f>
        <v>24.137931034482762</v>
      </c>
      <c r="J30" s="343">
        <f>IF(AND(J14&gt;=0,H14&gt;=0),(J14/H14-1)*100,"NM")</f>
        <v>18.611111111111089</v>
      </c>
      <c r="L30" s="343">
        <f>IF(AND(L14&gt;=0,J14&gt;=0),(L14/J14-1)*100,"NM")</f>
        <v>23.348946135831383</v>
      </c>
      <c r="N30" s="343">
        <f>IF(AND(N14&gt;=0,L14&gt;=0),(N14/L14-1)*100,"NM")</f>
        <v>10.265805961647988</v>
      </c>
      <c r="P30" s="103">
        <f>'Acq Income Statement'!O61*100</f>
        <v>16.666666666666675</v>
      </c>
      <c r="R30" s="343">
        <f>IF(AND(R14&gt;=0,P14&gt;=0),(R14/P14-1)*100,"NM")</f>
        <v>5.3571428571428603</v>
      </c>
      <c r="T30" s="103">
        <f>'Acq Income Statement'!S61*100</f>
        <v>8.1205085682697575</v>
      </c>
      <c r="X30" s="343">
        <f t="shared" si="4"/>
        <v>10.265805961647988</v>
      </c>
      <c r="Z30" s="343">
        <f t="shared" si="5"/>
        <v>8.1205085682697575</v>
      </c>
      <c r="AA30" s="96"/>
      <c r="AB30" s="343">
        <f>IF(AND(AB14&gt;=0,N14&gt;=0),(AB14/N14-1)*100,"NM")</f>
        <v>3.3111214422232749</v>
      </c>
      <c r="AD30" s="343">
        <f>IF(AND(AD14&gt;=0,AB14&gt;=0),(AD14/AB14-1)*100,"NM")</f>
        <v>16.666666666666675</v>
      </c>
      <c r="AF30" s="343">
        <f>IF(AND(AF14&gt;=0,AD14&gt;=0),(AF14/AD14-1)*100,"NM")</f>
        <v>14.285714285714279</v>
      </c>
      <c r="AH30" s="343">
        <f>IF(AND(AH14&gt;=0,AF14&gt;=0),(AH14/AF14-1)*100,"NM")</f>
        <v>12.5</v>
      </c>
      <c r="AJ30" s="343">
        <f>IF(AND(AJ14&gt;=0,AH14&gt;=0),(AJ14/AH14-1)*100,"NM")</f>
        <v>12.5</v>
      </c>
    </row>
    <row r="31" spans="2:273">
      <c r="B31" s="3" t="str">
        <f>+B15</f>
        <v>Net Income</v>
      </c>
      <c r="F31" s="103">
        <f>'Acq Income Statement'!H62*100</f>
        <v>-29.642857142857149</v>
      </c>
      <c r="H31" s="343">
        <f>IF(AND(H15&gt;=0,F15&gt;=0),(H15/F15-1)*100,"NM")</f>
        <v>26.791878172588834</v>
      </c>
      <c r="J31" s="343">
        <f>IF(AND(J15&gt;=0,H15&gt;=0),(J15/H15-1)*100,"NM")</f>
        <v>20.212987428937467</v>
      </c>
      <c r="L31" s="343">
        <f>IF(AND(L15&gt;=0,J15&gt;=0),(L15/J15-1)*100,"NM")</f>
        <v>24.963366059653367</v>
      </c>
      <c r="N31" s="343">
        <f>IF(AND(N15&gt;=0,L15&gt;=0),(N15/L15-1)*100,"NM")</f>
        <v>10.844826437470822</v>
      </c>
      <c r="P31" s="103">
        <f>'Acq Income Statement'!O62*100</f>
        <v>14.285714285714302</v>
      </c>
      <c r="R31" s="343">
        <f>IF(AND(R15&gt;=0,P15&gt;=0),(R15/P15-1)*100,"NM")</f>
        <v>8.7499999999999911</v>
      </c>
      <c r="T31" s="103">
        <f>'Acq Income Statement'!S62*100</f>
        <v>9.7845415017197457</v>
      </c>
      <c r="X31" s="343">
        <f t="shared" si="4"/>
        <v>10.844826437470822</v>
      </c>
      <c r="Z31" s="343">
        <f t="shared" si="5"/>
        <v>9.7845415017197457</v>
      </c>
      <c r="AA31" s="96"/>
      <c r="AB31" s="343">
        <f ca="1">IF(AND(AB15&gt;=0,N15&gt;=0),(AB15/N15-1)*100,"NM")</f>
        <v>8.6472951839257952</v>
      </c>
      <c r="AD31" s="343">
        <f ca="1">IF(AND(AD15&gt;=0,AB15&gt;=0),(AD15/AB15-1)*100,"NM")</f>
        <v>17.652694102428157</v>
      </c>
      <c r="AF31" s="343">
        <f ca="1">IF(AND(AF15&gt;=0,AD15&gt;=0),(AF15/AD15-1)*100,"NM")</f>
        <v>14.427055393401744</v>
      </c>
      <c r="AH31" s="343">
        <f ca="1">IF(AND(AH15&gt;=0,AF15&gt;=0),(AH15/AF15-1)*100,"NM")</f>
        <v>12.651920738625666</v>
      </c>
      <c r="AJ31" s="343">
        <f ca="1">IF(AND(AJ15&gt;=0,AH15&gt;=0),(AJ15/AH15-1)*100,"NM")</f>
        <v>12.638266296291567</v>
      </c>
    </row>
    <row r="32" spans="2:273">
      <c r="B32" s="3" t="str">
        <f>+B16</f>
        <v>Diluted EPS</v>
      </c>
      <c r="F32" s="103">
        <f>'Acq Income Statement'!H63*100</f>
        <v>-30.319368131868142</v>
      </c>
      <c r="H32" s="343">
        <f>IF(AND(H16&gt;=0,F16&gt;=0),(H16/F16-1)*100,"NM")</f>
        <v>24.399578584426806</v>
      </c>
      <c r="I32" s="310"/>
      <c r="J32" s="343">
        <f>IF(AND(J16&gt;=0,H16&gt;=0),(J16/H16-1)*100,"NM")</f>
        <v>17.986820995068275</v>
      </c>
      <c r="K32" s="310"/>
      <c r="L32" s="343">
        <f>IF(AND(L16&gt;=0,J16&gt;=0),(L16/J16-1)*100,"NM")</f>
        <v>22.691304858568763</v>
      </c>
      <c r="M32" s="310"/>
      <c r="N32" s="343">
        <f>IF(AND(N16&gt;=0,L16&gt;=0),(N16/L16-1)*100,"NM")</f>
        <v>8.8654545368016979</v>
      </c>
      <c r="O32" s="310"/>
      <c r="P32" s="103">
        <f>'Acq Income Statement'!O63*100</f>
        <v>11.723254324151222</v>
      </c>
      <c r="R32" s="343">
        <f>IF(AND(R16&gt;=0,P16&gt;=0),(R16/P16-1)*100,"NM")</f>
        <v>7.3064159292035136</v>
      </c>
      <c r="S32" s="310"/>
      <c r="T32" s="103">
        <f>'Acq Income Statement'!S63*100</f>
        <v>8.0748823459643848</v>
      </c>
      <c r="X32" s="343">
        <f t="shared" si="4"/>
        <v>8.8654545368016979</v>
      </c>
      <c r="Z32" s="343">
        <f t="shared" si="5"/>
        <v>8.0748823459643848</v>
      </c>
      <c r="AA32" s="96"/>
      <c r="AB32" s="343">
        <f ca="1">IF(AND(AB16&gt;=0,N16&gt;=0),(AB16/N16-1)*100,"NM")</f>
        <v>-0.93862569861560274</v>
      </c>
      <c r="AD32" s="343">
        <f ca="1">IF(AND(AD16&gt;=0,AB16&gt;=0),(AD16/AB16-1)*100,"NM")</f>
        <v>17.652694102428157</v>
      </c>
      <c r="AE32" s="310"/>
      <c r="AF32" s="343">
        <f ca="1">IF(AND(AF16&gt;=0,AD16&gt;=0),(AF16/AD16-1)*100,"NM")</f>
        <v>14.427055393401744</v>
      </c>
      <c r="AG32" s="310"/>
      <c r="AH32" s="343">
        <f ca="1">IF(AND(AH16&gt;=0,AF16&gt;=0),(AH16/AF16-1)*100,"NM")</f>
        <v>12.651920738625666</v>
      </c>
      <c r="AI32" s="310"/>
      <c r="AJ32" s="343">
        <f ca="1">IF(AND(AJ16&gt;=0,AH16&gt;=0),(AJ16/AH16-1)*100,"NM")</f>
        <v>12.638266296291567</v>
      </c>
    </row>
    <row r="34" spans="1:273">
      <c r="B34" s="139" t="s">
        <v>287</v>
      </c>
    </row>
    <row r="35" spans="1:273" s="298" customFormat="1">
      <c r="A35" s="299"/>
      <c r="B35" s="298" t="s">
        <v>38</v>
      </c>
      <c r="F35" s="352">
        <f>'Acq Balance Sheet'!G8</f>
        <v>14.943333333333333</v>
      </c>
      <c r="G35" s="352"/>
      <c r="H35" s="352">
        <f>'Acq Balance Sheet'!H8</f>
        <v>25.023000000000017</v>
      </c>
      <c r="I35" s="352"/>
      <c r="J35" s="352">
        <f>'Acq Balance Sheet'!I8</f>
        <v>36.602622222222251</v>
      </c>
      <c r="K35" s="352"/>
      <c r="L35" s="352">
        <f>'Acq Balance Sheet'!J8</f>
        <v>54.879538888888952</v>
      </c>
      <c r="M35" s="352"/>
      <c r="N35" s="352">
        <f>'Acq Balance Sheet'!K8</f>
        <v>68.872413888888943</v>
      </c>
      <c r="O35" s="352"/>
      <c r="P35" s="352">
        <f>'Acq Balance Sheet'!M8</f>
        <v>57.250038888888952</v>
      </c>
      <c r="Q35" s="352"/>
      <c r="R35" s="352">
        <f>'Acq Balance Sheet'!N8</f>
        <v>71.360976388888943</v>
      </c>
      <c r="S35" s="153"/>
      <c r="T35" s="353">
        <f>+R35</f>
        <v>71.360976388888943</v>
      </c>
      <c r="U35" s="153"/>
      <c r="V35" s="153"/>
      <c r="W35" s="153"/>
      <c r="X35" s="353">
        <f t="shared" ref="X35:X40" si="6">+N35</f>
        <v>68.872413888888943</v>
      </c>
      <c r="Y35" s="153"/>
      <c r="Z35" s="353">
        <f t="shared" ref="Z35:Z40" si="7">+T35</f>
        <v>71.360976388888943</v>
      </c>
      <c r="AA35" s="153"/>
      <c r="AB35" s="352">
        <f ca="1">'Acq Proj'!L58</f>
        <v>78.243958020562602</v>
      </c>
      <c r="AC35" s="352"/>
      <c r="AD35" s="352">
        <f ca="1">'Acq Proj'!M58</f>
        <v>99.160248702781644</v>
      </c>
      <c r="AE35" s="352"/>
      <c r="AF35" s="352">
        <f ca="1">'Acq Proj'!N58</f>
        <v>123.62591627100599</v>
      </c>
      <c r="AG35" s="352"/>
      <c r="AH35" s="352">
        <f ca="1">'Acq Proj'!O58</f>
        <v>151.65429589199584</v>
      </c>
      <c r="AI35" s="352"/>
      <c r="AJ35" s="352">
        <f ca="1">'Acq Proj'!P58</f>
        <v>183.30449587764616</v>
      </c>
      <c r="AK35" s="354"/>
      <c r="IG35" s="299"/>
      <c r="IH35" s="299"/>
      <c r="II35" s="299"/>
      <c r="IJ35" s="299"/>
      <c r="IK35" s="299"/>
      <c r="IL35" s="299"/>
      <c r="IM35" s="299"/>
      <c r="IN35" s="299"/>
      <c r="IO35" s="299"/>
      <c r="IP35" s="299"/>
      <c r="IQ35" s="299"/>
      <c r="IR35" s="299"/>
      <c r="IS35" s="299"/>
      <c r="IT35" s="299"/>
      <c r="IU35" s="299"/>
      <c r="IV35" s="299"/>
      <c r="IW35" s="299"/>
      <c r="IX35" s="299"/>
      <c r="IY35" s="299"/>
      <c r="IZ35" s="299"/>
      <c r="JA35" s="299"/>
      <c r="JB35" s="299"/>
      <c r="JC35" s="299"/>
      <c r="JD35" s="299"/>
      <c r="JE35" s="299"/>
      <c r="JF35" s="299"/>
      <c r="JG35" s="299"/>
      <c r="JH35" s="299"/>
      <c r="JI35" s="299"/>
      <c r="JJ35" s="299"/>
      <c r="JK35" s="299"/>
      <c r="JL35" s="299"/>
      <c r="JM35" s="299"/>
    </row>
    <row r="36" spans="1:273" s="351" customFormat="1">
      <c r="B36" s="310" t="s">
        <v>87</v>
      </c>
      <c r="C36" s="310"/>
      <c r="D36" s="310"/>
      <c r="E36" s="310"/>
      <c r="F36" s="103">
        <f>'Acq Balance Sheet'!G33</f>
        <v>10.1</v>
      </c>
      <c r="G36" s="103"/>
      <c r="H36" s="103">
        <f>'Acq Balance Sheet'!H33</f>
        <v>9.9</v>
      </c>
      <c r="I36" s="103"/>
      <c r="J36" s="103">
        <f>'Acq Balance Sheet'!I33</f>
        <v>9.73</v>
      </c>
      <c r="K36" s="103"/>
      <c r="L36" s="103">
        <f>'Acq Balance Sheet'!J33</f>
        <v>9.6</v>
      </c>
      <c r="M36" s="103"/>
      <c r="N36" s="103">
        <f>'Acq Balance Sheet'!K33</f>
        <v>9.5</v>
      </c>
      <c r="O36" s="103"/>
      <c r="P36" s="103">
        <f>'Acq Balance Sheet'!M33</f>
        <v>9.5</v>
      </c>
      <c r="Q36" s="103"/>
      <c r="R36" s="103">
        <f>'Acq Balance Sheet'!N33</f>
        <v>9.4</v>
      </c>
      <c r="S36" s="161"/>
      <c r="T36" s="343">
        <f>+R36</f>
        <v>9.4</v>
      </c>
      <c r="U36" s="161"/>
      <c r="V36" s="161"/>
      <c r="W36" s="161"/>
      <c r="X36" s="343">
        <f t="shared" si="6"/>
        <v>9.5</v>
      </c>
      <c r="Y36" s="68"/>
      <c r="Z36" s="343">
        <f t="shared" si="7"/>
        <v>9.4</v>
      </c>
      <c r="AA36" s="161"/>
      <c r="AB36" s="103">
        <f ca="1">'Acq Proj'!L132</f>
        <v>0</v>
      </c>
      <c r="AC36" s="103"/>
      <c r="AD36" s="103">
        <f ca="1">'Acq Proj'!M132</f>
        <v>0</v>
      </c>
      <c r="AE36" s="103"/>
      <c r="AF36" s="103">
        <f ca="1">'Acq Proj'!N132</f>
        <v>0</v>
      </c>
      <c r="AG36" s="103"/>
      <c r="AH36" s="103">
        <f ca="1">'Acq Proj'!O132</f>
        <v>0</v>
      </c>
      <c r="AI36" s="103"/>
      <c r="AJ36" s="103">
        <f ca="1">'Acq Proj'!P132</f>
        <v>0</v>
      </c>
      <c r="AK36" s="355"/>
      <c r="AL36" s="310"/>
      <c r="AM36" s="310"/>
      <c r="AN36" s="310"/>
      <c r="AO36" s="310"/>
      <c r="AP36" s="310"/>
      <c r="AQ36" s="310"/>
      <c r="AR36" s="310"/>
      <c r="AS36" s="310"/>
      <c r="AT36" s="310"/>
      <c r="AU36" s="310"/>
      <c r="AV36" s="310"/>
      <c r="AW36" s="310"/>
      <c r="AX36" s="310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/>
      <c r="BU36" s="310"/>
      <c r="BV36" s="310"/>
      <c r="BW36" s="310"/>
      <c r="BX36" s="310"/>
      <c r="BY36" s="310"/>
      <c r="BZ36" s="310"/>
      <c r="CA36" s="310"/>
      <c r="CB36" s="310"/>
      <c r="CC36" s="310"/>
      <c r="CD36" s="310"/>
      <c r="CE36" s="310"/>
      <c r="CF36" s="310"/>
      <c r="CG36" s="310"/>
      <c r="CH36" s="310"/>
      <c r="CI36" s="310"/>
      <c r="CJ36" s="310"/>
      <c r="CK36" s="310"/>
      <c r="CL36" s="310"/>
      <c r="CM36" s="310"/>
      <c r="CN36" s="310"/>
      <c r="CO36" s="310"/>
      <c r="CP36" s="310"/>
      <c r="CQ36" s="310"/>
      <c r="CR36" s="310"/>
      <c r="CS36" s="310"/>
      <c r="CT36" s="310"/>
      <c r="CU36" s="310"/>
      <c r="CV36" s="310"/>
      <c r="CW36" s="310"/>
      <c r="CX36" s="310"/>
      <c r="CY36" s="310"/>
      <c r="CZ36" s="310"/>
      <c r="DA36" s="310"/>
      <c r="DB36" s="310"/>
      <c r="DC36" s="310"/>
      <c r="DD36" s="310"/>
      <c r="DE36" s="310"/>
      <c r="DF36" s="310"/>
      <c r="DG36" s="310"/>
      <c r="DH36" s="310"/>
      <c r="DI36" s="310"/>
      <c r="DJ36" s="310"/>
      <c r="DK36" s="310"/>
      <c r="DL36" s="310"/>
      <c r="DM36" s="310"/>
      <c r="DN36" s="310"/>
      <c r="DO36" s="310"/>
      <c r="DP36" s="310"/>
      <c r="DQ36" s="310"/>
      <c r="DR36" s="310"/>
      <c r="DS36" s="310"/>
      <c r="DT36" s="310"/>
      <c r="DU36" s="310"/>
      <c r="DV36" s="310"/>
      <c r="DW36" s="310"/>
      <c r="DX36" s="310"/>
      <c r="DY36" s="310"/>
      <c r="DZ36" s="310"/>
      <c r="EA36" s="310"/>
      <c r="EB36" s="310"/>
      <c r="EC36" s="310"/>
      <c r="ED36" s="310"/>
      <c r="EE36" s="310"/>
      <c r="EF36" s="310"/>
      <c r="EG36" s="310"/>
      <c r="EH36" s="310"/>
      <c r="EI36" s="310"/>
      <c r="EJ36" s="310"/>
      <c r="EK36" s="310"/>
      <c r="EL36" s="310"/>
      <c r="EM36" s="310"/>
      <c r="EN36" s="310"/>
      <c r="EO36" s="310"/>
      <c r="EP36" s="310"/>
      <c r="EQ36" s="310"/>
      <c r="ER36" s="310"/>
      <c r="ES36" s="310"/>
      <c r="ET36" s="310"/>
      <c r="EU36" s="310"/>
      <c r="EV36" s="310"/>
      <c r="EW36" s="310"/>
      <c r="EX36" s="310"/>
      <c r="EY36" s="310"/>
      <c r="EZ36" s="310"/>
      <c r="FA36" s="310"/>
      <c r="FB36" s="310"/>
      <c r="FC36" s="310"/>
      <c r="FD36" s="310"/>
      <c r="FE36" s="310"/>
      <c r="FF36" s="310"/>
      <c r="FG36" s="310"/>
      <c r="FH36" s="310"/>
      <c r="FI36" s="310"/>
      <c r="FJ36" s="310"/>
      <c r="FK36" s="310"/>
      <c r="FL36" s="310"/>
      <c r="FM36" s="310"/>
      <c r="FN36" s="310"/>
      <c r="FO36" s="310"/>
      <c r="FP36" s="310"/>
      <c r="FQ36" s="310"/>
      <c r="FR36" s="310"/>
      <c r="FS36" s="310"/>
      <c r="FT36" s="310"/>
      <c r="FU36" s="310"/>
      <c r="FV36" s="310"/>
      <c r="FW36" s="310"/>
      <c r="FX36" s="310"/>
      <c r="FY36" s="310"/>
      <c r="FZ36" s="310"/>
      <c r="GA36" s="310"/>
      <c r="GB36" s="310"/>
      <c r="GC36" s="310"/>
      <c r="GD36" s="310"/>
      <c r="GE36" s="310"/>
      <c r="GF36" s="310"/>
      <c r="GG36" s="310"/>
      <c r="GH36" s="310"/>
      <c r="GI36" s="310"/>
      <c r="GJ36" s="310"/>
      <c r="GK36" s="310"/>
      <c r="GL36" s="310"/>
      <c r="GM36" s="310"/>
      <c r="GN36" s="310"/>
      <c r="GO36" s="310"/>
      <c r="GP36" s="310"/>
      <c r="GQ36" s="310"/>
      <c r="GR36" s="310"/>
      <c r="GS36" s="310"/>
      <c r="GT36" s="310"/>
      <c r="GU36" s="310"/>
      <c r="GV36" s="310"/>
      <c r="GW36" s="310"/>
      <c r="GX36" s="310"/>
      <c r="GY36" s="310"/>
      <c r="GZ36" s="310"/>
      <c r="HA36" s="310"/>
      <c r="HB36" s="310"/>
      <c r="HC36" s="310"/>
      <c r="HD36" s="310"/>
      <c r="HE36" s="310"/>
      <c r="HF36" s="310"/>
      <c r="HG36" s="310"/>
      <c r="HH36" s="310"/>
      <c r="HI36" s="310"/>
      <c r="HJ36" s="310"/>
      <c r="HK36" s="310"/>
      <c r="HL36" s="310"/>
      <c r="HM36" s="310"/>
      <c r="HN36" s="310"/>
      <c r="HO36" s="310"/>
      <c r="HP36" s="310"/>
      <c r="HQ36" s="310"/>
      <c r="HR36" s="310"/>
      <c r="HS36" s="310"/>
      <c r="HT36" s="310"/>
      <c r="HU36" s="310"/>
      <c r="HV36" s="310"/>
      <c r="HW36" s="310"/>
      <c r="HX36" s="310"/>
      <c r="HY36" s="310"/>
      <c r="HZ36" s="310"/>
      <c r="IA36" s="310"/>
      <c r="IB36" s="310"/>
      <c r="IC36" s="310"/>
      <c r="ID36" s="310"/>
      <c r="IE36" s="310"/>
      <c r="IF36" s="310"/>
    </row>
    <row r="37" spans="1:273" s="351" customFormat="1">
      <c r="B37" s="310" t="s">
        <v>78</v>
      </c>
      <c r="C37" s="310"/>
      <c r="D37" s="310"/>
      <c r="E37" s="310"/>
      <c r="F37" s="103">
        <f>'Acq Cash Flow'!G9</f>
        <v>2.371</v>
      </c>
      <c r="G37" s="103"/>
      <c r="H37" s="103">
        <f>'Acq Cash Flow'!H9</f>
        <v>2.5</v>
      </c>
      <c r="I37" s="103"/>
      <c r="J37" s="103">
        <f>'Acq Cash Flow'!I9</f>
        <v>2.6</v>
      </c>
      <c r="K37" s="103"/>
      <c r="L37" s="103">
        <f>'Acq Cash Flow'!J9</f>
        <v>2.7</v>
      </c>
      <c r="M37" s="103"/>
      <c r="N37" s="103">
        <f>'Acq Cash Flow'!K9</f>
        <v>2.9</v>
      </c>
      <c r="O37" s="103"/>
      <c r="P37" s="103">
        <f>'Acq Cash Flow'!M9</f>
        <v>0.72499999999999998</v>
      </c>
      <c r="Q37" s="103"/>
      <c r="R37" s="103">
        <f>'Acq Cash Flow'!N9</f>
        <v>0.80837499999999995</v>
      </c>
      <c r="S37" s="161"/>
      <c r="T37" s="103">
        <f>'Acq Cash Flow'!P9</f>
        <v>2.9833749999999997</v>
      </c>
      <c r="U37" s="161"/>
      <c r="V37" s="161"/>
      <c r="W37" s="161"/>
      <c r="X37" s="343">
        <f t="shared" si="6"/>
        <v>2.9</v>
      </c>
      <c r="Y37" s="68"/>
      <c r="Z37" s="356">
        <f t="shared" si="7"/>
        <v>2.9833749999999997</v>
      </c>
      <c r="AA37" s="161"/>
      <c r="AB37" s="103">
        <f>'Acq Proj'!L35</f>
        <v>10</v>
      </c>
      <c r="AC37" s="103"/>
      <c r="AD37" s="103">
        <f>'Acq Proj'!M35</f>
        <v>10</v>
      </c>
      <c r="AE37" s="103"/>
      <c r="AF37" s="103">
        <f>'Acq Proj'!N35</f>
        <v>11.428571428571427</v>
      </c>
      <c r="AG37" s="103"/>
      <c r="AH37" s="103">
        <f>'Acq Proj'!O35</f>
        <v>12.857142857142856</v>
      </c>
      <c r="AI37" s="103"/>
      <c r="AJ37" s="103">
        <f>'Acq Proj'!P35</f>
        <v>14.464285714285714</v>
      </c>
      <c r="AK37" s="355"/>
      <c r="AL37" s="310"/>
      <c r="AM37" s="310"/>
      <c r="AN37" s="310"/>
      <c r="AO37" s="310"/>
      <c r="AP37" s="310"/>
      <c r="AQ37" s="310"/>
      <c r="AR37" s="310"/>
      <c r="AS37" s="310"/>
      <c r="AT37" s="310"/>
      <c r="AU37" s="310"/>
      <c r="AV37" s="310"/>
      <c r="AW37" s="310"/>
      <c r="AX37" s="310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/>
      <c r="BV37" s="310"/>
      <c r="BW37" s="310"/>
      <c r="BX37" s="310"/>
      <c r="BY37" s="310"/>
      <c r="BZ37" s="310"/>
      <c r="CA37" s="310"/>
      <c r="CB37" s="310"/>
      <c r="CC37" s="310"/>
      <c r="CD37" s="310"/>
      <c r="CE37" s="310"/>
      <c r="CF37" s="310"/>
      <c r="CG37" s="310"/>
      <c r="CH37" s="310"/>
      <c r="CI37" s="310"/>
      <c r="CJ37" s="310"/>
      <c r="CK37" s="310"/>
      <c r="CL37" s="310"/>
      <c r="CM37" s="310"/>
      <c r="CN37" s="310"/>
      <c r="CO37" s="310"/>
      <c r="CP37" s="310"/>
      <c r="CQ37" s="310"/>
      <c r="CR37" s="310"/>
      <c r="CS37" s="310"/>
      <c r="CT37" s="310"/>
      <c r="CU37" s="310"/>
      <c r="CV37" s="310"/>
      <c r="CW37" s="310"/>
      <c r="CX37" s="310"/>
      <c r="CY37" s="310"/>
      <c r="CZ37" s="310"/>
      <c r="DA37" s="310"/>
      <c r="DB37" s="310"/>
      <c r="DC37" s="310"/>
      <c r="DD37" s="310"/>
      <c r="DE37" s="310"/>
      <c r="DF37" s="310"/>
      <c r="DG37" s="310"/>
      <c r="DH37" s="310"/>
      <c r="DI37" s="310"/>
      <c r="DJ37" s="310"/>
      <c r="DK37" s="310"/>
      <c r="DL37" s="310"/>
      <c r="DM37" s="310"/>
      <c r="DN37" s="310"/>
      <c r="DO37" s="310"/>
      <c r="DP37" s="310"/>
      <c r="DQ37" s="310"/>
      <c r="DR37" s="310"/>
      <c r="DS37" s="310"/>
      <c r="DT37" s="310"/>
      <c r="DU37" s="310"/>
      <c r="DV37" s="310"/>
      <c r="DW37" s="310"/>
      <c r="DX37" s="310"/>
      <c r="DY37" s="310"/>
      <c r="DZ37" s="310"/>
      <c r="EA37" s="310"/>
      <c r="EB37" s="310"/>
      <c r="EC37" s="310"/>
      <c r="ED37" s="310"/>
      <c r="EE37" s="310"/>
      <c r="EF37" s="310"/>
      <c r="EG37" s="310"/>
      <c r="EH37" s="310"/>
      <c r="EI37" s="310"/>
      <c r="EJ37" s="310"/>
      <c r="EK37" s="310"/>
      <c r="EL37" s="310"/>
      <c r="EM37" s="310"/>
      <c r="EN37" s="310"/>
      <c r="EO37" s="310"/>
      <c r="EP37" s="310"/>
      <c r="EQ37" s="310"/>
      <c r="ER37" s="310"/>
      <c r="ES37" s="310"/>
      <c r="ET37" s="310"/>
      <c r="EU37" s="310"/>
      <c r="EV37" s="310"/>
      <c r="EW37" s="310"/>
      <c r="EX37" s="310"/>
      <c r="EY37" s="310"/>
      <c r="EZ37" s="310"/>
      <c r="FA37" s="310"/>
      <c r="FB37" s="310"/>
      <c r="FC37" s="310"/>
      <c r="FD37" s="310"/>
      <c r="FE37" s="310"/>
      <c r="FF37" s="310"/>
      <c r="FG37" s="310"/>
      <c r="FH37" s="310"/>
      <c r="FI37" s="310"/>
      <c r="FJ37" s="310"/>
      <c r="FK37" s="310"/>
      <c r="FL37" s="310"/>
      <c r="FM37" s="310"/>
      <c r="FN37" s="310"/>
      <c r="FO37" s="310"/>
      <c r="FP37" s="310"/>
      <c r="FQ37" s="310"/>
      <c r="FR37" s="310"/>
      <c r="FS37" s="310"/>
      <c r="FT37" s="310"/>
      <c r="FU37" s="310"/>
      <c r="FV37" s="310"/>
      <c r="FW37" s="310"/>
      <c r="FX37" s="310"/>
      <c r="FY37" s="310"/>
      <c r="FZ37" s="310"/>
      <c r="GA37" s="310"/>
      <c r="GB37" s="310"/>
      <c r="GC37" s="310"/>
      <c r="GD37" s="310"/>
      <c r="GE37" s="310"/>
      <c r="GF37" s="310"/>
      <c r="GG37" s="310"/>
      <c r="GH37" s="310"/>
      <c r="GI37" s="310"/>
      <c r="GJ37" s="310"/>
      <c r="GK37" s="310"/>
      <c r="GL37" s="310"/>
      <c r="GM37" s="310"/>
      <c r="GN37" s="310"/>
      <c r="GO37" s="310"/>
      <c r="GP37" s="310"/>
      <c r="GQ37" s="310"/>
      <c r="GR37" s="310"/>
      <c r="GS37" s="310"/>
      <c r="GT37" s="310"/>
      <c r="GU37" s="310"/>
      <c r="GV37" s="310"/>
      <c r="GW37" s="310"/>
      <c r="GX37" s="310"/>
      <c r="GY37" s="310"/>
      <c r="GZ37" s="310"/>
      <c r="HA37" s="310"/>
      <c r="HB37" s="310"/>
      <c r="HC37" s="310"/>
      <c r="HD37" s="310"/>
      <c r="HE37" s="310"/>
      <c r="HF37" s="310"/>
      <c r="HG37" s="310"/>
      <c r="HH37" s="310"/>
      <c r="HI37" s="310"/>
      <c r="HJ37" s="310"/>
      <c r="HK37" s="310"/>
      <c r="HL37" s="310"/>
      <c r="HM37" s="310"/>
      <c r="HN37" s="310"/>
      <c r="HO37" s="310"/>
      <c r="HP37" s="310"/>
      <c r="HQ37" s="310"/>
      <c r="HR37" s="310"/>
      <c r="HS37" s="310"/>
      <c r="HT37" s="310"/>
      <c r="HU37" s="310"/>
      <c r="HV37" s="310"/>
      <c r="HW37" s="310"/>
      <c r="HX37" s="310"/>
      <c r="HY37" s="310"/>
      <c r="HZ37" s="310"/>
      <c r="IA37" s="310"/>
      <c r="IB37" s="310"/>
      <c r="IC37" s="310"/>
      <c r="ID37" s="310"/>
      <c r="IE37" s="310"/>
      <c r="IF37" s="310"/>
    </row>
    <row r="38" spans="1:273" s="351" customFormat="1">
      <c r="B38" s="310" t="s">
        <v>122</v>
      </c>
      <c r="C38" s="310"/>
      <c r="D38" s="310"/>
      <c r="E38" s="310"/>
      <c r="F38" s="103">
        <f>'Acq Cash Flow'!G15</f>
        <v>-5</v>
      </c>
      <c r="G38" s="103"/>
      <c r="H38" s="103">
        <f>'Acq Cash Flow'!H15</f>
        <v>-6</v>
      </c>
      <c r="I38" s="103"/>
      <c r="J38" s="103">
        <f>'Acq Cash Flow'!I15</f>
        <v>-7</v>
      </c>
      <c r="K38" s="103"/>
      <c r="L38" s="103">
        <f>'Acq Cash Flow'!J15</f>
        <v>-8</v>
      </c>
      <c r="M38" s="103"/>
      <c r="N38" s="103">
        <f>'Acq Cash Flow'!K15</f>
        <v>-9</v>
      </c>
      <c r="O38" s="103"/>
      <c r="P38" s="103">
        <f>'Acq Cash Flow'!M15</f>
        <v>-2.25</v>
      </c>
      <c r="Q38" s="103"/>
      <c r="R38" s="103">
        <f>'Acq Cash Flow'!N15</f>
        <v>-2.6</v>
      </c>
      <c r="S38" s="161"/>
      <c r="T38" s="103">
        <f>'Acq Cash Flow'!P15</f>
        <v>-9.35</v>
      </c>
      <c r="U38" s="161"/>
      <c r="V38" s="161"/>
      <c r="W38" s="161"/>
      <c r="X38" s="343">
        <f t="shared" si="6"/>
        <v>-9</v>
      </c>
      <c r="Y38" s="68"/>
      <c r="Z38" s="356">
        <f t="shared" si="7"/>
        <v>-9.35</v>
      </c>
      <c r="AA38" s="161"/>
      <c r="AB38" s="103">
        <f>-'Acq Proj'!L217</f>
        <v>-10</v>
      </c>
      <c r="AC38" s="103"/>
      <c r="AD38" s="103">
        <f>-'Acq Proj'!M217</f>
        <v>-12</v>
      </c>
      <c r="AE38" s="103"/>
      <c r="AF38" s="103">
        <f>-'Acq Proj'!N217</f>
        <v>-13.714285714285715</v>
      </c>
      <c r="AG38" s="103"/>
      <c r="AH38" s="103">
        <f>-'Acq Proj'!O217</f>
        <v>-15.428571428571429</v>
      </c>
      <c r="AI38" s="103"/>
      <c r="AJ38" s="103">
        <f>-'Acq Proj'!P217</f>
        <v>-17.357142857142858</v>
      </c>
      <c r="AK38" s="355"/>
      <c r="AL38" s="310"/>
      <c r="AM38" s="310"/>
      <c r="AN38" s="310"/>
      <c r="AO38" s="310"/>
      <c r="AP38" s="310"/>
      <c r="AQ38" s="310"/>
      <c r="AR38" s="310"/>
      <c r="AS38" s="310"/>
      <c r="AT38" s="310"/>
      <c r="AU38" s="310"/>
      <c r="AV38" s="310"/>
      <c r="AW38" s="310"/>
      <c r="AX38" s="310"/>
      <c r="AY38" s="310"/>
      <c r="AZ38" s="310"/>
      <c r="BA38" s="310"/>
      <c r="BB38" s="310"/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/>
      <c r="BV38" s="310"/>
      <c r="BW38" s="310"/>
      <c r="BX38" s="310"/>
      <c r="BY38" s="310"/>
      <c r="BZ38" s="310"/>
      <c r="CA38" s="310"/>
      <c r="CB38" s="310"/>
      <c r="CC38" s="310"/>
      <c r="CD38" s="310"/>
      <c r="CE38" s="310"/>
      <c r="CF38" s="310"/>
      <c r="CG38" s="310"/>
      <c r="CH38" s="310"/>
      <c r="CI38" s="310"/>
      <c r="CJ38" s="310"/>
      <c r="CK38" s="310"/>
      <c r="CL38" s="310"/>
      <c r="CM38" s="310"/>
      <c r="CN38" s="310"/>
      <c r="CO38" s="310"/>
      <c r="CP38" s="310"/>
      <c r="CQ38" s="310"/>
      <c r="CR38" s="310"/>
      <c r="CS38" s="310"/>
      <c r="CT38" s="310"/>
      <c r="CU38" s="310"/>
      <c r="CV38" s="310"/>
      <c r="CW38" s="310"/>
      <c r="CX38" s="310"/>
      <c r="CY38" s="310"/>
      <c r="CZ38" s="310"/>
      <c r="DA38" s="310"/>
      <c r="DB38" s="310"/>
      <c r="DC38" s="310"/>
      <c r="DD38" s="310"/>
      <c r="DE38" s="310"/>
      <c r="DF38" s="310"/>
      <c r="DG38" s="310"/>
      <c r="DH38" s="310"/>
      <c r="DI38" s="310"/>
      <c r="DJ38" s="310"/>
      <c r="DK38" s="310"/>
      <c r="DL38" s="310"/>
      <c r="DM38" s="310"/>
      <c r="DN38" s="310"/>
      <c r="DO38" s="310"/>
      <c r="DP38" s="310"/>
      <c r="DQ38" s="310"/>
      <c r="DR38" s="310"/>
      <c r="DS38" s="310"/>
      <c r="DT38" s="310"/>
      <c r="DU38" s="310"/>
      <c r="DV38" s="310"/>
      <c r="DW38" s="310"/>
      <c r="DX38" s="310"/>
      <c r="DY38" s="310"/>
      <c r="DZ38" s="310"/>
      <c r="EA38" s="310"/>
      <c r="EB38" s="310"/>
      <c r="EC38" s="310"/>
      <c r="ED38" s="310"/>
      <c r="EE38" s="310"/>
      <c r="EF38" s="310"/>
      <c r="EG38" s="310"/>
      <c r="EH38" s="310"/>
      <c r="EI38" s="310"/>
      <c r="EJ38" s="310"/>
      <c r="EK38" s="310"/>
      <c r="EL38" s="310"/>
      <c r="EM38" s="310"/>
      <c r="EN38" s="310"/>
      <c r="EO38" s="310"/>
      <c r="EP38" s="310"/>
      <c r="EQ38" s="310"/>
      <c r="ER38" s="310"/>
      <c r="ES38" s="310"/>
      <c r="ET38" s="310"/>
      <c r="EU38" s="310"/>
      <c r="EV38" s="310"/>
      <c r="EW38" s="310"/>
      <c r="EX38" s="310"/>
      <c r="EY38" s="310"/>
      <c r="EZ38" s="310"/>
      <c r="FA38" s="310"/>
      <c r="FB38" s="310"/>
      <c r="FC38" s="310"/>
      <c r="FD38" s="310"/>
      <c r="FE38" s="310"/>
      <c r="FF38" s="310"/>
      <c r="FG38" s="310"/>
      <c r="FH38" s="310"/>
      <c r="FI38" s="310"/>
      <c r="FJ38" s="310"/>
      <c r="FK38" s="310"/>
      <c r="FL38" s="310"/>
      <c r="FM38" s="310"/>
      <c r="FN38" s="310"/>
      <c r="FO38" s="310"/>
      <c r="FP38" s="310"/>
      <c r="FQ38" s="310"/>
      <c r="FR38" s="310"/>
      <c r="FS38" s="310"/>
      <c r="FT38" s="310"/>
      <c r="FU38" s="310"/>
      <c r="FV38" s="310"/>
      <c r="FW38" s="310"/>
      <c r="FX38" s="310"/>
      <c r="FY38" s="310"/>
      <c r="FZ38" s="310"/>
      <c r="GA38" s="310"/>
      <c r="GB38" s="310"/>
      <c r="GC38" s="310"/>
      <c r="GD38" s="310"/>
      <c r="GE38" s="310"/>
      <c r="GF38" s="310"/>
      <c r="GG38" s="310"/>
      <c r="GH38" s="310"/>
      <c r="GI38" s="310"/>
      <c r="GJ38" s="310"/>
      <c r="GK38" s="310"/>
      <c r="GL38" s="310"/>
      <c r="GM38" s="310"/>
      <c r="GN38" s="310"/>
      <c r="GO38" s="310"/>
      <c r="GP38" s="310"/>
      <c r="GQ38" s="310"/>
      <c r="GR38" s="310"/>
      <c r="GS38" s="310"/>
      <c r="GT38" s="310"/>
      <c r="GU38" s="310"/>
      <c r="GV38" s="310"/>
      <c r="GW38" s="310"/>
      <c r="GX38" s="310"/>
      <c r="GY38" s="310"/>
      <c r="GZ38" s="310"/>
      <c r="HA38" s="310"/>
      <c r="HB38" s="310"/>
      <c r="HC38" s="310"/>
      <c r="HD38" s="310"/>
      <c r="HE38" s="310"/>
      <c r="HF38" s="310"/>
      <c r="HG38" s="310"/>
      <c r="HH38" s="310"/>
      <c r="HI38" s="310"/>
      <c r="HJ38" s="310"/>
      <c r="HK38" s="310"/>
      <c r="HL38" s="310"/>
      <c r="HM38" s="310"/>
      <c r="HN38" s="310"/>
      <c r="HO38" s="310"/>
      <c r="HP38" s="310"/>
      <c r="HQ38" s="310"/>
      <c r="HR38" s="310"/>
      <c r="HS38" s="310"/>
      <c r="HT38" s="310"/>
      <c r="HU38" s="310"/>
      <c r="HV38" s="310"/>
      <c r="HW38" s="310"/>
      <c r="HX38" s="310"/>
      <c r="HY38" s="310"/>
      <c r="HZ38" s="310"/>
      <c r="IA38" s="310"/>
      <c r="IB38" s="310"/>
      <c r="IC38" s="310"/>
      <c r="ID38" s="310"/>
      <c r="IE38" s="310"/>
      <c r="IF38" s="310"/>
    </row>
    <row r="39" spans="1:273" s="351" customFormat="1">
      <c r="B39" s="310" t="s">
        <v>286</v>
      </c>
      <c r="C39" s="310"/>
      <c r="D39" s="310"/>
      <c r="E39" s="310"/>
      <c r="F39" s="103">
        <f>'Acq Cash Flow'!G11</f>
        <v>0.5</v>
      </c>
      <c r="G39" s="103"/>
      <c r="H39" s="103">
        <f>'Acq Cash Flow'!H11</f>
        <v>1.23533333333335</v>
      </c>
      <c r="I39" s="103"/>
      <c r="J39" s="103">
        <f>'Acq Cash Flow'!I11</f>
        <v>-0.75477777777777089</v>
      </c>
      <c r="K39" s="103"/>
      <c r="L39" s="103">
        <f>'Acq Cash Flow'!J11</f>
        <v>4.7796666666667038</v>
      </c>
      <c r="M39" s="103"/>
      <c r="N39" s="103">
        <f>'Acq Cash Flow'!K11</f>
        <v>-1.1690000000000023</v>
      </c>
      <c r="O39" s="103"/>
      <c r="P39" s="103">
        <f>'Acq Cash Flow'!M11</f>
        <v>-0.52625000000000055</v>
      </c>
      <c r="Q39" s="103"/>
      <c r="R39" s="103">
        <f>'Acq Cash Flow'!N11</f>
        <v>-0.55256250000000062</v>
      </c>
      <c r="S39" s="161"/>
      <c r="T39" s="103">
        <f>'Acq Cash Flow'!P11</f>
        <v>-1.1953125000000022</v>
      </c>
      <c r="U39" s="161"/>
      <c r="V39" s="161"/>
      <c r="W39" s="161"/>
      <c r="X39" s="343">
        <f t="shared" si="6"/>
        <v>-1.1690000000000023</v>
      </c>
      <c r="Y39" s="68"/>
      <c r="Z39" s="356">
        <f t="shared" si="7"/>
        <v>-1.1953125000000022</v>
      </c>
      <c r="AA39" s="161"/>
      <c r="AB39" s="103">
        <f>'Acq Proj'!L95</f>
        <v>-3.1554565656565678</v>
      </c>
      <c r="AC39" s="103"/>
      <c r="AD39" s="103">
        <f>'Acq Proj'!M95</f>
        <v>-3.0991872053872171</v>
      </c>
      <c r="AE39" s="103"/>
      <c r="AF39" s="103">
        <f>'Acq Proj'!N95</f>
        <v>-3.09918720538721</v>
      </c>
      <c r="AG39" s="103"/>
      <c r="AH39" s="103">
        <f>'Acq Proj'!O95</f>
        <v>-3.09918720538721</v>
      </c>
      <c r="AI39" s="103"/>
      <c r="AJ39" s="103">
        <f>'Acq Proj'!P95</f>
        <v>-3.4865856060606149</v>
      </c>
      <c r="AK39" s="355"/>
      <c r="AL39" s="310"/>
      <c r="AM39" s="310"/>
      <c r="AN39" s="310"/>
      <c r="AO39" s="310"/>
      <c r="AP39" s="310"/>
      <c r="AQ39" s="310"/>
      <c r="AR39" s="310"/>
      <c r="AS39" s="310"/>
      <c r="AT39" s="310"/>
      <c r="AU39" s="310"/>
      <c r="AV39" s="310"/>
      <c r="AW39" s="310"/>
      <c r="AX39" s="310"/>
      <c r="AY39" s="310"/>
      <c r="AZ39" s="310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/>
      <c r="BV39" s="310"/>
      <c r="BW39" s="310"/>
      <c r="BX39" s="310"/>
      <c r="BY39" s="310"/>
      <c r="BZ39" s="310"/>
      <c r="CA39" s="310"/>
      <c r="CB39" s="310"/>
      <c r="CC39" s="310"/>
      <c r="CD39" s="310"/>
      <c r="CE39" s="310"/>
      <c r="CF39" s="310"/>
      <c r="CG39" s="310"/>
      <c r="CH39" s="310"/>
      <c r="CI39" s="310"/>
      <c r="CJ39" s="310"/>
      <c r="CK39" s="310"/>
      <c r="CL39" s="310"/>
      <c r="CM39" s="310"/>
      <c r="CN39" s="310"/>
      <c r="CO39" s="310"/>
      <c r="CP39" s="310"/>
      <c r="CQ39" s="310"/>
      <c r="CR39" s="310"/>
      <c r="CS39" s="310"/>
      <c r="CT39" s="310"/>
      <c r="CU39" s="310"/>
      <c r="CV39" s="310"/>
      <c r="CW39" s="310"/>
      <c r="CX39" s="310"/>
      <c r="CY39" s="310"/>
      <c r="CZ39" s="310"/>
      <c r="DA39" s="310"/>
      <c r="DB39" s="310"/>
      <c r="DC39" s="310"/>
      <c r="DD39" s="310"/>
      <c r="DE39" s="310"/>
      <c r="DF39" s="310"/>
      <c r="DG39" s="310"/>
      <c r="DH39" s="310"/>
      <c r="DI39" s="310"/>
      <c r="DJ39" s="310"/>
      <c r="DK39" s="310"/>
      <c r="DL39" s="310"/>
      <c r="DM39" s="310"/>
      <c r="DN39" s="310"/>
      <c r="DO39" s="310"/>
      <c r="DP39" s="310"/>
      <c r="DQ39" s="310"/>
      <c r="DR39" s="310"/>
      <c r="DS39" s="310"/>
      <c r="DT39" s="310"/>
      <c r="DU39" s="310"/>
      <c r="DV39" s="310"/>
      <c r="DW39" s="310"/>
      <c r="DX39" s="310"/>
      <c r="DY39" s="310"/>
      <c r="DZ39" s="310"/>
      <c r="EA39" s="310"/>
      <c r="EB39" s="310"/>
      <c r="EC39" s="310"/>
      <c r="ED39" s="310"/>
      <c r="EE39" s="310"/>
      <c r="EF39" s="310"/>
      <c r="EG39" s="310"/>
      <c r="EH39" s="310"/>
      <c r="EI39" s="310"/>
      <c r="EJ39" s="310"/>
      <c r="EK39" s="310"/>
      <c r="EL39" s="310"/>
      <c r="EM39" s="310"/>
      <c r="EN39" s="310"/>
      <c r="EO39" s="310"/>
      <c r="EP39" s="310"/>
      <c r="EQ39" s="310"/>
      <c r="ER39" s="310"/>
      <c r="ES39" s="310"/>
      <c r="ET39" s="310"/>
      <c r="EU39" s="310"/>
      <c r="EV39" s="310"/>
      <c r="EW39" s="310"/>
      <c r="EX39" s="310"/>
      <c r="EY39" s="310"/>
      <c r="EZ39" s="310"/>
      <c r="FA39" s="310"/>
      <c r="FB39" s="310"/>
      <c r="FC39" s="310"/>
      <c r="FD39" s="310"/>
      <c r="FE39" s="310"/>
      <c r="FF39" s="310"/>
      <c r="FG39" s="310"/>
      <c r="FH39" s="310"/>
      <c r="FI39" s="310"/>
      <c r="FJ39" s="310"/>
      <c r="FK39" s="310"/>
      <c r="FL39" s="310"/>
      <c r="FM39" s="310"/>
      <c r="FN39" s="310"/>
      <c r="FO39" s="310"/>
      <c r="FP39" s="310"/>
      <c r="FQ39" s="310"/>
      <c r="FR39" s="310"/>
      <c r="FS39" s="310"/>
      <c r="FT39" s="310"/>
      <c r="FU39" s="310"/>
      <c r="FV39" s="310"/>
      <c r="FW39" s="310"/>
      <c r="FX39" s="310"/>
      <c r="FY39" s="310"/>
      <c r="FZ39" s="310"/>
      <c r="GA39" s="310"/>
      <c r="GB39" s="310"/>
      <c r="GC39" s="310"/>
      <c r="GD39" s="310"/>
      <c r="GE39" s="310"/>
      <c r="GF39" s="310"/>
      <c r="GG39" s="310"/>
      <c r="GH39" s="310"/>
      <c r="GI39" s="310"/>
      <c r="GJ39" s="310"/>
      <c r="GK39" s="310"/>
      <c r="GL39" s="310"/>
      <c r="GM39" s="310"/>
      <c r="GN39" s="310"/>
      <c r="GO39" s="310"/>
      <c r="GP39" s="310"/>
      <c r="GQ39" s="310"/>
      <c r="GR39" s="310"/>
      <c r="GS39" s="310"/>
      <c r="GT39" s="310"/>
      <c r="GU39" s="310"/>
      <c r="GV39" s="310"/>
      <c r="GW39" s="310"/>
      <c r="GX39" s="310"/>
      <c r="GY39" s="310"/>
      <c r="GZ39" s="310"/>
      <c r="HA39" s="310"/>
      <c r="HB39" s="310"/>
      <c r="HC39" s="310"/>
      <c r="HD39" s="310"/>
      <c r="HE39" s="310"/>
      <c r="HF39" s="310"/>
      <c r="HG39" s="310"/>
      <c r="HH39" s="310"/>
      <c r="HI39" s="310"/>
      <c r="HJ39" s="310"/>
      <c r="HK39" s="310"/>
      <c r="HL39" s="310"/>
      <c r="HM39" s="310"/>
      <c r="HN39" s="310"/>
      <c r="HO39" s="310"/>
      <c r="HP39" s="310"/>
      <c r="HQ39" s="310"/>
      <c r="HR39" s="310"/>
      <c r="HS39" s="310"/>
      <c r="HT39" s="310"/>
      <c r="HU39" s="310"/>
      <c r="HV39" s="310"/>
      <c r="HW39" s="310"/>
      <c r="HX39" s="310"/>
      <c r="HY39" s="310"/>
      <c r="HZ39" s="310"/>
      <c r="IA39" s="310"/>
      <c r="IB39" s="310"/>
      <c r="IC39" s="310"/>
      <c r="ID39" s="310"/>
      <c r="IE39" s="310"/>
      <c r="IF39" s="310"/>
    </row>
    <row r="40" spans="1:273" s="351" customFormat="1">
      <c r="B40" s="310" t="s">
        <v>616</v>
      </c>
      <c r="C40" s="310"/>
      <c r="D40" s="310"/>
      <c r="E40" s="310"/>
      <c r="F40" s="343">
        <f>+F63</f>
        <v>8.8209999999999997</v>
      </c>
      <c r="G40" s="343"/>
      <c r="H40" s="343">
        <f>+H63</f>
        <v>11.524333333333352</v>
      </c>
      <c r="I40" s="343"/>
      <c r="J40" s="343">
        <f>+J63</f>
        <v>11.35862222222223</v>
      </c>
      <c r="K40" s="343"/>
      <c r="L40" s="343">
        <f>+L63</f>
        <v>18.590916666666701</v>
      </c>
      <c r="M40" s="343"/>
      <c r="N40" s="343">
        <f>+N63</f>
        <v>14.301874999999988</v>
      </c>
      <c r="O40" s="357"/>
      <c r="P40" s="343">
        <f>+P63</f>
        <v>2.4237500000000001</v>
      </c>
      <c r="Q40" s="343"/>
      <c r="R40" s="343">
        <f>+R63</f>
        <v>2.6058124999999994</v>
      </c>
      <c r="S40" s="161"/>
      <c r="T40" s="343">
        <f>+T63</f>
        <v>14.483937499999991</v>
      </c>
      <c r="U40" s="161"/>
      <c r="V40" s="161"/>
      <c r="W40" s="161"/>
      <c r="X40" s="343">
        <f t="shared" si="6"/>
        <v>14.301874999999988</v>
      </c>
      <c r="Y40" s="68"/>
      <c r="Z40" s="356">
        <f t="shared" si="7"/>
        <v>14.483937499999991</v>
      </c>
      <c r="AA40" s="161"/>
      <c r="AB40" s="343">
        <f ca="1">+AB63</f>
        <v>19.438699131673655</v>
      </c>
      <c r="AC40" s="343"/>
      <c r="AD40" s="343">
        <f ca="1">+AD63</f>
        <v>21.483445682219049</v>
      </c>
      <c r="AE40" s="357"/>
      <c r="AF40" s="343">
        <f ca="1">+AF63</f>
        <v>25.032822568224354</v>
      </c>
      <c r="AG40" s="357"/>
      <c r="AH40" s="343">
        <f ca="1">+AH63</f>
        <v>28.595534620989845</v>
      </c>
      <c r="AI40" s="357"/>
      <c r="AJ40" s="343">
        <f ca="1">+AJ63</f>
        <v>32.217354985650317</v>
      </c>
      <c r="AK40" s="310"/>
      <c r="AL40" s="310"/>
      <c r="AM40" s="310"/>
      <c r="AN40" s="310"/>
      <c r="AO40" s="310"/>
      <c r="AP40" s="310"/>
      <c r="AQ40" s="310"/>
      <c r="AR40" s="310"/>
      <c r="AS40" s="310"/>
      <c r="AT40" s="310"/>
      <c r="AU40" s="310"/>
      <c r="AV40" s="310"/>
      <c r="AW40" s="310"/>
      <c r="AX40" s="310"/>
      <c r="AY40" s="310"/>
      <c r="AZ40" s="310"/>
      <c r="BA40" s="310"/>
      <c r="BB40" s="310"/>
      <c r="BC40" s="310"/>
      <c r="BD40" s="310"/>
      <c r="BE40" s="310"/>
      <c r="BF40" s="310"/>
      <c r="BG40" s="310"/>
      <c r="BH40" s="310"/>
      <c r="BI40" s="310"/>
      <c r="BJ40" s="310"/>
      <c r="BK40" s="310"/>
      <c r="BL40" s="310"/>
      <c r="BM40" s="310"/>
      <c r="BN40" s="310"/>
      <c r="BO40" s="310"/>
      <c r="BP40" s="310"/>
      <c r="BQ40" s="310"/>
      <c r="BR40" s="310"/>
      <c r="BS40" s="310"/>
      <c r="BT40" s="310"/>
      <c r="BU40" s="310"/>
      <c r="BV40" s="310"/>
      <c r="BW40" s="310"/>
      <c r="BX40" s="310"/>
      <c r="BY40" s="310"/>
      <c r="BZ40" s="310"/>
      <c r="CA40" s="310"/>
      <c r="CB40" s="310"/>
      <c r="CC40" s="310"/>
      <c r="CD40" s="310"/>
      <c r="CE40" s="310"/>
      <c r="CF40" s="310"/>
      <c r="CG40" s="310"/>
      <c r="CH40" s="310"/>
      <c r="CI40" s="310"/>
      <c r="CJ40" s="310"/>
      <c r="CK40" s="310"/>
      <c r="CL40" s="310"/>
      <c r="CM40" s="310"/>
      <c r="CN40" s="310"/>
      <c r="CO40" s="310"/>
      <c r="CP40" s="310"/>
      <c r="CQ40" s="310"/>
      <c r="CR40" s="310"/>
      <c r="CS40" s="310"/>
      <c r="CT40" s="310"/>
      <c r="CU40" s="310"/>
      <c r="CV40" s="310"/>
      <c r="CW40" s="310"/>
      <c r="CX40" s="310"/>
      <c r="CY40" s="310"/>
      <c r="CZ40" s="310"/>
      <c r="DA40" s="310"/>
      <c r="DB40" s="310"/>
      <c r="DC40" s="310"/>
      <c r="DD40" s="310"/>
      <c r="DE40" s="310"/>
      <c r="DF40" s="310"/>
      <c r="DG40" s="310"/>
      <c r="DH40" s="310"/>
      <c r="DI40" s="310"/>
      <c r="DJ40" s="310"/>
      <c r="DK40" s="310"/>
      <c r="DL40" s="310"/>
      <c r="DM40" s="310"/>
      <c r="DN40" s="310"/>
      <c r="DO40" s="310"/>
      <c r="DP40" s="310"/>
      <c r="DQ40" s="310"/>
      <c r="DR40" s="310"/>
      <c r="DS40" s="310"/>
      <c r="DT40" s="310"/>
      <c r="DU40" s="310"/>
      <c r="DV40" s="310"/>
      <c r="DW40" s="310"/>
      <c r="DX40" s="310"/>
      <c r="DY40" s="310"/>
      <c r="DZ40" s="310"/>
      <c r="EA40" s="310"/>
      <c r="EB40" s="310"/>
      <c r="EC40" s="310"/>
      <c r="ED40" s="310"/>
      <c r="EE40" s="310"/>
      <c r="EF40" s="310"/>
      <c r="EG40" s="310"/>
      <c r="EH40" s="310"/>
      <c r="EI40" s="310"/>
      <c r="EJ40" s="310"/>
      <c r="EK40" s="310"/>
      <c r="EL40" s="310"/>
      <c r="EM40" s="310"/>
      <c r="EN40" s="310"/>
      <c r="EO40" s="310"/>
      <c r="EP40" s="310"/>
      <c r="EQ40" s="310"/>
      <c r="ER40" s="310"/>
      <c r="ES40" s="310"/>
      <c r="ET40" s="310"/>
      <c r="EU40" s="310"/>
      <c r="EV40" s="310"/>
      <c r="EW40" s="310"/>
      <c r="EX40" s="310"/>
      <c r="EY40" s="310"/>
      <c r="EZ40" s="310"/>
      <c r="FA40" s="310"/>
      <c r="FB40" s="310"/>
      <c r="FC40" s="310"/>
      <c r="FD40" s="310"/>
      <c r="FE40" s="310"/>
      <c r="FF40" s="310"/>
      <c r="FG40" s="310"/>
      <c r="FH40" s="310"/>
      <c r="FI40" s="310"/>
      <c r="FJ40" s="310"/>
      <c r="FK40" s="310"/>
      <c r="FL40" s="310"/>
      <c r="FM40" s="310"/>
      <c r="FN40" s="310"/>
      <c r="FO40" s="310"/>
      <c r="FP40" s="310"/>
      <c r="FQ40" s="310"/>
      <c r="FR40" s="310"/>
      <c r="FS40" s="310"/>
      <c r="FT40" s="310"/>
      <c r="FU40" s="310"/>
      <c r="FV40" s="310"/>
      <c r="FW40" s="310"/>
      <c r="FX40" s="310"/>
      <c r="FY40" s="310"/>
      <c r="FZ40" s="310"/>
      <c r="GA40" s="310"/>
      <c r="GB40" s="310"/>
      <c r="GC40" s="310"/>
      <c r="GD40" s="310"/>
      <c r="GE40" s="310"/>
      <c r="GF40" s="310"/>
      <c r="GG40" s="310"/>
      <c r="GH40" s="310"/>
      <c r="GI40" s="310"/>
      <c r="GJ40" s="310"/>
      <c r="GK40" s="310"/>
      <c r="GL40" s="310"/>
      <c r="GM40" s="310"/>
      <c r="GN40" s="310"/>
      <c r="GO40" s="310"/>
      <c r="GP40" s="310"/>
      <c r="GQ40" s="310"/>
      <c r="GR40" s="310"/>
      <c r="GS40" s="310"/>
      <c r="GT40" s="310"/>
      <c r="GU40" s="310"/>
      <c r="GV40" s="310"/>
      <c r="GW40" s="310"/>
      <c r="GX40" s="310"/>
      <c r="GY40" s="310"/>
      <c r="GZ40" s="310"/>
      <c r="HA40" s="310"/>
      <c r="HB40" s="310"/>
      <c r="HC40" s="310"/>
      <c r="HD40" s="310"/>
      <c r="HE40" s="310"/>
      <c r="HF40" s="310"/>
      <c r="HG40" s="310"/>
      <c r="HH40" s="310"/>
      <c r="HI40" s="310"/>
      <c r="HJ40" s="310"/>
      <c r="HK40" s="310"/>
      <c r="HL40" s="310"/>
      <c r="HM40" s="310"/>
      <c r="HN40" s="310"/>
      <c r="HO40" s="310"/>
      <c r="HP40" s="310"/>
      <c r="HQ40" s="310"/>
      <c r="HR40" s="310"/>
      <c r="HS40" s="310"/>
      <c r="HT40" s="310"/>
      <c r="HU40" s="310"/>
      <c r="HV40" s="310"/>
      <c r="HW40" s="310"/>
      <c r="HX40" s="310"/>
      <c r="HY40" s="310"/>
      <c r="HZ40" s="310"/>
      <c r="IA40" s="310"/>
      <c r="IB40" s="310"/>
      <c r="IC40" s="310"/>
      <c r="ID40" s="310"/>
      <c r="IE40" s="310"/>
      <c r="IF40" s="310"/>
    </row>
    <row r="41" spans="1:273">
      <c r="F41" s="161"/>
    </row>
    <row r="42" spans="1:273">
      <c r="B42" s="139" t="s">
        <v>288</v>
      </c>
    </row>
    <row r="43" spans="1:273" s="310" customFormat="1">
      <c r="A43" s="351" t="str">
        <f>"Adjusted Debt / " &amp;alabel3&amp;"EBITDAR"</f>
        <v>Adjusted Debt / EBITDAR</v>
      </c>
      <c r="B43" s="310" t="str">
        <f>+A43&amp;" (c)"</f>
        <v>Adjusted Debt / EBITDAR (c)</v>
      </c>
      <c r="F43" s="103">
        <f>'Acq Balance Sheet'!G54</f>
        <v>1.6260550283725146</v>
      </c>
      <c r="G43" s="358" t="s">
        <v>167</v>
      </c>
      <c r="H43" s="103">
        <f>'Acq Balance Sheet'!H54</f>
        <v>1.42</v>
      </c>
      <c r="I43" s="358" t="s">
        <v>167</v>
      </c>
      <c r="J43" s="103">
        <f>'Acq Balance Sheet'!I54</f>
        <v>1.2800693240901213</v>
      </c>
      <c r="K43" s="358" t="s">
        <v>167</v>
      </c>
      <c r="L43" s="103">
        <f>'Acq Balance Sheet'!J54</f>
        <v>1.1183923110528615</v>
      </c>
      <c r="M43" s="358" t="s">
        <v>167</v>
      </c>
      <c r="N43" s="103">
        <f>'Acq Balance Sheet'!K54</f>
        <v>1.0967665208715993</v>
      </c>
      <c r="O43" s="358" t="s">
        <v>167</v>
      </c>
      <c r="P43" s="103">
        <f>'Acq Balance Sheet'!M54</f>
        <v>1.0873192436040042</v>
      </c>
      <c r="Q43" s="358" t="s">
        <v>167</v>
      </c>
      <c r="R43" s="103">
        <f>'Acq Balance Sheet'!N54</f>
        <v>1.1011987278806166</v>
      </c>
      <c r="S43" s="358" t="s">
        <v>167</v>
      </c>
      <c r="T43" s="343">
        <f>+R43</f>
        <v>1.1011987278806166</v>
      </c>
      <c r="U43" s="161" t="s">
        <v>167</v>
      </c>
      <c r="V43" s="161"/>
      <c r="W43" s="161"/>
      <c r="X43" s="343">
        <f>+N43</f>
        <v>1.0967665208715993</v>
      </c>
      <c r="Y43" s="161" t="s">
        <v>167</v>
      </c>
      <c r="Z43" s="343">
        <f>+T43</f>
        <v>1.1011987278806166</v>
      </c>
      <c r="AA43" s="161" t="s">
        <v>167</v>
      </c>
      <c r="AB43" s="103">
        <f ca="1">'Acq Proj'!L186</f>
        <v>0.85714285714285721</v>
      </c>
      <c r="AC43" s="358" t="s">
        <v>167</v>
      </c>
      <c r="AD43" s="103">
        <f ca="1">'Acq Proj'!M186</f>
        <v>0.88537549407114635</v>
      </c>
      <c r="AE43" s="358" t="s">
        <v>167</v>
      </c>
      <c r="AF43" s="103">
        <f ca="1">'Acq Proj'!N186</f>
        <v>0.88537549407114624</v>
      </c>
      <c r="AG43" s="358" t="s">
        <v>167</v>
      </c>
      <c r="AH43" s="103">
        <f ca="1">'Acq Proj'!O186</f>
        <v>0.88537549407114635</v>
      </c>
      <c r="AI43" s="358" t="s">
        <v>167</v>
      </c>
      <c r="AJ43" s="103">
        <f ca="1">'Acq Proj'!P186</f>
        <v>0.88537549407114635</v>
      </c>
      <c r="AK43" s="161" t="s">
        <v>167</v>
      </c>
      <c r="IG43" s="351"/>
      <c r="IH43" s="351"/>
      <c r="II43" s="351"/>
      <c r="IJ43" s="351"/>
      <c r="IK43" s="351"/>
      <c r="IL43" s="351"/>
      <c r="IM43" s="351"/>
      <c r="IN43" s="351"/>
      <c r="IO43" s="351"/>
      <c r="IP43" s="351"/>
      <c r="IQ43" s="351"/>
      <c r="IR43" s="351"/>
      <c r="IS43" s="351"/>
      <c r="IT43" s="351"/>
      <c r="IU43" s="351"/>
      <c r="IV43" s="351"/>
      <c r="IW43" s="351"/>
      <c r="IX43" s="351"/>
      <c r="IY43" s="351"/>
      <c r="IZ43" s="351"/>
      <c r="JA43" s="351"/>
      <c r="JB43" s="351"/>
      <c r="JC43" s="351"/>
      <c r="JD43" s="351"/>
      <c r="JE43" s="351"/>
      <c r="JF43" s="351"/>
      <c r="JG43" s="351"/>
      <c r="JH43" s="351"/>
      <c r="JI43" s="351"/>
      <c r="JJ43" s="351"/>
      <c r="JK43" s="351"/>
      <c r="JL43" s="351"/>
      <c r="JM43" s="351"/>
    </row>
    <row r="44" spans="1:273" s="310" customFormat="1">
      <c r="A44" s="351"/>
      <c r="B44" s="310" t="str">
        <f>"Total Debt / " &amp;alabel3&amp;"EBITDA"</f>
        <v>Total Debt / EBITDA</v>
      </c>
      <c r="F44" s="103">
        <f>'Acq Balance Sheet'!G48</f>
        <v>0.56201658227143725</v>
      </c>
      <c r="G44" s="103"/>
      <c r="H44" s="103">
        <f>'Acq Balance Sheet'!H48</f>
        <v>0.45412844036697247</v>
      </c>
      <c r="I44" s="103"/>
      <c r="J44" s="103">
        <f>'Acq Balance Sheet'!I48</f>
        <v>0.38231827111984285</v>
      </c>
      <c r="K44" s="103"/>
      <c r="L44" s="103">
        <f>'Acq Balance Sheet'!J48</f>
        <v>0.31234748657881894</v>
      </c>
      <c r="M44" s="103"/>
      <c r="N44" s="103">
        <f>'Acq Balance Sheet'!K48</f>
        <v>0.28074530490417721</v>
      </c>
      <c r="O44" s="103"/>
      <c r="P44" s="103">
        <f>'Acq Balance Sheet'!M48</f>
        <v>0.29448233106013644</v>
      </c>
      <c r="Q44" s="103"/>
      <c r="R44" s="103">
        <f>'Acq Balance Sheet'!N48</f>
        <v>0.27467811158798289</v>
      </c>
      <c r="S44" s="357"/>
      <c r="T44" s="343">
        <f>+R44</f>
        <v>0.27467811158798289</v>
      </c>
      <c r="U44" s="161"/>
      <c r="V44" s="161"/>
      <c r="W44" s="161"/>
      <c r="X44" s="343">
        <f>+N44</f>
        <v>0.28074530490417721</v>
      </c>
      <c r="Y44" s="161"/>
      <c r="Z44" s="343">
        <f>+T44</f>
        <v>0.27467811158798289</v>
      </c>
      <c r="AA44" s="161"/>
      <c r="AB44" s="103" t="str">
        <f ca="1">'Acq Proj'!L187</f>
        <v>NM</v>
      </c>
      <c r="AC44" s="103"/>
      <c r="AD44" s="103" t="str">
        <f ca="1">'Acq Proj'!M187</f>
        <v>NM</v>
      </c>
      <c r="AE44" s="103"/>
      <c r="AF44" s="103" t="str">
        <f ca="1">'Acq Proj'!N187</f>
        <v>NM</v>
      </c>
      <c r="AG44" s="103"/>
      <c r="AH44" s="103" t="str">
        <f ca="1">'Acq Proj'!O187</f>
        <v>NM</v>
      </c>
      <c r="AI44" s="103"/>
      <c r="AJ44" s="103" t="str">
        <f ca="1">'Acq Proj'!P187</f>
        <v>NM</v>
      </c>
      <c r="AK44" s="161"/>
      <c r="IG44" s="351"/>
      <c r="IH44" s="351"/>
      <c r="II44" s="351"/>
      <c r="IJ44" s="351"/>
      <c r="IK44" s="351"/>
      <c r="IL44" s="351"/>
      <c r="IM44" s="351"/>
      <c r="IN44" s="351"/>
      <c r="IO44" s="351"/>
      <c r="IP44" s="351"/>
      <c r="IQ44" s="351"/>
      <c r="IR44" s="351"/>
      <c r="IS44" s="351"/>
      <c r="IT44" s="351"/>
      <c r="IU44" s="351"/>
      <c r="IV44" s="351"/>
      <c r="IW44" s="351"/>
      <c r="IX44" s="351"/>
      <c r="IY44" s="351"/>
      <c r="IZ44" s="351"/>
      <c r="JA44" s="351"/>
      <c r="JB44" s="351"/>
      <c r="JC44" s="351"/>
      <c r="JD44" s="351"/>
      <c r="JE44" s="351"/>
      <c r="JF44" s="351"/>
      <c r="JG44" s="351"/>
      <c r="JH44" s="351"/>
      <c r="JI44" s="351"/>
      <c r="JJ44" s="351"/>
      <c r="JK44" s="351"/>
      <c r="JL44" s="351"/>
      <c r="JM44" s="351"/>
    </row>
    <row r="45" spans="1:273" s="310" customFormat="1">
      <c r="A45" s="351"/>
      <c r="B45" s="310" t="str">
        <f>"Net Debt / " &amp;alabel3&amp;"EBITDA"</f>
        <v>Net Debt / EBITDA</v>
      </c>
      <c r="F45" s="103" t="str">
        <f>'Acq Balance Sheet'!G49</f>
        <v>NM</v>
      </c>
      <c r="G45" s="103"/>
      <c r="H45" s="103" t="str">
        <f>'Acq Balance Sheet'!H49</f>
        <v>NM</v>
      </c>
      <c r="I45" s="103"/>
      <c r="J45" s="103" t="str">
        <f>'Acq Balance Sheet'!I49</f>
        <v>NM</v>
      </c>
      <c r="K45" s="103"/>
      <c r="L45" s="103" t="str">
        <f>'Acq Balance Sheet'!J49</f>
        <v>NM</v>
      </c>
      <c r="M45" s="103"/>
      <c r="N45" s="103" t="str">
        <f>'Acq Balance Sheet'!K49</f>
        <v>NM</v>
      </c>
      <c r="O45" s="103"/>
      <c r="P45" s="103" t="str">
        <f>'Acq Balance Sheet'!M49</f>
        <v>NM</v>
      </c>
      <c r="Q45" s="103"/>
      <c r="R45" s="103" t="str">
        <f>'Acq Balance Sheet'!N49</f>
        <v>NM</v>
      </c>
      <c r="S45" s="357"/>
      <c r="T45" s="343" t="str">
        <f>+R45</f>
        <v>NM</v>
      </c>
      <c r="U45" s="161"/>
      <c r="V45" s="161"/>
      <c r="W45" s="161"/>
      <c r="X45" s="343" t="str">
        <f>+N45</f>
        <v>NM</v>
      </c>
      <c r="Y45" s="161"/>
      <c r="Z45" s="343" t="str">
        <f>+T45</f>
        <v>NM</v>
      </c>
      <c r="AA45" s="161"/>
      <c r="AB45" s="103" t="str">
        <f ca="1">'Acq Proj'!L188</f>
        <v>NM</v>
      </c>
      <c r="AC45" s="103"/>
      <c r="AD45" s="103" t="str">
        <f ca="1">'Acq Proj'!M188</f>
        <v>NM</v>
      </c>
      <c r="AE45" s="103"/>
      <c r="AF45" s="103" t="str">
        <f ca="1">'Acq Proj'!N188</f>
        <v>NM</v>
      </c>
      <c r="AG45" s="103"/>
      <c r="AH45" s="103" t="str">
        <f ca="1">'Acq Proj'!O188</f>
        <v>NM</v>
      </c>
      <c r="AI45" s="103"/>
      <c r="AJ45" s="103" t="str">
        <f ca="1">'Acq Proj'!P188</f>
        <v>NM</v>
      </c>
      <c r="AK45" s="161"/>
      <c r="IG45" s="351"/>
      <c r="IH45" s="351"/>
      <c r="II45" s="351"/>
      <c r="IJ45" s="351"/>
      <c r="IK45" s="351"/>
      <c r="IL45" s="351"/>
      <c r="IM45" s="351"/>
      <c r="IN45" s="351"/>
      <c r="IO45" s="351"/>
      <c r="IP45" s="351"/>
      <c r="IQ45" s="351"/>
      <c r="IR45" s="351"/>
      <c r="IS45" s="351"/>
      <c r="IT45" s="351"/>
      <c r="IU45" s="351"/>
      <c r="IV45" s="351"/>
      <c r="IW45" s="351"/>
      <c r="IX45" s="351"/>
      <c r="IY45" s="351"/>
      <c r="IZ45" s="351"/>
      <c r="JA45" s="351"/>
      <c r="JB45" s="351"/>
      <c r="JC45" s="351"/>
      <c r="JD45" s="351"/>
      <c r="JE45" s="351"/>
      <c r="JF45" s="351"/>
      <c r="JG45" s="351"/>
      <c r="JH45" s="351"/>
      <c r="JI45" s="351"/>
      <c r="JJ45" s="351"/>
      <c r="JK45" s="351"/>
      <c r="JL45" s="351"/>
      <c r="JM45" s="351"/>
    </row>
    <row r="46" spans="1:273" s="310" customFormat="1">
      <c r="A46" s="351"/>
      <c r="B46" s="310" t="str">
        <f>alabel3&amp;"EBITDA / Interest, Net"</f>
        <v>EBITDA / Interest, Net</v>
      </c>
      <c r="F46" s="103">
        <f>'Acq Balance Sheet'!G59</f>
        <v>25.672857142857143</v>
      </c>
      <c r="G46" s="103"/>
      <c r="H46" s="103">
        <f>'Acq Balance Sheet'!H59</f>
        <v>31.778425655976669</v>
      </c>
      <c r="I46" s="103"/>
      <c r="J46" s="103">
        <f>'Acq Balance Sheet'!I59</f>
        <v>37.754042426939613</v>
      </c>
      <c r="K46" s="103"/>
      <c r="L46" s="103">
        <f>'Acq Balance Sheet'!J59</f>
        <v>46.218045112781944</v>
      </c>
      <c r="M46" s="103"/>
      <c r="N46" s="103">
        <f>'Acq Balance Sheet'!K59</f>
        <v>51.426291793313055</v>
      </c>
      <c r="O46" s="103"/>
      <c r="P46" s="103">
        <f>'Acq Balance Sheet'!M59</f>
        <v>48.511278195488714</v>
      </c>
      <c r="Q46" s="103"/>
      <c r="R46" s="103">
        <f>'Acq Balance Sheet'!N59</f>
        <v>52.008928571428555</v>
      </c>
      <c r="S46" s="357"/>
      <c r="T46" s="343">
        <f>+R46</f>
        <v>52.008928571428555</v>
      </c>
      <c r="U46" s="161"/>
      <c r="V46" s="161"/>
      <c r="W46" s="161"/>
      <c r="X46" s="343">
        <f>+N46</f>
        <v>51.426291793313055</v>
      </c>
      <c r="Y46" s="161"/>
      <c r="Z46" s="343">
        <f>+T46</f>
        <v>52.008928571428555</v>
      </c>
      <c r="AA46" s="161"/>
      <c r="AB46" s="103" t="str">
        <f ca="1">'Acq Proj'!L191</f>
        <v>NM</v>
      </c>
      <c r="AC46" s="103"/>
      <c r="AD46" s="103" t="str">
        <f ca="1">'Acq Proj'!M191</f>
        <v>NM</v>
      </c>
      <c r="AE46" s="103"/>
      <c r="AF46" s="103" t="str">
        <f ca="1">'Acq Proj'!N191</f>
        <v>NM</v>
      </c>
      <c r="AG46" s="103"/>
      <c r="AH46" s="103" t="str">
        <f ca="1">'Acq Proj'!O191</f>
        <v>NM</v>
      </c>
      <c r="AI46" s="103"/>
      <c r="AJ46" s="103" t="str">
        <f ca="1">'Acq Proj'!P191</f>
        <v>NM</v>
      </c>
      <c r="AK46" s="161"/>
      <c r="IG46" s="351"/>
      <c r="IH46" s="351"/>
      <c r="II46" s="351"/>
      <c r="IJ46" s="351"/>
      <c r="IK46" s="351"/>
      <c r="IL46" s="351"/>
      <c r="IM46" s="351"/>
      <c r="IN46" s="351"/>
      <c r="IO46" s="351"/>
      <c r="IP46" s="351"/>
      <c r="IQ46" s="351"/>
      <c r="IR46" s="351"/>
      <c r="IS46" s="351"/>
      <c r="IT46" s="351"/>
      <c r="IU46" s="351"/>
      <c r="IV46" s="351"/>
      <c r="IW46" s="351"/>
      <c r="IX46" s="351"/>
      <c r="IY46" s="351"/>
      <c r="IZ46" s="351"/>
      <c r="JA46" s="351"/>
      <c r="JB46" s="351"/>
      <c r="JC46" s="351"/>
      <c r="JD46" s="351"/>
      <c r="JE46" s="351"/>
      <c r="JF46" s="351"/>
      <c r="JG46" s="351"/>
      <c r="JH46" s="351"/>
      <c r="JI46" s="351"/>
      <c r="JJ46" s="351"/>
      <c r="JK46" s="351"/>
      <c r="JL46" s="351"/>
      <c r="JM46" s="351"/>
    </row>
    <row r="47" spans="1:273" s="310" customFormat="1">
      <c r="A47" s="351"/>
      <c r="B47" s="310" t="str">
        <f>"("&amp;alabel3&amp;"EBITDA - Capex) / Interest, Net"</f>
        <v>(EBITDA - Capex) / Interest, Net</v>
      </c>
      <c r="F47" s="103">
        <f>'Acq Balance Sheet'!G60</f>
        <v>18.53</v>
      </c>
      <c r="G47" s="103"/>
      <c r="H47" s="103">
        <f>'Acq Balance Sheet'!H60</f>
        <v>23.032069970845477</v>
      </c>
      <c r="I47" s="103"/>
      <c r="J47" s="103">
        <f>'Acq Balance Sheet'!I60</f>
        <v>27.369826435246988</v>
      </c>
      <c r="K47" s="103"/>
      <c r="L47" s="103">
        <f>'Acq Balance Sheet'!J60</f>
        <v>34.187969924812023</v>
      </c>
      <c r="M47" s="103"/>
      <c r="N47" s="103">
        <f>'Acq Balance Sheet'!K60</f>
        <v>37.748480243161083</v>
      </c>
      <c r="O47" s="103"/>
      <c r="P47" s="103">
        <f>'Acq Balance Sheet'!M60</f>
        <v>48.511278195488714</v>
      </c>
      <c r="Q47" s="103"/>
      <c r="R47" s="103">
        <f>'Acq Balance Sheet'!N60</f>
        <v>37.799202127659562</v>
      </c>
      <c r="S47" s="357"/>
      <c r="T47" s="343">
        <f>+R47</f>
        <v>37.799202127659562</v>
      </c>
      <c r="U47" s="161"/>
      <c r="V47" s="161"/>
      <c r="W47" s="161"/>
      <c r="X47" s="343">
        <f>+N47</f>
        <v>37.748480243161083</v>
      </c>
      <c r="Y47" s="161"/>
      <c r="Z47" s="343">
        <f>+T47</f>
        <v>37.799202127659562</v>
      </c>
      <c r="AA47" s="161"/>
      <c r="AB47" s="103" t="str">
        <f ca="1">'Acq Proj'!L192</f>
        <v>NM</v>
      </c>
      <c r="AC47" s="103"/>
      <c r="AD47" s="103" t="str">
        <f ca="1">'Acq Proj'!M192</f>
        <v>NM</v>
      </c>
      <c r="AE47" s="103"/>
      <c r="AF47" s="103" t="str">
        <f ca="1">'Acq Proj'!N192</f>
        <v>NM</v>
      </c>
      <c r="AG47" s="103"/>
      <c r="AH47" s="103" t="str">
        <f ca="1">'Acq Proj'!O192</f>
        <v>NM</v>
      </c>
      <c r="AI47" s="103"/>
      <c r="AJ47" s="103" t="str">
        <f ca="1">'Acq Proj'!P192</f>
        <v>NM</v>
      </c>
      <c r="AK47" s="161"/>
      <c r="IG47" s="351"/>
      <c r="IH47" s="351"/>
      <c r="II47" s="351"/>
      <c r="IJ47" s="351"/>
      <c r="IK47" s="351"/>
      <c r="IL47" s="351"/>
      <c r="IM47" s="351"/>
      <c r="IN47" s="351"/>
      <c r="IO47" s="351"/>
      <c r="IP47" s="351"/>
      <c r="IQ47" s="351"/>
      <c r="IR47" s="351"/>
      <c r="IS47" s="351"/>
      <c r="IT47" s="351"/>
      <c r="IU47" s="351"/>
      <c r="IV47" s="351"/>
      <c r="IW47" s="351"/>
      <c r="IX47" s="351"/>
      <c r="IY47" s="351"/>
      <c r="IZ47" s="351"/>
      <c r="JA47" s="351"/>
      <c r="JB47" s="351"/>
      <c r="JC47" s="351"/>
      <c r="JD47" s="351"/>
      <c r="JE47" s="351"/>
      <c r="JF47" s="351"/>
      <c r="JG47" s="351"/>
      <c r="JH47" s="351"/>
      <c r="JI47" s="351"/>
      <c r="JJ47" s="351"/>
      <c r="JK47" s="351"/>
      <c r="JL47" s="351"/>
      <c r="JM47" s="351"/>
    </row>
    <row r="48" spans="1:27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</row>
    <row r="49" spans="2:240" ht="13.5">
      <c r="B49" s="359" t="s">
        <v>614</v>
      </c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</row>
    <row r="50" spans="2:240" ht="13.5">
      <c r="B50" s="360" t="str">
        <f>"(b) "&amp;CHOOSE(afcf,C65,C70)</f>
        <v>(b) Defined as Cash Flow from Operating Activities less Capital Expenditures.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</row>
    <row r="51" spans="2:240" ht="13.5">
      <c r="B51" s="361" t="str">
        <f>"(c) Assumes "&amp;TEXT('Acq Balance Sheet'!D52,"0.0 x")&amp;" rent methodology."</f>
        <v>(c) Assumes 8.0 x rent methodology.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</row>
    <row r="53" spans="2:240">
      <c r="B53" s="362" t="s">
        <v>506</v>
      </c>
    </row>
    <row r="54" spans="2:240">
      <c r="B54" s="4"/>
      <c r="C54" s="4"/>
    </row>
    <row r="55" spans="2:240">
      <c r="B55" s="4"/>
      <c r="C55" s="4"/>
      <c r="D55" s="363" t="s">
        <v>617</v>
      </c>
      <c r="E55" s="363"/>
      <c r="F55" s="363"/>
      <c r="G55" s="363"/>
      <c r="H55" s="363"/>
      <c r="I55" s="363"/>
      <c r="J55" s="363"/>
      <c r="L55" s="364" t="s">
        <v>561</v>
      </c>
    </row>
    <row r="56" spans="2:240">
      <c r="B56" s="4"/>
      <c r="C56" s="4"/>
      <c r="D56" s="3" t="s">
        <v>63</v>
      </c>
      <c r="E56" s="4"/>
      <c r="F56" s="3" t="s">
        <v>618</v>
      </c>
      <c r="J56" s="4"/>
      <c r="L56" s="4"/>
    </row>
    <row r="57" spans="2:240">
      <c r="C57" s="365">
        <v>0</v>
      </c>
      <c r="D57" s="366" t="str">
        <f>INDEX(D58:D59,alabelswitch+1)</f>
        <v/>
      </c>
      <c r="E57" s="4"/>
      <c r="F57" s="367" t="str">
        <f>INDEX(F58:F59,alabelswitch+1)</f>
        <v/>
      </c>
      <c r="G57" s="368"/>
      <c r="H57" s="368"/>
      <c r="I57" s="368"/>
      <c r="J57" s="369"/>
      <c r="K57" s="4"/>
      <c r="L57" s="370" t="str">
        <f>INDEX(L58:L59,alabelswitch+1)</f>
        <v/>
      </c>
    </row>
    <row r="58" spans="2:240" ht="13.5">
      <c r="C58" s="371" t="s">
        <v>508</v>
      </c>
      <c r="D58" s="372" t="str">
        <f>""</f>
        <v/>
      </c>
      <c r="E58" s="4"/>
      <c r="F58" s="372" t="str">
        <f>""</f>
        <v/>
      </c>
      <c r="G58" s="141"/>
      <c r="H58" s="141"/>
      <c r="I58" s="141"/>
      <c r="J58" s="4"/>
      <c r="L58" s="372" t="str">
        <f>""</f>
        <v/>
      </c>
    </row>
    <row r="59" spans="2:240" ht="13.5">
      <c r="C59" s="373" t="s">
        <v>509</v>
      </c>
      <c r="D59" s="372" t="str">
        <f>""</f>
        <v/>
      </c>
      <c r="E59" s="4"/>
      <c r="F59" s="372" t="s">
        <v>507</v>
      </c>
      <c r="G59" s="141"/>
      <c r="H59" s="141"/>
      <c r="I59" s="141"/>
      <c r="J59" s="4"/>
      <c r="L59" s="372" t="s">
        <v>619</v>
      </c>
    </row>
    <row r="61" spans="2:240">
      <c r="B61" s="362" t="s">
        <v>626</v>
      </c>
    </row>
    <row r="62" spans="2:240">
      <c r="B62" s="362"/>
    </row>
    <row r="63" spans="2:240">
      <c r="C63" s="365">
        <v>1</v>
      </c>
      <c r="D63" s="4"/>
      <c r="F63" s="374">
        <f>CHOOSE(afcf,F68,F77)</f>
        <v>8.8209999999999997</v>
      </c>
      <c r="G63" s="375"/>
      <c r="H63" s="376">
        <f>CHOOSE(afcf,H68,H77)</f>
        <v>11.524333333333352</v>
      </c>
      <c r="I63" s="375"/>
      <c r="J63" s="376">
        <f>CHOOSE(afcf,J68,J77)</f>
        <v>11.35862222222223</v>
      </c>
      <c r="K63" s="375"/>
      <c r="L63" s="376">
        <f>CHOOSE(afcf,L68,L77)</f>
        <v>18.590916666666701</v>
      </c>
      <c r="M63" s="375"/>
      <c r="N63" s="376">
        <f>CHOOSE(afcf,N68,N77)</f>
        <v>14.301874999999988</v>
      </c>
      <c r="O63" s="375"/>
      <c r="P63" s="376">
        <f>CHOOSE(afcf,P68,P77)</f>
        <v>2.4237500000000001</v>
      </c>
      <c r="Q63" s="375"/>
      <c r="R63" s="376">
        <f>CHOOSE(afcf,R68,R77)</f>
        <v>2.6058124999999994</v>
      </c>
      <c r="S63" s="375"/>
      <c r="T63" s="376">
        <f>CHOOSE(afcf,T68,T77)</f>
        <v>14.483937499999991</v>
      </c>
      <c r="U63" s="375"/>
      <c r="V63" s="375"/>
      <c r="W63" s="375"/>
      <c r="X63" s="375"/>
      <c r="Y63" s="377"/>
      <c r="Z63" s="375"/>
      <c r="AA63" s="375"/>
      <c r="AB63" s="376">
        <f ca="1">CHOOSE(afcf,AB68,AB77)</f>
        <v>19.438699131673655</v>
      </c>
      <c r="AC63" s="375"/>
      <c r="AD63" s="376">
        <f ca="1">CHOOSE(afcf,AD68,AD77)</f>
        <v>21.483445682219049</v>
      </c>
      <c r="AE63" s="375"/>
      <c r="AF63" s="376">
        <f ca="1">CHOOSE(afcf,AF68,AF77)</f>
        <v>25.032822568224354</v>
      </c>
      <c r="AG63" s="375"/>
      <c r="AH63" s="376">
        <f ca="1">CHOOSE(afcf,AH68,AH77)</f>
        <v>28.595534620989845</v>
      </c>
      <c r="AI63" s="375"/>
      <c r="AJ63" s="378">
        <f ca="1">CHOOSE(afcf,AJ68,AJ77)</f>
        <v>32.217354985650317</v>
      </c>
    </row>
    <row r="64" spans="2:240" ht="13.5">
      <c r="C64" s="373"/>
      <c r="D64" s="372"/>
    </row>
    <row r="65" spans="2:36">
      <c r="B65" s="379" t="s">
        <v>627</v>
      </c>
      <c r="C65" s="1" t="s">
        <v>628</v>
      </c>
    </row>
    <row r="66" spans="2:36">
      <c r="B66" s="3" t="s">
        <v>629</v>
      </c>
      <c r="F66" s="113">
        <f>'Acq Cash Flow'!G12</f>
        <v>13.821</v>
      </c>
      <c r="G66" s="235"/>
      <c r="H66" s="113">
        <f>'Acq Cash Flow'!H12</f>
        <v>17.524333333333352</v>
      </c>
      <c r="I66" s="235"/>
      <c r="J66" s="113">
        <f>'Acq Cash Flow'!I12</f>
        <v>18.35862222222223</v>
      </c>
      <c r="K66" s="235"/>
      <c r="L66" s="113">
        <f>'Acq Cash Flow'!J12</f>
        <v>26.590916666666701</v>
      </c>
      <c r="M66" s="235"/>
      <c r="N66" s="113">
        <f>'Acq Cash Flow'!K12</f>
        <v>23.301874999999988</v>
      </c>
      <c r="O66" s="109"/>
      <c r="P66" s="113">
        <f>'Acq Cash Flow'!M12</f>
        <v>4.6737500000000001</v>
      </c>
      <c r="Q66" s="235"/>
      <c r="R66" s="113">
        <f>'Acq Cash Flow'!N12</f>
        <v>5.2058124999999995</v>
      </c>
      <c r="S66" s="109"/>
      <c r="T66" s="113">
        <f>'Acq Cash Flow'!P12</f>
        <v>23.83393749999999</v>
      </c>
      <c r="AB66" s="113">
        <f ca="1">'Acq Proj'!L96</f>
        <v>29.438699131673655</v>
      </c>
      <c r="AC66" s="235"/>
      <c r="AD66" s="113">
        <f ca="1">'Acq Proj'!M96</f>
        <v>33.483445682219049</v>
      </c>
      <c r="AE66" s="235"/>
      <c r="AF66" s="113">
        <f ca="1">'Acq Proj'!N96</f>
        <v>38.747108282510069</v>
      </c>
      <c r="AG66" s="235"/>
      <c r="AH66" s="113">
        <f ca="1">'Acq Proj'!O96</f>
        <v>44.024106049561276</v>
      </c>
      <c r="AI66" s="235"/>
      <c r="AJ66" s="113">
        <f ca="1">'Acq Proj'!P96</f>
        <v>49.574497842793178</v>
      </c>
    </row>
    <row r="67" spans="2:36">
      <c r="B67" s="3" t="s">
        <v>122</v>
      </c>
      <c r="F67" s="161">
        <f>+F38</f>
        <v>-5</v>
      </c>
      <c r="G67" s="4"/>
      <c r="H67" s="161">
        <f>+H38</f>
        <v>-6</v>
      </c>
      <c r="I67" s="4"/>
      <c r="J67" s="161">
        <f>+J38</f>
        <v>-7</v>
      </c>
      <c r="K67" s="4"/>
      <c r="L67" s="161">
        <f>+L38</f>
        <v>-8</v>
      </c>
      <c r="M67" s="4"/>
      <c r="N67" s="161">
        <f>+N38</f>
        <v>-9</v>
      </c>
      <c r="P67" s="161">
        <f>+P38</f>
        <v>-2.25</v>
      </c>
      <c r="Q67" s="4"/>
      <c r="R67" s="161">
        <f>+R38</f>
        <v>-2.6</v>
      </c>
      <c r="T67" s="161">
        <f>+T38</f>
        <v>-9.35</v>
      </c>
      <c r="AB67" s="161">
        <f>+AB38</f>
        <v>-10</v>
      </c>
      <c r="AC67" s="4"/>
      <c r="AD67" s="161">
        <f>+AD38</f>
        <v>-12</v>
      </c>
      <c r="AE67" s="4"/>
      <c r="AF67" s="161">
        <f>+AF38</f>
        <v>-13.714285714285715</v>
      </c>
      <c r="AG67" s="4"/>
      <c r="AH67" s="161">
        <f>+AH38</f>
        <v>-15.428571428571429</v>
      </c>
      <c r="AI67" s="4"/>
      <c r="AJ67" s="161">
        <f>+AJ38</f>
        <v>-17.357142857142858</v>
      </c>
    </row>
    <row r="68" spans="2:36">
      <c r="B68" s="380" t="s">
        <v>630</v>
      </c>
      <c r="F68" s="381">
        <f>SUM(F66:F67)</f>
        <v>8.8209999999999997</v>
      </c>
      <c r="G68" s="4"/>
      <c r="H68" s="381">
        <f>SUM(H66:H67)</f>
        <v>11.524333333333352</v>
      </c>
      <c r="I68" s="4"/>
      <c r="J68" s="381">
        <f>SUM(J66:J67)</f>
        <v>11.35862222222223</v>
      </c>
      <c r="K68" s="4"/>
      <c r="L68" s="381">
        <f>SUM(L66:L67)</f>
        <v>18.590916666666701</v>
      </c>
      <c r="M68" s="4"/>
      <c r="N68" s="381">
        <f>SUM(N66:N67)</f>
        <v>14.301874999999988</v>
      </c>
      <c r="P68" s="381">
        <f>SUM(P66:P67)</f>
        <v>2.4237500000000001</v>
      </c>
      <c r="Q68" s="4"/>
      <c r="R68" s="381">
        <f>SUM(R66:R67)</f>
        <v>2.6058124999999994</v>
      </c>
      <c r="T68" s="381">
        <f>SUM(T66:T67)</f>
        <v>14.483937499999991</v>
      </c>
      <c r="AB68" s="381">
        <f ca="1">SUM(AB66:AB67)</f>
        <v>19.438699131673655</v>
      </c>
      <c r="AC68" s="4"/>
      <c r="AD68" s="381">
        <f ca="1">SUM(AD66:AD67)</f>
        <v>21.483445682219049</v>
      </c>
      <c r="AE68" s="4"/>
      <c r="AF68" s="381">
        <f ca="1">SUM(AF66:AF67)</f>
        <v>25.032822568224354</v>
      </c>
      <c r="AG68" s="4"/>
      <c r="AH68" s="381">
        <f ca="1">SUM(AH66:AH67)</f>
        <v>28.595534620989845</v>
      </c>
      <c r="AI68" s="4"/>
      <c r="AJ68" s="381">
        <f ca="1">SUM(AJ66:AJ67)</f>
        <v>32.217354985650317</v>
      </c>
    </row>
    <row r="69" spans="2:36">
      <c r="G69" s="4"/>
      <c r="I69" s="4"/>
      <c r="K69" s="4"/>
      <c r="M69" s="4"/>
      <c r="Q69" s="4"/>
      <c r="T69" s="382"/>
      <c r="AB69" s="382"/>
      <c r="AC69" s="4"/>
      <c r="AD69" s="382"/>
      <c r="AE69" s="4"/>
      <c r="AF69" s="382"/>
      <c r="AG69" s="4"/>
      <c r="AH69" s="382"/>
      <c r="AI69" s="4"/>
      <c r="AJ69" s="382"/>
    </row>
    <row r="70" spans="2:36">
      <c r="B70" s="379" t="s">
        <v>631</v>
      </c>
      <c r="C70" s="1" t="s">
        <v>632</v>
      </c>
      <c r="G70" s="4"/>
      <c r="I70" s="4"/>
      <c r="K70" s="4"/>
      <c r="M70" s="4"/>
      <c r="Q70" s="4"/>
      <c r="AC70" s="4"/>
      <c r="AE70" s="4"/>
      <c r="AG70" s="4"/>
      <c r="AI70" s="4"/>
    </row>
    <row r="71" spans="2:36">
      <c r="B71" s="3" t="s">
        <v>633</v>
      </c>
      <c r="F71" s="113">
        <f>'Acq Income Statement'!H12</f>
        <v>14.5</v>
      </c>
      <c r="G71" s="235"/>
      <c r="H71" s="113">
        <f>'Acq Income Statement'!I12</f>
        <v>18</v>
      </c>
      <c r="I71" s="235"/>
      <c r="J71" s="113">
        <f>'Acq Income Statement'!J12</f>
        <v>21.349999999999998</v>
      </c>
      <c r="K71" s="235"/>
      <c r="L71" s="113">
        <f>'Acq Income Statement'!K12</f>
        <v>24.534999999999997</v>
      </c>
      <c r="M71" s="235"/>
      <c r="N71" s="113">
        <f>'Acq Income Statement'!L12</f>
        <v>27.538499999999996</v>
      </c>
      <c r="O71" s="109"/>
      <c r="P71" s="113">
        <f>'Acq Income Statement'!O12</f>
        <v>5.6000000000000005</v>
      </c>
      <c r="Q71" s="235"/>
      <c r="R71" s="113">
        <f>'Acq Income Statement'!P12</f>
        <v>5.9</v>
      </c>
      <c r="S71" s="109"/>
      <c r="T71" s="113">
        <f>'Acq Income Statement'!S12</f>
        <v>27.838499999999996</v>
      </c>
      <c r="AB71" s="113">
        <f>'Acq Proj'!L13</f>
        <v>30</v>
      </c>
      <c r="AC71" s="235"/>
      <c r="AD71" s="113">
        <f>'Acq Proj'!M13</f>
        <v>35</v>
      </c>
      <c r="AE71" s="235"/>
      <c r="AF71" s="113">
        <f>'Acq Proj'!N13</f>
        <v>40</v>
      </c>
      <c r="AG71" s="235"/>
      <c r="AH71" s="113">
        <f>'Acq Proj'!O13</f>
        <v>45</v>
      </c>
      <c r="AI71" s="235"/>
      <c r="AJ71" s="113">
        <f>'Acq Proj'!P13</f>
        <v>50.625</v>
      </c>
    </row>
    <row r="72" spans="2:36">
      <c r="B72" s="3" t="s">
        <v>169</v>
      </c>
      <c r="F72" s="383">
        <f>'Acq Income Statement'!H16/'Acq Income Statement'!H15</f>
        <v>0.27573529411764708</v>
      </c>
      <c r="G72" s="235"/>
      <c r="H72" s="383">
        <f>'Acq Income Statement'!I16/'Acq Income Statement'!I15</f>
        <v>0.27024658174593896</v>
      </c>
      <c r="I72" s="235"/>
      <c r="J72" s="383">
        <f>'Acq Income Statement'!J16/'Acq Income Statement'!J15</f>
        <v>0.26677704032545574</v>
      </c>
      <c r="K72" s="235"/>
      <c r="L72" s="383">
        <f>'Acq Income Statement'!K16/'Acq Income Statement'!K15</f>
        <v>0.26441698352344739</v>
      </c>
      <c r="M72" s="235"/>
      <c r="N72" s="383">
        <f>'Acq Income Statement'!L16/'Acq Income Statement'!L15</f>
        <v>0.26272464908828547</v>
      </c>
      <c r="O72" s="109"/>
      <c r="P72" s="383">
        <f>'Acq Income Statement'!O16/'Acq Income Statement'!O15</f>
        <v>0.27272727272727271</v>
      </c>
      <c r="Q72" s="235"/>
      <c r="R72" s="383">
        <f>'Acq Income Statement'!P16/'Acq Income Statement'!P15</f>
        <v>0.25</v>
      </c>
      <c r="S72" s="109"/>
      <c r="T72" s="383">
        <f>'Acq Income Statement'!S16/'Acq Income Statement'!S15</f>
        <v>0.25795018624562183</v>
      </c>
      <c r="AB72" s="383">
        <f>'Acq Proj'!L31</f>
        <v>0.25</v>
      </c>
      <c r="AC72" s="235"/>
      <c r="AD72" s="383">
        <f>'Acq Proj'!M31</f>
        <v>0.25</v>
      </c>
      <c r="AE72" s="235"/>
      <c r="AF72" s="383">
        <f>'Acq Proj'!N31</f>
        <v>0.25</v>
      </c>
      <c r="AG72" s="235"/>
      <c r="AH72" s="383">
        <f>'Acq Proj'!O31</f>
        <v>0.25</v>
      </c>
      <c r="AI72" s="235"/>
      <c r="AJ72" s="383">
        <f>'Acq Proj'!P31</f>
        <v>0.25</v>
      </c>
    </row>
    <row r="73" spans="2:36">
      <c r="B73" s="151" t="s">
        <v>634</v>
      </c>
      <c r="F73" s="381">
        <f>F71*(1-F72)</f>
        <v>10.501838235294118</v>
      </c>
      <c r="G73" s="4"/>
      <c r="H73" s="381">
        <f>H71*(1-H72)</f>
        <v>13.135561528573099</v>
      </c>
      <c r="I73" s="4"/>
      <c r="J73" s="381">
        <f>J71*(1-J72)</f>
        <v>15.65431018905152</v>
      </c>
      <c r="K73" s="4"/>
      <c r="L73" s="381">
        <f>L71*(1-L72)</f>
        <v>18.047529309252216</v>
      </c>
      <c r="M73" s="4"/>
      <c r="N73" s="381">
        <f>N71*(1-N72)</f>
        <v>20.303457251082246</v>
      </c>
      <c r="P73" s="381">
        <f>P71*(1-P72)</f>
        <v>4.0727272727272732</v>
      </c>
      <c r="Q73" s="4"/>
      <c r="R73" s="381">
        <f>R71*(1-R72)</f>
        <v>4.4250000000000007</v>
      </c>
      <c r="T73" s="381">
        <f>T71*(1-T72)</f>
        <v>20.657553740201255</v>
      </c>
      <c r="AB73" s="381">
        <f>AB71*(1-AB72)</f>
        <v>22.5</v>
      </c>
      <c r="AC73" s="4"/>
      <c r="AD73" s="381">
        <f>AD71*(1-AD72)</f>
        <v>26.25</v>
      </c>
      <c r="AE73" s="4"/>
      <c r="AF73" s="381">
        <f>AF71*(1-AF72)</f>
        <v>30</v>
      </c>
      <c r="AG73" s="4"/>
      <c r="AH73" s="381">
        <f>AH71*(1-AH72)</f>
        <v>33.75</v>
      </c>
      <c r="AI73" s="4"/>
      <c r="AJ73" s="381">
        <f>AJ71*(1-AJ72)</f>
        <v>37.96875</v>
      </c>
    </row>
    <row r="74" spans="2:36">
      <c r="B74" s="3" t="s">
        <v>399</v>
      </c>
      <c r="F74" s="68">
        <f>+F37</f>
        <v>2.371</v>
      </c>
      <c r="G74" s="4"/>
      <c r="H74" s="68">
        <f>+H37</f>
        <v>2.5</v>
      </c>
      <c r="I74" s="4"/>
      <c r="J74" s="68">
        <f>+J37</f>
        <v>2.6</v>
      </c>
      <c r="K74" s="4"/>
      <c r="L74" s="68">
        <f>+L37</f>
        <v>2.7</v>
      </c>
      <c r="M74" s="4"/>
      <c r="N74" s="68">
        <f>+N37</f>
        <v>2.9</v>
      </c>
      <c r="P74" s="68">
        <f>+P37</f>
        <v>0.72499999999999998</v>
      </c>
      <c r="Q74" s="4"/>
      <c r="R74" s="68">
        <f>+R37</f>
        <v>0.80837499999999995</v>
      </c>
      <c r="T74" s="68">
        <f>+T37</f>
        <v>2.9833749999999997</v>
      </c>
      <c r="AB74" s="68">
        <f>+AB37</f>
        <v>10</v>
      </c>
      <c r="AC74" s="4"/>
      <c r="AD74" s="68">
        <f>+AD37</f>
        <v>10</v>
      </c>
      <c r="AE74" s="4"/>
      <c r="AF74" s="68">
        <f>+AF37</f>
        <v>11.428571428571427</v>
      </c>
      <c r="AG74" s="4"/>
      <c r="AH74" s="68">
        <f>+AH37</f>
        <v>12.857142857142856</v>
      </c>
      <c r="AI74" s="4"/>
      <c r="AJ74" s="68">
        <f>+AJ37</f>
        <v>14.464285714285714</v>
      </c>
    </row>
    <row r="75" spans="2:36">
      <c r="B75" s="3" t="s">
        <v>635</v>
      </c>
      <c r="F75" s="161">
        <f>+F39</f>
        <v>0.5</v>
      </c>
      <c r="G75" s="4"/>
      <c r="H75" s="161">
        <f>+H39</f>
        <v>1.23533333333335</v>
      </c>
      <c r="I75" s="4"/>
      <c r="J75" s="161">
        <f>+J39</f>
        <v>-0.75477777777777089</v>
      </c>
      <c r="K75" s="4"/>
      <c r="L75" s="161">
        <f>+L39</f>
        <v>4.7796666666667038</v>
      </c>
      <c r="M75" s="4"/>
      <c r="N75" s="161">
        <f>+N39</f>
        <v>-1.1690000000000023</v>
      </c>
      <c r="P75" s="161">
        <f>+P39</f>
        <v>-0.52625000000000055</v>
      </c>
      <c r="Q75" s="4"/>
      <c r="R75" s="161">
        <f>+R39</f>
        <v>-0.55256250000000062</v>
      </c>
      <c r="T75" s="161">
        <f>+T39</f>
        <v>-1.1953125000000022</v>
      </c>
      <c r="AB75" s="161">
        <f>+AB39</f>
        <v>-3.1554565656565678</v>
      </c>
      <c r="AC75" s="4"/>
      <c r="AD75" s="161">
        <f>+AD39</f>
        <v>-3.0991872053872171</v>
      </c>
      <c r="AE75" s="4"/>
      <c r="AF75" s="161">
        <f>+AF39</f>
        <v>-3.09918720538721</v>
      </c>
      <c r="AG75" s="4"/>
      <c r="AH75" s="161">
        <f>+AH39</f>
        <v>-3.09918720538721</v>
      </c>
      <c r="AI75" s="4"/>
      <c r="AJ75" s="161">
        <f>+AJ39</f>
        <v>-3.4865856060606149</v>
      </c>
    </row>
    <row r="76" spans="2:36">
      <c r="B76" s="3" t="s">
        <v>122</v>
      </c>
      <c r="F76" s="161">
        <f>+F38</f>
        <v>-5</v>
      </c>
      <c r="G76" s="4"/>
      <c r="H76" s="161">
        <f>+H38</f>
        <v>-6</v>
      </c>
      <c r="I76" s="4"/>
      <c r="J76" s="161">
        <f>+J38</f>
        <v>-7</v>
      </c>
      <c r="K76" s="4"/>
      <c r="L76" s="161">
        <f>+L38</f>
        <v>-8</v>
      </c>
      <c r="M76" s="4"/>
      <c r="N76" s="161">
        <f>+N38</f>
        <v>-9</v>
      </c>
      <c r="P76" s="161">
        <f>+P38</f>
        <v>-2.25</v>
      </c>
      <c r="Q76" s="4"/>
      <c r="R76" s="161">
        <f>+R38</f>
        <v>-2.6</v>
      </c>
      <c r="T76" s="161">
        <f>+T38</f>
        <v>-9.35</v>
      </c>
      <c r="AB76" s="161">
        <f>+AB38</f>
        <v>-10</v>
      </c>
      <c r="AC76" s="4"/>
      <c r="AD76" s="161">
        <f>+AD38</f>
        <v>-12</v>
      </c>
      <c r="AE76" s="4"/>
      <c r="AF76" s="161">
        <f>+AF38</f>
        <v>-13.714285714285715</v>
      </c>
      <c r="AG76" s="4"/>
      <c r="AH76" s="161">
        <f>+AH38</f>
        <v>-15.428571428571429</v>
      </c>
      <c r="AI76" s="4"/>
      <c r="AJ76" s="161">
        <f>+AJ38</f>
        <v>-17.357142857142858</v>
      </c>
    </row>
    <row r="77" spans="2:36">
      <c r="B77" s="380" t="s">
        <v>630</v>
      </c>
      <c r="F77" s="381">
        <f>SUM(F73:F76)</f>
        <v>8.3728382352941182</v>
      </c>
      <c r="G77" s="4"/>
      <c r="H77" s="381">
        <f>SUM(H73:H76)</f>
        <v>10.87089486190645</v>
      </c>
      <c r="I77" s="4"/>
      <c r="J77" s="381">
        <f>SUM(J73:J76)</f>
        <v>10.499532411273748</v>
      </c>
      <c r="K77" s="4"/>
      <c r="L77" s="381">
        <f>SUM(L73:L76)</f>
        <v>17.527195975918918</v>
      </c>
      <c r="M77" s="4"/>
      <c r="N77" s="381">
        <f>SUM(N73:N76)</f>
        <v>13.034457251082245</v>
      </c>
      <c r="P77" s="381">
        <f>SUM(P73:P76)</f>
        <v>2.0214772727272727</v>
      </c>
      <c r="Q77" s="4"/>
      <c r="R77" s="381">
        <f>SUM(R73:R76)</f>
        <v>2.0808125</v>
      </c>
      <c r="T77" s="381">
        <f>SUM(T73:T76)</f>
        <v>13.095616240201251</v>
      </c>
      <c r="AB77" s="381">
        <f>SUM(AB73:AB76)</f>
        <v>19.344543434343432</v>
      </c>
      <c r="AC77" s="4"/>
      <c r="AD77" s="381">
        <f>SUM(AD73:AD76)</f>
        <v>21.150812794612783</v>
      </c>
      <c r="AE77" s="4"/>
      <c r="AF77" s="381">
        <f>SUM(AF73:AF76)</f>
        <v>24.615098508898505</v>
      </c>
      <c r="AG77" s="4"/>
      <c r="AH77" s="381">
        <f>SUM(AH73:AH76)</f>
        <v>28.079384223184213</v>
      </c>
      <c r="AI77" s="4"/>
      <c r="AJ77" s="381">
        <f>SUM(AJ73:AJ76)</f>
        <v>31.589307251082243</v>
      </c>
    </row>
  </sheetData>
  <customSheetViews>
    <customSheetView guid="{9AE38660-BF5A-49A3-9FC0-AD5890AFC019}" showPageBreaks="1" showGridLines="0" printArea="1" hiddenRows="1" view="pageBreakPreview" showRuler="0">
      <selection activeCell="W13" sqref="W13"/>
      <pageMargins left="0.35" right="0.35" top="0.35" bottom="0.35" header="0.15" footer="0.15"/>
      <printOptions horizontalCentered="1"/>
      <pageSetup scale="92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6" type="noConversion"/>
  <printOptions horizontalCentered="1"/>
  <pageMargins left="0.35" right="0.35" top="0.35" bottom="0.35" header="0.15" footer="0.15"/>
  <pageSetup scale="55" orientation="landscape" r:id="rId2"/>
  <headerFooter alignWithMargins="0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41"/>
  </sheetPr>
  <dimension ref="A1:U23"/>
  <sheetViews>
    <sheetView showGridLines="0" view="pageBreakPreview" zoomScale="85" zoomScaleNormal="100" zoomScaleSheetLayoutView="85" workbookViewId="0"/>
  </sheetViews>
  <sheetFormatPr defaultColWidth="10.33203125" defaultRowHeight="12.75"/>
  <cols>
    <col min="1" max="1" width="2.83203125" style="17" customWidth="1"/>
    <col min="2" max="5" width="10.33203125" style="10" customWidth="1"/>
    <col min="6" max="6" width="2.83203125" style="10" customWidth="1"/>
    <col min="7" max="7" width="13.6640625" style="10" customWidth="1"/>
    <col min="8" max="8" width="2.83203125" style="10" customWidth="1"/>
    <col min="9" max="9" width="10.33203125" style="10" customWidth="1"/>
    <col min="10" max="10" width="2.83203125" style="10" customWidth="1"/>
    <col min="11" max="11" width="10.33203125" style="10" customWidth="1"/>
    <col min="12" max="12" width="2.83203125" style="10" customWidth="1"/>
    <col min="13" max="16384" width="10.33203125" style="17"/>
  </cols>
  <sheetData>
    <row r="1" spans="1:21">
      <c r="A1" s="1315"/>
    </row>
    <row r="2" spans="1:21" ht="23.25">
      <c r="B2" s="97" t="str">
        <f>proj</f>
        <v>Project MODEL</v>
      </c>
      <c r="C2" s="1311"/>
      <c r="D2" s="1311"/>
      <c r="E2" s="1210"/>
      <c r="F2" s="1210"/>
      <c r="G2" s="1210"/>
      <c r="H2" s="1210"/>
      <c r="I2" s="1210"/>
      <c r="J2" s="1210"/>
      <c r="K2" s="1210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21" s="1231" customFormat="1" ht="20.100000000000001" customHeight="1" thickBot="1">
      <c r="B3" s="384" t="str">
        <f>acq&amp;" - Capitalization Summary"</f>
        <v>COLEMAN CO. - Capitalization Summary</v>
      </c>
      <c r="C3" s="392"/>
      <c r="D3" s="392"/>
      <c r="E3" s="393"/>
      <c r="F3" s="393"/>
      <c r="G3" s="393"/>
      <c r="H3" s="393"/>
      <c r="I3" s="393"/>
      <c r="J3" s="393"/>
      <c r="K3" s="393"/>
      <c r="L3" s="1234"/>
      <c r="M3" s="1232" t="s">
        <v>134</v>
      </c>
      <c r="N3" s="1232"/>
      <c r="O3" s="1232"/>
      <c r="P3" s="1232"/>
      <c r="Q3" s="1232"/>
      <c r="R3" s="1232"/>
    </row>
    <row r="4" spans="1:21" s="18" customFormat="1">
      <c r="B4" s="1235" t="str">
        <f>'Acq Balance Sheet'!B4</f>
        <v>(Amounts in Millions)</v>
      </c>
      <c r="C4" s="421"/>
      <c r="D4" s="421"/>
      <c r="E4" s="421"/>
      <c r="F4" s="421"/>
      <c r="G4" s="421"/>
      <c r="H4" s="421"/>
      <c r="I4" s="421"/>
      <c r="J4" s="421"/>
      <c r="K4" s="421"/>
      <c r="L4" s="421"/>
      <c r="M4" s="17"/>
    </row>
    <row r="5" spans="1:21" s="1262" customFormat="1" ht="15.75">
      <c r="B5" s="1236"/>
      <c r="C5" s="1236"/>
      <c r="D5" s="1236"/>
      <c r="E5" s="1236"/>
      <c r="F5" s="1236"/>
      <c r="G5" s="1236"/>
      <c r="H5" s="1236"/>
      <c r="I5" s="1237"/>
      <c r="J5" s="1237"/>
      <c r="K5" s="1236"/>
      <c r="L5" s="1236"/>
    </row>
    <row r="6" spans="1:21" s="1262" customFormat="1" ht="15.75">
      <c r="B6" s="1238"/>
      <c r="C6" s="1236"/>
      <c r="D6" s="1236"/>
      <c r="E6" s="1236"/>
      <c r="F6" s="1236"/>
      <c r="G6" s="1236"/>
      <c r="H6" s="1236"/>
      <c r="I6" s="1237"/>
      <c r="J6" s="1237"/>
      <c r="K6" s="1239" t="s">
        <v>220</v>
      </c>
      <c r="L6" s="1240"/>
    </row>
    <row r="7" spans="1:21">
      <c r="B7" s="1241"/>
      <c r="H7" s="1242"/>
      <c r="I7" s="421" t="str">
        <f>IF(tquarter&lt;&gt;4,"Estimated","")</f>
        <v>Estimated</v>
      </c>
      <c r="K7" s="1243" t="s">
        <v>221</v>
      </c>
      <c r="L7" s="1244"/>
    </row>
    <row r="8" spans="1:21">
      <c r="B8" s="488"/>
      <c r="E8" s="275"/>
      <c r="F8" s="275"/>
      <c r="G8" s="275"/>
      <c r="H8" s="275"/>
      <c r="I8" s="1316" t="s">
        <v>185</v>
      </c>
      <c r="J8" s="1317"/>
      <c r="K8" s="1318" t="s">
        <v>136</v>
      </c>
    </row>
    <row r="9" spans="1:21">
      <c r="E9" s="1319" t="s">
        <v>333</v>
      </c>
      <c r="F9" s="275"/>
      <c r="G9" s="1319" t="s">
        <v>334</v>
      </c>
      <c r="H9" s="275"/>
      <c r="I9" s="1320">
        <f>altmdate</f>
        <v>43555</v>
      </c>
      <c r="J9" s="1321"/>
      <c r="K9" s="1322" t="s">
        <v>67</v>
      </c>
    </row>
    <row r="10" spans="1:21" ht="12.75" customHeight="1">
      <c r="B10" s="23" t="s">
        <v>86</v>
      </c>
      <c r="C10" s="23"/>
      <c r="D10" s="23"/>
      <c r="E10" s="1245">
        <v>45291</v>
      </c>
      <c r="F10" s="23"/>
      <c r="G10" s="1246">
        <v>0.05</v>
      </c>
      <c r="H10" s="1247"/>
      <c r="I10" s="1248">
        <v>0</v>
      </c>
      <c r="J10" s="1249"/>
      <c r="K10" s="19">
        <f>I10/I$18*100</f>
        <v>0</v>
      </c>
      <c r="L10" s="17" t="s">
        <v>166</v>
      </c>
    </row>
    <row r="11" spans="1:21" ht="12.75" customHeight="1">
      <c r="B11" s="23" t="s">
        <v>131</v>
      </c>
      <c r="C11" s="23"/>
      <c r="D11" s="23"/>
      <c r="E11" s="1250"/>
      <c r="F11" s="23"/>
      <c r="G11" s="1251"/>
      <c r="H11" s="1247"/>
      <c r="I11" s="1252">
        <f>+'Acq Balance Sheet'!N24</f>
        <v>9.3000000000000007</v>
      </c>
      <c r="J11" s="1253"/>
      <c r="K11" s="19">
        <f>I11/I$18*100</f>
        <v>10.682290974279333</v>
      </c>
      <c r="L11" s="17"/>
    </row>
    <row r="12" spans="1:21" ht="12.75" customHeight="1">
      <c r="B12" s="23" t="s">
        <v>132</v>
      </c>
      <c r="C12" s="1247"/>
      <c r="D12" s="1247"/>
      <c r="E12" s="1250"/>
      <c r="F12" s="23"/>
      <c r="G12" s="1251"/>
      <c r="H12" s="1247"/>
      <c r="I12" s="912">
        <v>0</v>
      </c>
      <c r="J12" s="1254"/>
      <c r="K12" s="755">
        <f>I12/I$18*100</f>
        <v>0</v>
      </c>
    </row>
    <row r="13" spans="1:21" ht="12.75" customHeight="1">
      <c r="B13" s="1255" t="s">
        <v>87</v>
      </c>
      <c r="C13" s="1247"/>
      <c r="D13" s="1247"/>
      <c r="E13" s="1247"/>
      <c r="F13" s="1247"/>
      <c r="G13" s="1247"/>
      <c r="I13" s="1233">
        <f>SUM(I10:I12)</f>
        <v>9.3000000000000007</v>
      </c>
      <c r="J13" s="1256"/>
      <c r="K13" s="19">
        <f>SUM(K10:K12)</f>
        <v>10.682290974279333</v>
      </c>
    </row>
    <row r="14" spans="1:21" ht="6" customHeight="1">
      <c r="B14" s="1257"/>
      <c r="C14" s="1247"/>
      <c r="D14" s="1247"/>
      <c r="E14" s="1247"/>
      <c r="F14" s="1247"/>
      <c r="G14" s="1247"/>
      <c r="I14" s="1233"/>
      <c r="J14" s="1256"/>
      <c r="K14" s="19"/>
    </row>
    <row r="15" spans="1:21" ht="12.75" customHeight="1">
      <c r="B15" s="1257" t="s">
        <v>52</v>
      </c>
      <c r="C15" s="1247"/>
      <c r="D15" s="1247"/>
      <c r="E15" s="1247"/>
      <c r="F15" s="1247"/>
      <c r="G15" s="1247"/>
      <c r="I15" s="435">
        <f>IF(aquarter&lt;&gt;4,'Acq Balance Sheet'!N26,'Acq Balance Sheet'!K26)</f>
        <v>1</v>
      </c>
      <c r="J15" s="1256"/>
      <c r="K15" s="19">
        <f>I15/I$18*100</f>
        <v>1.148633438094552</v>
      </c>
    </row>
    <row r="16" spans="1:21" ht="12.75" customHeight="1">
      <c r="B16" s="1257" t="s">
        <v>53</v>
      </c>
      <c r="C16" s="1247"/>
      <c r="D16" s="1247"/>
      <c r="E16" s="1247"/>
      <c r="F16" s="1247"/>
      <c r="G16" s="1247"/>
      <c r="I16" s="435">
        <f>IF(aquarter&lt;&gt;4,'Acq Balance Sheet'!N27,'Acq Balance Sheet'!K27)</f>
        <v>0.5</v>
      </c>
      <c r="J16" s="1256"/>
      <c r="K16" s="19">
        <f>I16/I$18*100</f>
        <v>0.57431671904727599</v>
      </c>
    </row>
    <row r="17" spans="2:12" ht="12.75" customHeight="1">
      <c r="B17" s="1257" t="s">
        <v>150</v>
      </c>
      <c r="C17" s="1247"/>
      <c r="D17" s="1247"/>
      <c r="E17" s="1247"/>
      <c r="F17" s="1247"/>
      <c r="G17" s="1247"/>
      <c r="I17" s="434">
        <f>IF(aquarter&lt;&gt;4,'Acq Balance Sheet'!N28,'Acq Balance Sheet'!K28)</f>
        <v>76.25997638888893</v>
      </c>
      <c r="J17" s="1254"/>
      <c r="K17" s="755">
        <f>I17/I$18*100</f>
        <v>87.59475886857885</v>
      </c>
    </row>
    <row r="18" spans="2:12" ht="12.75" customHeight="1" thickBot="1">
      <c r="B18" s="323" t="s">
        <v>88</v>
      </c>
      <c r="I18" s="1258">
        <f>SUM(I13:I17)</f>
        <v>87.059976388888927</v>
      </c>
      <c r="J18" s="1259"/>
      <c r="K18" s="1260">
        <f>SUM(K13:K17)</f>
        <v>100.00000000000001</v>
      </c>
      <c r="L18" s="10" t="s">
        <v>166</v>
      </c>
    </row>
    <row r="19" spans="2:12" s="1262" customFormat="1" ht="16.5" thickTop="1">
      <c r="B19" s="1261"/>
      <c r="C19" s="1236"/>
      <c r="D19" s="1236"/>
      <c r="F19" s="1263"/>
      <c r="G19" s="1263"/>
      <c r="I19" s="1236"/>
      <c r="K19" s="1239" t="s">
        <v>222</v>
      </c>
      <c r="L19" s="1264"/>
    </row>
    <row r="20" spans="2:12" s="1262" customFormat="1" ht="15.75">
      <c r="B20" s="1261"/>
      <c r="C20" s="1236"/>
      <c r="D20" s="1236"/>
      <c r="F20" s="1263"/>
      <c r="G20" s="1263"/>
      <c r="I20" s="1236"/>
      <c r="K20" s="1239"/>
      <c r="L20" s="1264"/>
    </row>
    <row r="21" spans="2:12" s="1262" customFormat="1" ht="15.75">
      <c r="F21" s="1263"/>
      <c r="G21" s="1263"/>
      <c r="K21" s="1265"/>
      <c r="L21" s="1266"/>
    </row>
    <row r="22" spans="2:12" s="467" customFormat="1" ht="13.5">
      <c r="B22" s="1267" t="str">
        <f>'Acq Income Statement'!B65</f>
        <v>Source: Company's 2018 Form 10-K and Form 10-Q for the period ended March 31, 2019.</v>
      </c>
      <c r="C22" s="1268"/>
      <c r="D22" s="1268"/>
      <c r="E22" s="1268"/>
      <c r="F22" s="1268"/>
      <c r="G22" s="1269"/>
      <c r="H22" s="1268"/>
      <c r="I22" s="1268"/>
      <c r="J22" s="1268"/>
      <c r="K22" s="1270"/>
      <c r="L22" s="1271"/>
    </row>
    <row r="23" spans="2:12">
      <c r="B23" s="53"/>
      <c r="G23" s="980"/>
      <c r="H23" s="17"/>
      <c r="K23" s="1323"/>
      <c r="L23" s="1324"/>
    </row>
  </sheetData>
  <customSheetViews>
    <customSheetView guid="{9AE38660-BF5A-49A3-9FC0-AD5890AFC019}" showPageBreaks="1" showGridLines="0" printArea="1" view="pageBreakPreview" showRuler="0">
      <selection activeCell="I19" sqref="I19"/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indexed="41"/>
  </sheetPr>
  <dimension ref="A1:V96"/>
  <sheetViews>
    <sheetView showGridLines="0" view="pageBreakPreview" zoomScale="85" zoomScaleNormal="100" workbookViewId="0"/>
  </sheetViews>
  <sheetFormatPr defaultColWidth="8.83203125" defaultRowHeight="15" outlineLevelRow="1"/>
  <cols>
    <col min="1" max="1" width="2.83203125" style="1360" customWidth="1"/>
    <col min="2" max="2" width="12.83203125" style="1360" customWidth="1"/>
    <col min="3" max="3" width="10.83203125" style="1360" customWidth="1"/>
    <col min="4" max="4" width="5.83203125" style="1360" customWidth="1"/>
    <col min="5" max="6" width="8.83203125" style="1360"/>
    <col min="7" max="18" width="11.33203125" style="1360" customWidth="1"/>
    <col min="19" max="19" width="10.6640625" style="1363" bestFit="1" customWidth="1"/>
    <col min="20" max="21" width="8.83203125" style="1363"/>
    <col min="22" max="22" width="11.33203125" style="1363" customWidth="1"/>
    <col min="23" max="16384" width="8.83203125" style="1363"/>
  </cols>
  <sheetData>
    <row r="1" spans="1:22">
      <c r="A1" s="1359"/>
    </row>
    <row r="2" spans="1:22" s="1364" customFormat="1" ht="23.25">
      <c r="B2" s="1465" t="str">
        <f>proj</f>
        <v>Project MODEL</v>
      </c>
      <c r="C2" s="1365"/>
      <c r="D2" s="1366"/>
      <c r="E2" s="1366"/>
      <c r="F2" s="1366"/>
      <c r="G2" s="1366"/>
      <c r="H2" s="1366"/>
      <c r="I2" s="1366"/>
      <c r="J2" s="1366"/>
      <c r="K2" s="1366"/>
      <c r="L2" s="1366"/>
      <c r="M2" s="1366"/>
      <c r="N2" s="1366"/>
      <c r="O2" s="1366"/>
      <c r="P2" s="1366"/>
      <c r="Q2" s="1366"/>
      <c r="R2" s="1366"/>
      <c r="S2" s="1366"/>
    </row>
    <row r="3" spans="1:22" s="1367" customFormat="1" ht="20.100000000000001" customHeight="1" thickBot="1">
      <c r="B3" s="1368" t="str">
        <f>acq&amp;" - Discounted Cash Flow Analysis"</f>
        <v>COLEMAN CO. - Discounted Cash Flow Analysis</v>
      </c>
      <c r="C3" s="1368"/>
      <c r="D3" s="1369"/>
      <c r="E3" s="1369"/>
      <c r="F3" s="1369"/>
      <c r="G3" s="1369"/>
      <c r="H3" s="1369"/>
      <c r="I3" s="1369"/>
      <c r="J3" s="1369"/>
      <c r="K3" s="1369"/>
      <c r="L3" s="1369"/>
      <c r="M3" s="1369"/>
      <c r="N3" s="1369"/>
      <c r="O3" s="1468" t="str">
        <f>acname</f>
        <v>Wall street consensus</v>
      </c>
      <c r="P3" s="1370"/>
      <c r="Q3" s="1370"/>
      <c r="R3" s="1370"/>
      <c r="S3" s="1370"/>
      <c r="T3" s="1370"/>
      <c r="U3" s="1371"/>
      <c r="V3" s="1371"/>
    </row>
    <row r="4" spans="1:22" s="1364" customFormat="1" ht="12.75" customHeight="1">
      <c r="A4" s="1372"/>
      <c r="B4" s="1466" t="str">
        <f>'Acq Spread Cover'!B4</f>
        <v>(Amounts in Millions, Except Per Share Data)</v>
      </c>
      <c r="C4" s="1373"/>
      <c r="D4" s="1373"/>
      <c r="E4" s="1373"/>
      <c r="F4" s="1373"/>
      <c r="G4" s="1373"/>
      <c r="H4" s="1373"/>
      <c r="I4" s="1373"/>
      <c r="J4" s="1373"/>
      <c r="K4" s="1373"/>
      <c r="L4" s="1373"/>
      <c r="M4" s="1373"/>
      <c r="N4" s="1373"/>
      <c r="O4" s="1373"/>
    </row>
    <row r="5" spans="1:22" s="1364" customFormat="1" ht="12.75" customHeight="1">
      <c r="A5" s="1372"/>
      <c r="B5" s="1372"/>
      <c r="C5" s="1372"/>
      <c r="D5" s="1372"/>
      <c r="E5" s="1372"/>
      <c r="F5" s="1372"/>
      <c r="G5" s="1372"/>
      <c r="H5" s="1372"/>
      <c r="I5" s="1372"/>
      <c r="J5" s="1372"/>
      <c r="K5" s="1372"/>
      <c r="L5" s="1372"/>
      <c r="M5" s="1372"/>
      <c r="N5" s="1372"/>
      <c r="O5" s="1372"/>
      <c r="R5" s="1374" t="s">
        <v>675</v>
      </c>
      <c r="S5" s="1374" t="s">
        <v>168</v>
      </c>
    </row>
    <row r="6" spans="1:22" s="1364" customFormat="1" ht="12.75" customHeight="1">
      <c r="A6" s="1372"/>
      <c r="B6" s="1467" t="str">
        <f>acname</f>
        <v>Wall street consensus</v>
      </c>
      <c r="C6" s="1375"/>
      <c r="D6" s="1375"/>
      <c r="E6" s="1376"/>
      <c r="F6" s="1372"/>
      <c r="G6" s="1372"/>
      <c r="H6" s="1372"/>
      <c r="I6" s="1372"/>
      <c r="J6" s="1377" t="str">
        <f>'Acq Proj'!B7</f>
        <v>Fiscal Year Ended December 31,</v>
      </c>
      <c r="K6" s="1377"/>
      <c r="L6" s="1377"/>
      <c r="M6" s="1377"/>
      <c r="N6" s="1377"/>
      <c r="O6" s="1372"/>
      <c r="P6" s="1372"/>
      <c r="Q6" s="1372" t="s">
        <v>676</v>
      </c>
      <c r="R6" s="1378">
        <v>8</v>
      </c>
      <c r="S6" s="1378">
        <v>2</v>
      </c>
    </row>
    <row r="7" spans="1:22" s="1364" customFormat="1" ht="12.75" customHeight="1">
      <c r="A7" s="1372"/>
      <c r="B7" s="1372"/>
      <c r="C7" s="1372"/>
      <c r="D7" s="1372"/>
      <c r="E7" s="1372"/>
      <c r="F7" s="1372"/>
      <c r="G7" s="1372"/>
      <c r="H7" s="1372"/>
      <c r="J7" s="1379">
        <f>'Acq Proj'!M7</f>
        <v>2020</v>
      </c>
      <c r="K7" s="1379">
        <f>'Acq Proj'!N7</f>
        <v>2021</v>
      </c>
      <c r="L7" s="1379">
        <f>'Acq Proj'!O7</f>
        <v>2022</v>
      </c>
      <c r="M7" s="1379">
        <f>'Acq Proj'!P7</f>
        <v>2023</v>
      </c>
      <c r="N7" s="1379">
        <f>'Acq Proj'!Q7</f>
        <v>2024</v>
      </c>
      <c r="O7" s="1372"/>
      <c r="P7" s="1372"/>
      <c r="Q7" s="1364" t="s">
        <v>677</v>
      </c>
      <c r="R7" s="1380">
        <v>0.1</v>
      </c>
      <c r="S7" s="1380">
        <v>0.02</v>
      </c>
      <c r="V7" s="1379">
        <f>'Acq Proj'!L7</f>
        <v>2019</v>
      </c>
    </row>
    <row r="8" spans="1:22" s="1364" customFormat="1" ht="15" customHeight="1">
      <c r="A8" s="1372"/>
      <c r="B8" s="1478" t="str">
        <f>'Acq Sum Financials'!B11</f>
        <v>Net Sales</v>
      </c>
      <c r="C8" s="1372"/>
      <c r="D8" s="1372"/>
      <c r="E8" s="1372"/>
      <c r="F8" s="1372"/>
      <c r="G8" s="1372"/>
      <c r="H8" s="1372"/>
      <c r="J8" s="1474">
        <f>'Acq Proj'!M8</f>
        <v>140</v>
      </c>
      <c r="K8" s="1475">
        <f>'Acq Proj'!N8</f>
        <v>160</v>
      </c>
      <c r="L8" s="1475">
        <f>'Acq Proj'!O8</f>
        <v>180</v>
      </c>
      <c r="M8" s="1476">
        <f>'Acq Proj'!P8</f>
        <v>202.5</v>
      </c>
      <c r="N8" s="1476">
        <f>'Acq Proj'!Q8</f>
        <v>227.8125</v>
      </c>
      <c r="O8" s="1372"/>
      <c r="P8" s="1372"/>
      <c r="Q8" s="1364" t="s">
        <v>678</v>
      </c>
      <c r="R8" s="1380">
        <v>0.02</v>
      </c>
      <c r="S8" s="1380">
        <v>5.0000000000000001E-3</v>
      </c>
      <c r="V8" s="1469">
        <f>'Acq Proj'!L8</f>
        <v>120</v>
      </c>
    </row>
    <row r="9" spans="1:22" s="1364" customFormat="1" ht="12.75" customHeight="1">
      <c r="A9" s="1372"/>
      <c r="B9" s="1381" t="s">
        <v>679</v>
      </c>
      <c r="C9" s="1382"/>
      <c r="D9" s="1382"/>
      <c r="E9" s="1382"/>
      <c r="F9" s="1382"/>
      <c r="G9" s="1382"/>
      <c r="H9" s="1382"/>
      <c r="J9" s="1477">
        <f>J8/'Acq Proj'!L8-1</f>
        <v>0.16666666666666674</v>
      </c>
      <c r="K9" s="1383">
        <f>K8/J8-1</f>
        <v>0.14285714285714279</v>
      </c>
      <c r="L9" s="1383">
        <f>L8/K8-1</f>
        <v>0.125</v>
      </c>
      <c r="M9" s="1383">
        <f>M8/L8-1</f>
        <v>0.125</v>
      </c>
      <c r="N9" s="1383">
        <f>N8/M8-1</f>
        <v>0.125</v>
      </c>
      <c r="O9" s="1372"/>
      <c r="P9" s="1372"/>
      <c r="V9" s="1470">
        <f>V8/'Acq Proj'!K8-1</f>
        <v>0.19999999999999996</v>
      </c>
    </row>
    <row r="10" spans="1:22" s="1364" customFormat="1" ht="12.75" customHeight="1">
      <c r="A10" s="1372"/>
      <c r="B10" s="1478" t="str">
        <f>'Acq Sum Financials'!B13</f>
        <v>EBITDA</v>
      </c>
      <c r="C10" s="1372"/>
      <c r="D10" s="1372"/>
      <c r="E10" s="1372"/>
      <c r="F10" s="1372"/>
      <c r="G10" s="1372"/>
      <c r="H10" s="1372"/>
      <c r="J10" s="1472">
        <f>'Acq Proj'!M36</f>
        <v>45</v>
      </c>
      <c r="K10" s="1472">
        <f>'Acq Proj'!N36</f>
        <v>51.428571428571431</v>
      </c>
      <c r="L10" s="1472">
        <f>'Acq Proj'!O36</f>
        <v>57.857142857142854</v>
      </c>
      <c r="M10" s="1472">
        <f>'Acq Proj'!P36</f>
        <v>65.089285714285708</v>
      </c>
      <c r="N10" s="1472">
        <f>'Acq Proj'!Q36</f>
        <v>73.225446428571431</v>
      </c>
      <c r="O10" s="1372"/>
      <c r="P10" s="1372"/>
      <c r="V10" s="1471">
        <f>'Acq Proj'!L36</f>
        <v>40</v>
      </c>
    </row>
    <row r="11" spans="1:22" s="1364" customFormat="1" ht="12.75" customHeight="1">
      <c r="A11" s="1372"/>
      <c r="B11" s="1381" t="s">
        <v>680</v>
      </c>
      <c r="C11" s="1382"/>
      <c r="D11" s="1382"/>
      <c r="E11" s="1382"/>
      <c r="F11" s="1382"/>
      <c r="G11" s="1382"/>
      <c r="H11" s="1382"/>
      <c r="J11" s="1383">
        <f>J10/J8</f>
        <v>0.32142857142857145</v>
      </c>
      <c r="K11" s="1383">
        <f>K10/K8</f>
        <v>0.32142857142857145</v>
      </c>
      <c r="L11" s="1383">
        <f>L10/L8</f>
        <v>0.3214285714285714</v>
      </c>
      <c r="M11" s="1383">
        <f>M10/M8</f>
        <v>0.3214285714285714</v>
      </c>
      <c r="N11" s="1383">
        <f>N10/N8</f>
        <v>0.32142857142857145</v>
      </c>
      <c r="O11" s="1372"/>
      <c r="P11" s="1372"/>
      <c r="V11" s="1385">
        <f>V10/V8</f>
        <v>0.33333333333333331</v>
      </c>
    </row>
    <row r="12" spans="1:22" s="1364" customFormat="1" ht="12.75" customHeight="1">
      <c r="A12" s="1372"/>
      <c r="B12" s="1478" t="str">
        <f>'Acq Sum Financials'!B14</f>
        <v>EBIT</v>
      </c>
      <c r="C12" s="1372"/>
      <c r="D12" s="1372"/>
      <c r="E12" s="1372"/>
      <c r="F12" s="1372"/>
      <c r="G12" s="1372"/>
      <c r="H12" s="1372"/>
      <c r="J12" s="1472">
        <f>'Acq Proj'!M34</f>
        <v>35</v>
      </c>
      <c r="K12" s="1472">
        <f>'Acq Proj'!N34</f>
        <v>40</v>
      </c>
      <c r="L12" s="1472">
        <f>'Acq Proj'!O34</f>
        <v>45</v>
      </c>
      <c r="M12" s="1472">
        <f>'Acq Proj'!P34</f>
        <v>50.625</v>
      </c>
      <c r="N12" s="1472">
        <f>'Acq Proj'!Q34</f>
        <v>56.953125</v>
      </c>
      <c r="O12" s="1372"/>
      <c r="P12" s="1372"/>
      <c r="V12" s="1471">
        <f>'Acq Proj'!L34</f>
        <v>30</v>
      </c>
    </row>
    <row r="13" spans="1:22" s="1364" customFormat="1" ht="12.75" customHeight="1">
      <c r="A13" s="1372"/>
      <c r="B13" s="1381" t="s">
        <v>680</v>
      </c>
      <c r="C13" s="1382"/>
      <c r="D13" s="1382"/>
      <c r="E13" s="1382"/>
      <c r="F13" s="1382"/>
      <c r="G13" s="1382"/>
      <c r="H13" s="1382"/>
      <c r="J13" s="1383">
        <f>J12/J8</f>
        <v>0.25</v>
      </c>
      <c r="K13" s="1383">
        <f>K12/K8</f>
        <v>0.25</v>
      </c>
      <c r="L13" s="1383">
        <f>L12/L8</f>
        <v>0.25</v>
      </c>
      <c r="M13" s="1383">
        <f>M12/M8</f>
        <v>0.25</v>
      </c>
      <c r="N13" s="1383">
        <f>N12/N8</f>
        <v>0.25</v>
      </c>
      <c r="O13" s="1372"/>
      <c r="P13" s="1372"/>
      <c r="V13" s="1385">
        <f>V12/V8</f>
        <v>0.25</v>
      </c>
    </row>
    <row r="14" spans="1:22" s="1364" customFormat="1" ht="12.75" customHeight="1">
      <c r="A14" s="1372"/>
      <c r="B14" s="1372" t="s">
        <v>681</v>
      </c>
      <c r="C14" s="1479">
        <f>atax</f>
        <v>0.25</v>
      </c>
      <c r="D14" s="1387"/>
      <c r="E14" s="1372"/>
      <c r="F14" s="1372"/>
      <c r="G14" s="1372"/>
      <c r="H14" s="1372"/>
      <c r="J14" s="1388">
        <f>-$C$14*J12</f>
        <v>-8.75</v>
      </c>
      <c r="K14" s="1388">
        <f>-$C$14*K12</f>
        <v>-10</v>
      </c>
      <c r="L14" s="1388">
        <f>-$C$14*L12</f>
        <v>-11.25</v>
      </c>
      <c r="M14" s="1388">
        <f>-$C$14*M12</f>
        <v>-12.65625</v>
      </c>
      <c r="N14" s="1388">
        <f>-$C$14*N12</f>
        <v>-14.23828125</v>
      </c>
      <c r="O14" s="1372"/>
      <c r="P14" s="1372"/>
      <c r="Q14" s="1389"/>
      <c r="S14" s="1390"/>
      <c r="V14" s="1390">
        <f>-$C$14*V12</f>
        <v>-7.5</v>
      </c>
    </row>
    <row r="15" spans="1:22" s="1364" customFormat="1" ht="12.75" customHeight="1">
      <c r="A15" s="1372"/>
      <c r="B15" s="1372" t="str">
        <f>"Tax-Effected "&amp;B12</f>
        <v>Tax-Effected EBIT</v>
      </c>
      <c r="C15" s="1372"/>
      <c r="D15" s="1372"/>
      <c r="E15" s="1372"/>
      <c r="F15" s="1372"/>
      <c r="G15" s="1372"/>
      <c r="H15" s="1372"/>
      <c r="J15" s="1391">
        <f>J12+J14</f>
        <v>26.25</v>
      </c>
      <c r="K15" s="1391">
        <f>K12+K14</f>
        <v>30</v>
      </c>
      <c r="L15" s="1391">
        <f>L12+L14</f>
        <v>33.75</v>
      </c>
      <c r="M15" s="1391">
        <f>M12+M14</f>
        <v>37.96875</v>
      </c>
      <c r="N15" s="1391">
        <f>N12+N14</f>
        <v>42.71484375</v>
      </c>
      <c r="O15" s="1372"/>
      <c r="P15" s="1372"/>
      <c r="V15" s="1392">
        <f>V12+V14</f>
        <v>22.5</v>
      </c>
    </row>
    <row r="16" spans="1:22" s="1364" customFormat="1" ht="12.75" customHeight="1">
      <c r="A16" s="1372"/>
      <c r="B16" s="1372" t="s">
        <v>682</v>
      </c>
      <c r="C16" s="1372"/>
      <c r="D16" s="1372"/>
      <c r="E16" s="1372"/>
      <c r="F16" s="1372"/>
      <c r="G16" s="1372"/>
      <c r="H16" s="1372"/>
      <c r="J16" s="1472">
        <f>'Acq Proj'!M35</f>
        <v>10</v>
      </c>
      <c r="K16" s="1472">
        <f>'Acq Proj'!N35</f>
        <v>11.428571428571427</v>
      </c>
      <c r="L16" s="1472">
        <f>'Acq Proj'!O35</f>
        <v>12.857142857142856</v>
      </c>
      <c r="M16" s="1472">
        <f>'Acq Proj'!P35</f>
        <v>14.464285714285714</v>
      </c>
      <c r="N16" s="1472">
        <f>'Acq Proj'!Q35</f>
        <v>16.272321428571427</v>
      </c>
      <c r="O16" s="1372"/>
      <c r="P16" s="1372"/>
      <c r="Q16" s="1372"/>
      <c r="R16" s="1372"/>
      <c r="V16" s="1471">
        <f>'Acq Proj'!L35</f>
        <v>10</v>
      </c>
    </row>
    <row r="17" spans="1:22" s="1364" customFormat="1" ht="12.75" customHeight="1">
      <c r="A17" s="1372"/>
      <c r="B17" s="1372" t="s">
        <v>683</v>
      </c>
      <c r="C17" s="1372"/>
      <c r="D17" s="1372"/>
      <c r="E17" s="1372"/>
      <c r="F17" s="1372"/>
      <c r="G17" s="1372"/>
      <c r="H17" s="1372"/>
      <c r="J17" s="1472">
        <f>'Acq Proj'!M98</f>
        <v>-12</v>
      </c>
      <c r="K17" s="1472">
        <f>'Acq Proj'!N98</f>
        <v>-13.714285714285715</v>
      </c>
      <c r="L17" s="1472">
        <f>'Acq Proj'!O98</f>
        <v>-15.428571428571429</v>
      </c>
      <c r="M17" s="1472">
        <f>'Acq Proj'!P98</f>
        <v>-17.357142857142858</v>
      </c>
      <c r="N17" s="1472">
        <f>'Acq Proj'!Q98</f>
        <v>-19.526785714285715</v>
      </c>
      <c r="O17" s="1372"/>
      <c r="P17" s="1372"/>
      <c r="Q17" s="1372"/>
      <c r="R17" s="1372"/>
      <c r="V17" s="1471">
        <f>'Acq Proj'!L98</f>
        <v>-10</v>
      </c>
    </row>
    <row r="18" spans="1:22" s="1364" customFormat="1" ht="12.75" customHeight="1">
      <c r="A18" s="1372"/>
      <c r="B18" s="1372" t="s">
        <v>684</v>
      </c>
      <c r="C18" s="1372"/>
      <c r="D18" s="1372"/>
      <c r="E18" s="1372"/>
      <c r="F18" s="1372"/>
      <c r="G18" s="1372"/>
      <c r="H18" s="1372"/>
      <c r="J18" s="1473">
        <f>'Acq Proj'!M95</f>
        <v>-3.0991872053872171</v>
      </c>
      <c r="K18" s="1473">
        <f>'Acq Proj'!N95</f>
        <v>-3.09918720538721</v>
      </c>
      <c r="L18" s="1473">
        <f>'Acq Proj'!O95</f>
        <v>-3.09918720538721</v>
      </c>
      <c r="M18" s="1473">
        <f>'Acq Proj'!P95</f>
        <v>-3.4865856060606149</v>
      </c>
      <c r="N18" s="1473">
        <f>'Acq Proj'!Q95</f>
        <v>-3.922408806818197</v>
      </c>
      <c r="O18" s="1372"/>
      <c r="P18" s="1372"/>
      <c r="Q18" s="1372"/>
      <c r="R18" s="1372"/>
      <c r="V18" s="1471">
        <f>'Acq Proj'!L95</f>
        <v>-3.1554565656565678</v>
      </c>
    </row>
    <row r="19" spans="1:22" s="1364" customFormat="1" ht="12.75" customHeight="1">
      <c r="A19" s="1372"/>
      <c r="B19" s="1372" t="s">
        <v>685</v>
      </c>
      <c r="C19" s="1372"/>
      <c r="D19" s="1372"/>
      <c r="E19" s="1372"/>
      <c r="F19" s="1372"/>
      <c r="G19" s="1372"/>
      <c r="H19" s="1372"/>
      <c r="J19" s="1393">
        <f>SUM(J15:J18)</f>
        <v>21.150812794612783</v>
      </c>
      <c r="K19" s="1393">
        <f>SUM(K15:K18)</f>
        <v>24.615098508898505</v>
      </c>
      <c r="L19" s="1393">
        <f>SUM(L15:L18)</f>
        <v>28.079384223184213</v>
      </c>
      <c r="M19" s="1393">
        <f>SUM(M15:M18)</f>
        <v>31.589307251082246</v>
      </c>
      <c r="N19" s="1393">
        <f>SUM(N15:N18)</f>
        <v>35.537970657467518</v>
      </c>
      <c r="O19" s="1372"/>
      <c r="P19" s="1372"/>
      <c r="Q19" s="1372"/>
      <c r="R19" s="1372"/>
      <c r="V19" s="1396">
        <f>SUM(V15:V18)</f>
        <v>19.344543434343432</v>
      </c>
    </row>
    <row r="20" spans="1:22" s="1364" customFormat="1" ht="12.75" customHeight="1">
      <c r="A20" s="1372"/>
      <c r="B20" s="1381" t="s">
        <v>686</v>
      </c>
      <c r="C20" s="1372"/>
      <c r="D20" s="1372"/>
      <c r="E20" s="1372"/>
      <c r="F20" s="1372"/>
      <c r="G20" s="1372"/>
      <c r="H20" s="1372"/>
      <c r="I20" s="1398"/>
      <c r="J20" s="1397">
        <f>IF(V19&lt;=0,"NM",J19/V19-1)</f>
        <v>9.3373584463233295E-2</v>
      </c>
      <c r="K20" s="1397">
        <f>IF(J19&lt;=0,"NM",K19/J19-1)</f>
        <v>0.16378972042001583</v>
      </c>
      <c r="L20" s="1397">
        <f>IF(K19&lt;=0,"NM",L19/K19-1)</f>
        <v>0.14073824295415061</v>
      </c>
      <c r="M20" s="1397">
        <f>IF(L19&lt;=0,"NM",M19/L19-1)</f>
        <v>0.12500000000000022</v>
      </c>
      <c r="N20" s="1397">
        <f>IF(M19&lt;=0,"NM",N19/M19-1)</f>
        <v>0.12499999999999978</v>
      </c>
      <c r="O20" s="1372"/>
      <c r="P20" s="1372"/>
      <c r="Q20" s="1372"/>
      <c r="R20" s="1372"/>
      <c r="V20" s="1398"/>
    </row>
    <row r="21" spans="1:22" s="1364" customFormat="1" ht="12.75" customHeight="1">
      <c r="A21" s="1372"/>
      <c r="B21" s="1372"/>
      <c r="C21" s="1372"/>
      <c r="D21" s="1372"/>
      <c r="E21" s="1372"/>
      <c r="F21" s="1372"/>
      <c r="G21" s="1372"/>
      <c r="H21" s="1372"/>
      <c r="I21" s="1372"/>
      <c r="J21" s="1372"/>
      <c r="K21" s="1372"/>
      <c r="L21" s="1372"/>
      <c r="M21" s="1372"/>
      <c r="N21" s="1372"/>
      <c r="O21" s="1372"/>
      <c r="P21" s="1372"/>
      <c r="Q21" s="1372"/>
      <c r="R21" s="1372"/>
    </row>
    <row r="22" spans="1:22" s="1402" customFormat="1" ht="12.75" customHeight="1">
      <c r="A22" s="1399"/>
      <c r="B22" s="1399" t="s">
        <v>687</v>
      </c>
      <c r="C22" s="1399"/>
      <c r="D22" s="1399"/>
      <c r="E22" s="1399"/>
      <c r="F22" s="1399"/>
      <c r="G22" s="1400">
        <f>+H22</f>
        <v>8</v>
      </c>
      <c r="H22" s="1401">
        <f>R6</f>
        <v>8</v>
      </c>
      <c r="I22" s="1400">
        <f>+H22</f>
        <v>8</v>
      </c>
      <c r="J22" s="1400">
        <f>+K22</f>
        <v>10</v>
      </c>
      <c r="K22" s="1401">
        <f>H22+$S$6</f>
        <v>10</v>
      </c>
      <c r="L22" s="1400">
        <f>+K22</f>
        <v>10</v>
      </c>
      <c r="M22" s="1400">
        <f>+N22</f>
        <v>12</v>
      </c>
      <c r="N22" s="1401">
        <f>K22+$S$6</f>
        <v>12</v>
      </c>
      <c r="O22" s="1400">
        <f>+N22</f>
        <v>12</v>
      </c>
      <c r="P22" s="1400">
        <f>+Q22</f>
        <v>14</v>
      </c>
      <c r="Q22" s="1401">
        <f>N22+$S$6</f>
        <v>14</v>
      </c>
      <c r="R22" s="1400">
        <f>+Q22</f>
        <v>14</v>
      </c>
    </row>
    <row r="23" spans="1:22" s="1364" customFormat="1" ht="12.75" customHeight="1">
      <c r="A23" s="1372"/>
      <c r="B23" s="1372" t="s">
        <v>688</v>
      </c>
      <c r="C23" s="1372"/>
      <c r="D23" s="1372"/>
      <c r="E23" s="1372"/>
      <c r="F23" s="1372"/>
      <c r="G23" s="1403">
        <f>R7</f>
        <v>0.1</v>
      </c>
      <c r="H23" s="1404">
        <f>G23+$S$7</f>
        <v>0.12000000000000001</v>
      </c>
      <c r="I23" s="1405">
        <f>H23+$S$7</f>
        <v>0.14000000000000001</v>
      </c>
      <c r="J23" s="1403">
        <f>$G$23</f>
        <v>0.1</v>
      </c>
      <c r="K23" s="1404">
        <f>$H$23</f>
        <v>0.12000000000000001</v>
      </c>
      <c r="L23" s="1405">
        <f>$I$23</f>
        <v>0.14000000000000001</v>
      </c>
      <c r="M23" s="1403">
        <f>$G$23</f>
        <v>0.1</v>
      </c>
      <c r="N23" s="1404">
        <f>$H$23</f>
        <v>0.12000000000000001</v>
      </c>
      <c r="O23" s="1405">
        <f>$I$23</f>
        <v>0.14000000000000001</v>
      </c>
      <c r="P23" s="1404">
        <f>$G$23</f>
        <v>0.1</v>
      </c>
      <c r="Q23" s="1404">
        <f>$H$23</f>
        <v>0.12000000000000001</v>
      </c>
      <c r="R23" s="1405">
        <f>$I$23</f>
        <v>0.14000000000000001</v>
      </c>
    </row>
    <row r="24" spans="1:22" s="1364" customFormat="1" ht="12.75" customHeight="1">
      <c r="A24" s="1372" t="s">
        <v>689</v>
      </c>
      <c r="B24" s="1372" t="s">
        <v>690</v>
      </c>
      <c r="C24" s="1372"/>
      <c r="D24" s="1372"/>
      <c r="E24" s="1372"/>
      <c r="F24" s="1372"/>
      <c r="G24" s="1406">
        <f t="shared" ref="G24:R24" si="0">XNPV(G23,$J$19:$N$19,$J$53:$N$53)/(1+G23)^$R$54</f>
        <v>104.27673690476459</v>
      </c>
      <c r="H24" s="1407">
        <f t="shared" si="0"/>
        <v>98.697876430815995</v>
      </c>
      <c r="I24" s="1408">
        <f t="shared" si="0"/>
        <v>93.567142715556557</v>
      </c>
      <c r="J24" s="1406">
        <f t="shared" si="0"/>
        <v>104.27673690476459</v>
      </c>
      <c r="K24" s="1407">
        <f t="shared" si="0"/>
        <v>98.697876430815995</v>
      </c>
      <c r="L24" s="1408">
        <f t="shared" si="0"/>
        <v>93.567142715556557</v>
      </c>
      <c r="M24" s="1406">
        <f t="shared" si="0"/>
        <v>104.27673690476459</v>
      </c>
      <c r="N24" s="1407">
        <f t="shared" si="0"/>
        <v>98.697876430815995</v>
      </c>
      <c r="O24" s="1408">
        <f t="shared" si="0"/>
        <v>93.567142715556557</v>
      </c>
      <c r="P24" s="1407">
        <f t="shared" si="0"/>
        <v>104.27673690476459</v>
      </c>
      <c r="Q24" s="1407">
        <f t="shared" si="0"/>
        <v>98.697876430815995</v>
      </c>
      <c r="R24" s="1408">
        <f t="shared" si="0"/>
        <v>93.567142715556557</v>
      </c>
    </row>
    <row r="25" spans="1:22" s="1364" customFormat="1" ht="12.75" customHeight="1">
      <c r="A25" s="1372" t="s">
        <v>689</v>
      </c>
      <c r="B25" s="1372" t="s">
        <v>691</v>
      </c>
      <c r="C25" s="1372"/>
      <c r="D25" s="1372"/>
      <c r="E25" s="1372"/>
      <c r="F25" s="1372"/>
      <c r="G25" s="1409">
        <f t="shared" ref="G25:R25" si="1">($N$10*G22)/(1+G23)^($R$55)</f>
        <v>363.54801697306004</v>
      </c>
      <c r="H25" s="1410">
        <f t="shared" si="1"/>
        <v>332.19432880709422</v>
      </c>
      <c r="I25" s="1411">
        <f t="shared" si="1"/>
        <v>304.02965802188135</v>
      </c>
      <c r="J25" s="1409">
        <f t="shared" si="1"/>
        <v>454.43502121632508</v>
      </c>
      <c r="K25" s="1410">
        <f t="shared" si="1"/>
        <v>415.24291100886779</v>
      </c>
      <c r="L25" s="1411">
        <f t="shared" si="1"/>
        <v>380.03707252735171</v>
      </c>
      <c r="M25" s="1409">
        <f t="shared" si="1"/>
        <v>545.32202545959001</v>
      </c>
      <c r="N25" s="1410">
        <f t="shared" si="1"/>
        <v>498.29149321064131</v>
      </c>
      <c r="O25" s="1411">
        <f t="shared" si="1"/>
        <v>456.04448703282202</v>
      </c>
      <c r="P25" s="1410">
        <f t="shared" si="1"/>
        <v>636.2090297028551</v>
      </c>
      <c r="Q25" s="1410">
        <f t="shared" si="1"/>
        <v>581.34007541241488</v>
      </c>
      <c r="R25" s="1411">
        <f t="shared" si="1"/>
        <v>532.05190153829233</v>
      </c>
    </row>
    <row r="26" spans="1:22" s="1364" customFormat="1" ht="12.75" customHeight="1">
      <c r="A26" s="1372"/>
      <c r="B26" s="1372" t="s">
        <v>692</v>
      </c>
      <c r="C26" s="1372"/>
      <c r="D26" s="1372"/>
      <c r="E26" s="1372"/>
      <c r="F26" s="1372"/>
      <c r="G26" s="1406">
        <f t="shared" ref="G26:R26" si="2">G24+G25</f>
        <v>467.82475387782461</v>
      </c>
      <c r="H26" s="1407">
        <f t="shared" si="2"/>
        <v>430.89220523791022</v>
      </c>
      <c r="I26" s="1408">
        <f t="shared" si="2"/>
        <v>397.59680073743789</v>
      </c>
      <c r="J26" s="1406">
        <f t="shared" si="2"/>
        <v>558.7117581210897</v>
      </c>
      <c r="K26" s="1407">
        <f t="shared" si="2"/>
        <v>513.94078743968385</v>
      </c>
      <c r="L26" s="1408">
        <f t="shared" si="2"/>
        <v>473.60421524290825</v>
      </c>
      <c r="M26" s="1406">
        <f t="shared" si="2"/>
        <v>649.59876236435457</v>
      </c>
      <c r="N26" s="1407">
        <f t="shared" si="2"/>
        <v>596.9893696414573</v>
      </c>
      <c r="O26" s="1408">
        <f t="shared" si="2"/>
        <v>549.61162974837862</v>
      </c>
      <c r="P26" s="1407">
        <f t="shared" si="2"/>
        <v>740.48576660761967</v>
      </c>
      <c r="Q26" s="1407">
        <f t="shared" si="2"/>
        <v>680.03795184323087</v>
      </c>
      <c r="R26" s="1408">
        <f t="shared" si="2"/>
        <v>625.61904425384887</v>
      </c>
    </row>
    <row r="27" spans="1:22" s="1364" customFormat="1" ht="12.75" customHeight="1">
      <c r="A27" s="1372"/>
      <c r="B27" s="1478" t="str">
        <f>IF(G27&lt;=0,"Less: Net Debt","Plus: Net Cash")&amp;" (a)"</f>
        <v>Plus: Net Cash (a)</v>
      </c>
      <c r="C27" s="1372"/>
      <c r="D27" s="1372"/>
      <c r="E27" s="1372"/>
      <c r="F27" s="1372"/>
      <c r="G27" s="1480">
        <f>-acqnetdebt</f>
        <v>60.460976388888945</v>
      </c>
      <c r="H27" s="1410">
        <f t="shared" ref="H27:R27" si="3">$G$27</f>
        <v>60.460976388888945</v>
      </c>
      <c r="I27" s="1411">
        <f t="shared" si="3"/>
        <v>60.460976388888945</v>
      </c>
      <c r="J27" s="1409">
        <f t="shared" si="3"/>
        <v>60.460976388888945</v>
      </c>
      <c r="K27" s="1410">
        <f t="shared" si="3"/>
        <v>60.460976388888945</v>
      </c>
      <c r="L27" s="1411">
        <f t="shared" si="3"/>
        <v>60.460976388888945</v>
      </c>
      <c r="M27" s="1409">
        <f t="shared" si="3"/>
        <v>60.460976388888945</v>
      </c>
      <c r="N27" s="1410">
        <f t="shared" si="3"/>
        <v>60.460976388888945</v>
      </c>
      <c r="O27" s="1411">
        <f t="shared" si="3"/>
        <v>60.460976388888945</v>
      </c>
      <c r="P27" s="1410">
        <f t="shared" si="3"/>
        <v>60.460976388888945</v>
      </c>
      <c r="Q27" s="1410">
        <f t="shared" si="3"/>
        <v>60.460976388888945</v>
      </c>
      <c r="R27" s="1411">
        <f t="shared" si="3"/>
        <v>60.460976388888945</v>
      </c>
    </row>
    <row r="28" spans="1:22" s="1364" customFormat="1" ht="12.75" customHeight="1">
      <c r="A28" s="1372"/>
      <c r="B28" s="1372" t="s">
        <v>693</v>
      </c>
      <c r="C28" s="1372"/>
      <c r="D28" s="1372"/>
      <c r="E28" s="1372"/>
      <c r="F28" s="1372"/>
      <c r="G28" s="1406">
        <f t="shared" ref="G28:R28" si="4">SUM(G26:G27)</f>
        <v>528.28573026671359</v>
      </c>
      <c r="H28" s="1407">
        <f t="shared" si="4"/>
        <v>491.35318162679914</v>
      </c>
      <c r="I28" s="1408">
        <f t="shared" si="4"/>
        <v>458.05777712632681</v>
      </c>
      <c r="J28" s="1406">
        <f t="shared" si="4"/>
        <v>619.17273450997868</v>
      </c>
      <c r="K28" s="1407">
        <f t="shared" si="4"/>
        <v>574.40176382857283</v>
      </c>
      <c r="L28" s="1408">
        <f t="shared" si="4"/>
        <v>534.06519163179723</v>
      </c>
      <c r="M28" s="1406">
        <f t="shared" si="4"/>
        <v>710.05973875324355</v>
      </c>
      <c r="N28" s="1407">
        <f t="shared" si="4"/>
        <v>657.45034603034628</v>
      </c>
      <c r="O28" s="1408">
        <f t="shared" si="4"/>
        <v>610.0726061372676</v>
      </c>
      <c r="P28" s="1407">
        <f t="shared" si="4"/>
        <v>800.94674299650865</v>
      </c>
      <c r="Q28" s="1407">
        <f t="shared" si="4"/>
        <v>740.49892823211985</v>
      </c>
      <c r="R28" s="1408">
        <f t="shared" si="4"/>
        <v>686.08002064273785</v>
      </c>
    </row>
    <row r="29" spans="1:22" s="1402" customFormat="1" ht="18" customHeight="1">
      <c r="A29" s="1399"/>
      <c r="B29" s="1399" t="s">
        <v>694</v>
      </c>
      <c r="C29" s="1399"/>
      <c r="D29" s="1399"/>
      <c r="E29" s="1399"/>
      <c r="F29" s="1399"/>
      <c r="G29" s="1412">
        <f t="shared" ref="G29:R29" ca="1" si="5">G28/G48</f>
        <v>42.654591943273829</v>
      </c>
      <c r="H29" s="1413">
        <f t="shared" ca="1" si="5"/>
        <v>39.714125813233906</v>
      </c>
      <c r="I29" s="1414">
        <f t="shared" ca="1" si="5"/>
        <v>37.063238917391331</v>
      </c>
      <c r="J29" s="1412">
        <f t="shared" ca="1" si="5"/>
        <v>49.890760782953855</v>
      </c>
      <c r="K29" s="1413">
        <f t="shared" ca="1" si="5"/>
        <v>46.326221433632917</v>
      </c>
      <c r="L29" s="1414">
        <f t="shared" ca="1" si="5"/>
        <v>43.114736477559674</v>
      </c>
      <c r="M29" s="1412">
        <f t="shared" ca="1" si="5"/>
        <v>57.12692962263386</v>
      </c>
      <c r="N29" s="1413">
        <f t="shared" ca="1" si="5"/>
        <v>52.93831705403192</v>
      </c>
      <c r="O29" s="1414">
        <f t="shared" ca="1" si="5"/>
        <v>49.16623403772801</v>
      </c>
      <c r="P29" s="1413">
        <f t="shared" ca="1" si="5"/>
        <v>64.363098462313886</v>
      </c>
      <c r="Q29" s="1413">
        <f t="shared" ca="1" si="5"/>
        <v>59.55041267443093</v>
      </c>
      <c r="R29" s="1414">
        <f t="shared" ca="1" si="5"/>
        <v>55.217731597896339</v>
      </c>
    </row>
    <row r="30" spans="1:22" s="1364" customFormat="1" ht="18" customHeight="1">
      <c r="A30" s="1372"/>
      <c r="B30" s="1372" t="s">
        <v>695</v>
      </c>
      <c r="C30" s="1372"/>
      <c r="D30" s="1372"/>
      <c r="E30" s="1372"/>
      <c r="F30" s="1372"/>
      <c r="G30" s="1415">
        <f t="shared" ref="G30:R30" si="6">G25/G26</f>
        <v>0.77710299414383466</v>
      </c>
      <c r="H30" s="1416">
        <f t="shared" si="6"/>
        <v>0.77094531943013089</v>
      </c>
      <c r="I30" s="1417">
        <f t="shared" si="6"/>
        <v>0.76466827061481879</v>
      </c>
      <c r="J30" s="1415">
        <f t="shared" si="6"/>
        <v>0.81336219367310203</v>
      </c>
      <c r="K30" s="1416">
        <f t="shared" si="6"/>
        <v>0.80795866208147715</v>
      </c>
      <c r="L30" s="1417">
        <f t="shared" si="6"/>
        <v>0.80243600098118506</v>
      </c>
      <c r="M30" s="1415">
        <f t="shared" si="6"/>
        <v>0.839475160751189</v>
      </c>
      <c r="N30" s="1416">
        <f t="shared" si="6"/>
        <v>0.83467398005748006</v>
      </c>
      <c r="O30" s="1417">
        <f t="shared" si="6"/>
        <v>0.82975770953319672</v>
      </c>
      <c r="P30" s="1416">
        <f t="shared" si="6"/>
        <v>0.85917793209923998</v>
      </c>
      <c r="Q30" s="1416">
        <f t="shared" si="6"/>
        <v>0.85486416432598045</v>
      </c>
      <c r="R30" s="1417">
        <f t="shared" si="6"/>
        <v>0.8504407057698341</v>
      </c>
    </row>
    <row r="31" spans="1:22" s="1364" customFormat="1" ht="12.75" customHeight="1">
      <c r="A31" s="1372" t="s">
        <v>689</v>
      </c>
      <c r="B31" s="1372" t="s">
        <v>696</v>
      </c>
      <c r="C31" s="1372"/>
      <c r="D31" s="1372"/>
      <c r="E31" s="1372"/>
      <c r="F31" s="1372"/>
      <c r="G31" s="1418">
        <f t="shared" ref="G31:R31" si="7">($N$10*G22*G23-$N$19)/($N$19+$N$10*G22)</f>
        <v>3.7084896026795648E-2</v>
      </c>
      <c r="H31" s="1419">
        <f t="shared" si="7"/>
        <v>5.5940985045464665E-2</v>
      </c>
      <c r="I31" s="1420">
        <f t="shared" si="7"/>
        <v>7.479707406413369E-2</v>
      </c>
      <c r="J31" s="1418">
        <f t="shared" si="7"/>
        <v>4.9085500267911412E-2</v>
      </c>
      <c r="K31" s="1419">
        <f t="shared" si="7"/>
        <v>6.8159782090964349E-2</v>
      </c>
      <c r="L31" s="1420">
        <f t="shared" si="7"/>
        <v>8.7234063914017307E-2</v>
      </c>
      <c r="M31" s="1418">
        <f t="shared" si="7"/>
        <v>5.724139675454968E-2</v>
      </c>
      <c r="N31" s="1419">
        <f t="shared" si="7"/>
        <v>7.6463967604632394E-2</v>
      </c>
      <c r="O31" s="1420">
        <f t="shared" si="7"/>
        <v>9.5686538454715114E-2</v>
      </c>
      <c r="P31" s="1419">
        <f t="shared" si="7"/>
        <v>6.3145111039651577E-2</v>
      </c>
      <c r="Q31" s="1419">
        <f t="shared" si="7"/>
        <v>8.2475022149463437E-2</v>
      </c>
      <c r="R31" s="1420">
        <f t="shared" si="7"/>
        <v>0.1018049332592753</v>
      </c>
    </row>
    <row r="32" spans="1:22" s="1364" customFormat="1" ht="12.75" customHeight="1">
      <c r="A32" s="1372"/>
      <c r="B32" s="1372"/>
      <c r="C32" s="1372"/>
      <c r="D32" s="1372"/>
      <c r="E32" s="1372"/>
      <c r="F32" s="1372"/>
      <c r="G32" s="1421"/>
      <c r="H32" s="1422"/>
      <c r="I32" s="1422"/>
      <c r="J32" s="1422"/>
      <c r="K32" s="1422"/>
      <c r="L32" s="1422"/>
      <c r="M32" s="1422"/>
      <c r="N32" s="1422"/>
      <c r="O32" s="1422"/>
      <c r="P32" s="1422"/>
      <c r="Q32" s="1422"/>
      <c r="R32" s="1422"/>
    </row>
    <row r="33" spans="1:18" s="1364" customFormat="1" ht="12.75" hidden="1" customHeight="1" outlineLevel="1">
      <c r="A33" s="1372"/>
      <c r="B33" s="1372"/>
      <c r="C33" s="1372"/>
      <c r="D33" s="1372"/>
      <c r="E33" s="1372"/>
      <c r="F33" s="1372"/>
      <c r="G33" s="1421"/>
      <c r="H33" s="1422"/>
      <c r="I33" s="1422"/>
      <c r="J33" s="1422"/>
      <c r="K33" s="1422"/>
      <c r="L33" s="1422"/>
      <c r="M33" s="1422"/>
      <c r="N33" s="1422"/>
      <c r="O33" s="1422"/>
      <c r="P33" s="1422"/>
      <c r="Q33" s="1422"/>
      <c r="R33" s="1422"/>
    </row>
    <row r="34" spans="1:18" s="1402" customFormat="1" ht="12.75" hidden="1" customHeight="1" outlineLevel="1">
      <c r="A34" s="1399"/>
      <c r="B34" s="1399" t="s">
        <v>697</v>
      </c>
      <c r="C34" s="1399"/>
      <c r="D34" s="1399"/>
      <c r="E34" s="1399"/>
      <c r="F34" s="1399"/>
      <c r="G34" s="1423">
        <f>+H34</f>
        <v>0.02</v>
      </c>
      <c r="H34" s="1424">
        <f>R8</f>
        <v>0.02</v>
      </c>
      <c r="I34" s="1423">
        <f>+H34</f>
        <v>0.02</v>
      </c>
      <c r="J34" s="1423">
        <f>+K34</f>
        <v>2.5000000000000001E-2</v>
      </c>
      <c r="K34" s="1424">
        <f>H34+$S$8</f>
        <v>2.5000000000000001E-2</v>
      </c>
      <c r="L34" s="1423">
        <f>+K34</f>
        <v>2.5000000000000001E-2</v>
      </c>
      <c r="M34" s="1423">
        <f>+N34</f>
        <v>3.0000000000000002E-2</v>
      </c>
      <c r="N34" s="1424">
        <f>K34+$S$8</f>
        <v>3.0000000000000002E-2</v>
      </c>
      <c r="O34" s="1423">
        <f>+N34</f>
        <v>3.0000000000000002E-2</v>
      </c>
      <c r="P34" s="1423">
        <f>+Q34</f>
        <v>3.5000000000000003E-2</v>
      </c>
      <c r="Q34" s="1424">
        <f>N34+$S$8</f>
        <v>3.5000000000000003E-2</v>
      </c>
      <c r="R34" s="1423">
        <f>+Q34</f>
        <v>3.5000000000000003E-2</v>
      </c>
    </row>
    <row r="35" spans="1:18" s="1364" customFormat="1" ht="12.75" hidden="1" customHeight="1" outlineLevel="1">
      <c r="A35" s="1372"/>
      <c r="B35" s="1372" t="s">
        <v>688</v>
      </c>
      <c r="C35" s="1372"/>
      <c r="D35" s="1372"/>
      <c r="E35" s="1372"/>
      <c r="F35" s="1372"/>
      <c r="G35" s="1403">
        <f t="shared" ref="G35:R35" si="8">G23</f>
        <v>0.1</v>
      </c>
      <c r="H35" s="1404">
        <f t="shared" si="8"/>
        <v>0.12000000000000001</v>
      </c>
      <c r="I35" s="1405">
        <f t="shared" si="8"/>
        <v>0.14000000000000001</v>
      </c>
      <c r="J35" s="1403">
        <f t="shared" si="8"/>
        <v>0.1</v>
      </c>
      <c r="K35" s="1404">
        <f t="shared" si="8"/>
        <v>0.12000000000000001</v>
      </c>
      <c r="L35" s="1405">
        <f t="shared" si="8"/>
        <v>0.14000000000000001</v>
      </c>
      <c r="M35" s="1403">
        <f t="shared" si="8"/>
        <v>0.1</v>
      </c>
      <c r="N35" s="1404">
        <f t="shared" si="8"/>
        <v>0.12000000000000001</v>
      </c>
      <c r="O35" s="1405">
        <f t="shared" si="8"/>
        <v>0.14000000000000001</v>
      </c>
      <c r="P35" s="1404">
        <f t="shared" si="8"/>
        <v>0.1</v>
      </c>
      <c r="Q35" s="1404">
        <f t="shared" si="8"/>
        <v>0.12000000000000001</v>
      </c>
      <c r="R35" s="1405">
        <f t="shared" si="8"/>
        <v>0.14000000000000001</v>
      </c>
    </row>
    <row r="36" spans="1:18" s="1364" customFormat="1" ht="12.75" hidden="1" customHeight="1" outlineLevel="1">
      <c r="A36" s="1372" t="s">
        <v>689</v>
      </c>
      <c r="B36" s="1372" t="s">
        <v>690</v>
      </c>
      <c r="C36" s="1372"/>
      <c r="D36" s="1372"/>
      <c r="E36" s="1372"/>
      <c r="F36" s="1372"/>
      <c r="G36" s="1406">
        <f t="shared" ref="G36:R36" si="9">XNPV(G35,$J$19:$N$19,$J$53:$N$53)/(1+G35)^$R$54</f>
        <v>104.27673690476459</v>
      </c>
      <c r="H36" s="1407">
        <f t="shared" si="9"/>
        <v>98.697876430815995</v>
      </c>
      <c r="I36" s="1408">
        <f t="shared" si="9"/>
        <v>93.567142715556557</v>
      </c>
      <c r="J36" s="1406">
        <f t="shared" si="9"/>
        <v>104.27673690476459</v>
      </c>
      <c r="K36" s="1407">
        <f t="shared" si="9"/>
        <v>98.697876430815995</v>
      </c>
      <c r="L36" s="1408">
        <f t="shared" si="9"/>
        <v>93.567142715556557</v>
      </c>
      <c r="M36" s="1406">
        <f t="shared" si="9"/>
        <v>104.27673690476459</v>
      </c>
      <c r="N36" s="1407">
        <f t="shared" si="9"/>
        <v>98.697876430815995</v>
      </c>
      <c r="O36" s="1408">
        <f t="shared" si="9"/>
        <v>93.567142715556557</v>
      </c>
      <c r="P36" s="1407">
        <f t="shared" si="9"/>
        <v>104.27673690476459</v>
      </c>
      <c r="Q36" s="1407">
        <f t="shared" si="9"/>
        <v>98.697876430815995</v>
      </c>
      <c r="R36" s="1408">
        <f t="shared" si="9"/>
        <v>93.567142715556557</v>
      </c>
    </row>
    <row r="37" spans="1:18" s="1364" customFormat="1" ht="12.75" hidden="1" customHeight="1" outlineLevel="1">
      <c r="A37" s="1372" t="s">
        <v>689</v>
      </c>
      <c r="B37" s="1372" t="s">
        <v>691</v>
      </c>
      <c r="C37" s="1372"/>
      <c r="D37" s="1372"/>
      <c r="E37" s="1372"/>
      <c r="F37" s="1372"/>
      <c r="G37" s="1409">
        <f t="shared" ref="G37:R37" si="10">(($N$19*(1+G34))/(G35-G34))/(1+G35)^($R$55)</f>
        <v>281.19822449245987</v>
      </c>
      <c r="H37" s="1410">
        <f t="shared" si="10"/>
        <v>205.55734282317141</v>
      </c>
      <c r="I37" s="1411">
        <f t="shared" si="10"/>
        <v>156.77452227745758</v>
      </c>
      <c r="J37" s="1409">
        <f t="shared" si="10"/>
        <v>301.41509030564322</v>
      </c>
      <c r="K37" s="1410">
        <f t="shared" si="10"/>
        <v>217.43681774380875</v>
      </c>
      <c r="L37" s="1411">
        <f t="shared" si="10"/>
        <v>164.39272156971251</v>
      </c>
      <c r="M37" s="1409">
        <f t="shared" si="10"/>
        <v>324.52007980642423</v>
      </c>
      <c r="N37" s="1410">
        <f t="shared" si="10"/>
        <v>230.63623432229471</v>
      </c>
      <c r="O37" s="1411">
        <f t="shared" si="10"/>
        <v>172.7034844339907</v>
      </c>
      <c r="P37" s="1410">
        <f t="shared" si="10"/>
        <v>351.17968307655616</v>
      </c>
      <c r="Q37" s="1410">
        <f t="shared" si="10"/>
        <v>245.38852343942602</v>
      </c>
      <c r="R37" s="1411">
        <f t="shared" si="10"/>
        <v>181.80574852343815</v>
      </c>
    </row>
    <row r="38" spans="1:18" s="1364" customFormat="1" ht="12.75" hidden="1" customHeight="1" outlineLevel="1">
      <c r="A38" s="1372"/>
      <c r="B38" s="1372" t="s">
        <v>692</v>
      </c>
      <c r="C38" s="1372"/>
      <c r="D38" s="1372"/>
      <c r="E38" s="1372"/>
      <c r="F38" s="1372"/>
      <c r="G38" s="1406">
        <f t="shared" ref="G38:R38" si="11">SUM(G36:G37)</f>
        <v>385.47496139722443</v>
      </c>
      <c r="H38" s="1407">
        <f t="shared" si="11"/>
        <v>304.25521925398743</v>
      </c>
      <c r="I38" s="1408">
        <f t="shared" si="11"/>
        <v>250.34166499301415</v>
      </c>
      <c r="J38" s="1406">
        <f t="shared" si="11"/>
        <v>405.69182721040784</v>
      </c>
      <c r="K38" s="1407">
        <f t="shared" si="11"/>
        <v>316.13469417462477</v>
      </c>
      <c r="L38" s="1408">
        <f t="shared" si="11"/>
        <v>257.95986428526908</v>
      </c>
      <c r="M38" s="1406">
        <f t="shared" si="11"/>
        <v>428.79681671118885</v>
      </c>
      <c r="N38" s="1407">
        <f t="shared" si="11"/>
        <v>329.33411075311074</v>
      </c>
      <c r="O38" s="1408">
        <f t="shared" si="11"/>
        <v>266.27062714954724</v>
      </c>
      <c r="P38" s="1407">
        <f t="shared" si="11"/>
        <v>455.45641998132078</v>
      </c>
      <c r="Q38" s="1407">
        <f t="shared" si="11"/>
        <v>344.08639987024202</v>
      </c>
      <c r="R38" s="1408">
        <f t="shared" si="11"/>
        <v>275.37289123899473</v>
      </c>
    </row>
    <row r="39" spans="1:18" s="1364" customFormat="1" ht="12.75" hidden="1" customHeight="1" outlineLevel="1">
      <c r="A39" s="1372"/>
      <c r="B39" s="1372" t="str">
        <f>+B27</f>
        <v>Plus: Net Cash (a)</v>
      </c>
      <c r="C39" s="1372"/>
      <c r="D39" s="1372"/>
      <c r="E39" s="1372"/>
      <c r="F39" s="1372"/>
      <c r="G39" s="1409">
        <f t="shared" ref="G39:R39" si="12">G27</f>
        <v>60.460976388888945</v>
      </c>
      <c r="H39" s="1410">
        <f t="shared" si="12"/>
        <v>60.460976388888945</v>
      </c>
      <c r="I39" s="1411">
        <f t="shared" si="12"/>
        <v>60.460976388888945</v>
      </c>
      <c r="J39" s="1409">
        <f t="shared" si="12"/>
        <v>60.460976388888945</v>
      </c>
      <c r="K39" s="1410">
        <f t="shared" si="12"/>
        <v>60.460976388888945</v>
      </c>
      <c r="L39" s="1411">
        <f t="shared" si="12"/>
        <v>60.460976388888945</v>
      </c>
      <c r="M39" s="1409">
        <f t="shared" si="12"/>
        <v>60.460976388888945</v>
      </c>
      <c r="N39" s="1410">
        <f t="shared" si="12"/>
        <v>60.460976388888945</v>
      </c>
      <c r="O39" s="1411">
        <f t="shared" si="12"/>
        <v>60.460976388888945</v>
      </c>
      <c r="P39" s="1410">
        <f t="shared" si="12"/>
        <v>60.460976388888945</v>
      </c>
      <c r="Q39" s="1410">
        <f t="shared" si="12"/>
        <v>60.460976388888945</v>
      </c>
      <c r="R39" s="1411">
        <f t="shared" si="12"/>
        <v>60.460976388888945</v>
      </c>
    </row>
    <row r="40" spans="1:18" s="1364" customFormat="1" ht="12.75" hidden="1" customHeight="1" outlineLevel="1">
      <c r="A40" s="1372"/>
      <c r="B40" s="1372" t="s">
        <v>693</v>
      </c>
      <c r="C40" s="1372"/>
      <c r="D40" s="1372"/>
      <c r="E40" s="1372"/>
      <c r="F40" s="1372"/>
      <c r="G40" s="1406">
        <f t="shared" ref="G40:R40" si="13">SUM(G38:G39)</f>
        <v>445.93593778611336</v>
      </c>
      <c r="H40" s="1407">
        <f t="shared" si="13"/>
        <v>364.71619564287636</v>
      </c>
      <c r="I40" s="1408">
        <f t="shared" si="13"/>
        <v>310.80264138190307</v>
      </c>
      <c r="J40" s="1406">
        <f t="shared" si="13"/>
        <v>466.15280359929676</v>
      </c>
      <c r="K40" s="1407">
        <f t="shared" si="13"/>
        <v>376.59567056351369</v>
      </c>
      <c r="L40" s="1408">
        <f t="shared" si="13"/>
        <v>318.420840674158</v>
      </c>
      <c r="M40" s="1406">
        <f t="shared" si="13"/>
        <v>489.25779310007778</v>
      </c>
      <c r="N40" s="1407">
        <f t="shared" si="13"/>
        <v>389.79508714199966</v>
      </c>
      <c r="O40" s="1408">
        <f t="shared" si="13"/>
        <v>326.73160353843616</v>
      </c>
      <c r="P40" s="1407">
        <f t="shared" si="13"/>
        <v>515.91739637020976</v>
      </c>
      <c r="Q40" s="1407">
        <f t="shared" si="13"/>
        <v>404.54737625913094</v>
      </c>
      <c r="R40" s="1408">
        <f t="shared" si="13"/>
        <v>335.83386762788365</v>
      </c>
    </row>
    <row r="41" spans="1:18" s="1402" customFormat="1" ht="18" hidden="1" customHeight="1" outlineLevel="1">
      <c r="A41" s="1399"/>
      <c r="B41" s="1399" t="s">
        <v>694</v>
      </c>
      <c r="C41" s="1399"/>
      <c r="D41" s="1399"/>
      <c r="E41" s="1399"/>
      <c r="F41" s="1399"/>
      <c r="G41" s="1412">
        <f t="shared" ref="G41:R41" ca="1" si="14">G40/G49</f>
        <v>36.098132004212815</v>
      </c>
      <c r="H41" s="1413">
        <f t="shared" ca="1" si="14"/>
        <v>29.631643509436735</v>
      </c>
      <c r="I41" s="1414">
        <f t="shared" ca="1" si="14"/>
        <v>25.339197250173413</v>
      </c>
      <c r="J41" s="1412">
        <f t="shared" ca="1" si="14"/>
        <v>37.707742263142549</v>
      </c>
      <c r="K41" s="1413">
        <f t="shared" ca="1" si="14"/>
        <v>30.577454046027796</v>
      </c>
      <c r="L41" s="1414">
        <f t="shared" ca="1" si="14"/>
        <v>25.945736950673801</v>
      </c>
      <c r="M41" s="1412">
        <f t="shared" ca="1" si="14"/>
        <v>39.54729684477654</v>
      </c>
      <c r="N41" s="1413">
        <f t="shared" ca="1" si="14"/>
        <v>31.628354642240083</v>
      </c>
      <c r="O41" s="1414">
        <f t="shared" ca="1" si="14"/>
        <v>26.607416623946953</v>
      </c>
      <c r="P41" s="1413">
        <f t="shared" ca="1" si="14"/>
        <v>41.669859823584986</v>
      </c>
      <c r="Q41" s="1413">
        <f t="shared" ca="1" si="14"/>
        <v>32.802890602712637</v>
      </c>
      <c r="R41" s="1414">
        <f t="shared" ca="1" si="14"/>
        <v>27.33211340896041</v>
      </c>
    </row>
    <row r="42" spans="1:18" s="1364" customFormat="1" ht="18" hidden="1" customHeight="1" outlineLevel="1">
      <c r="A42" s="1372"/>
      <c r="B42" s="1372" t="s">
        <v>695</v>
      </c>
      <c r="C42" s="1372"/>
      <c r="D42" s="1372"/>
      <c r="E42" s="1372"/>
      <c r="F42" s="1372"/>
      <c r="G42" s="1415">
        <f t="shared" ref="G42:R42" si="15">G37/G38</f>
        <v>0.72948505779261386</v>
      </c>
      <c r="H42" s="1416">
        <f t="shared" si="15"/>
        <v>0.67560827165819426</v>
      </c>
      <c r="I42" s="1417">
        <f t="shared" si="15"/>
        <v>0.62624222892275005</v>
      </c>
      <c r="J42" s="1415">
        <f t="shared" si="15"/>
        <v>0.74296564556948153</v>
      </c>
      <c r="K42" s="1416">
        <f t="shared" si="15"/>
        <v>0.68779802328086825</v>
      </c>
      <c r="L42" s="1417">
        <f t="shared" si="15"/>
        <v>0.63728022971789189</v>
      </c>
      <c r="M42" s="1415">
        <f t="shared" si="15"/>
        <v>0.75681550599057035</v>
      </c>
      <c r="N42" s="1416">
        <f t="shared" si="15"/>
        <v>0.70031079925150519</v>
      </c>
      <c r="O42" s="1417">
        <f t="shared" si="15"/>
        <v>0.64860133572673095</v>
      </c>
      <c r="P42" s="1416">
        <f t="shared" si="15"/>
        <v>0.77105002294392688</v>
      </c>
      <c r="Q42" s="1416">
        <f t="shared" si="15"/>
        <v>0.71315961203919764</v>
      </c>
      <c r="R42" s="1417">
        <f t="shared" si="15"/>
        <v>0.66021658016311369</v>
      </c>
    </row>
    <row r="43" spans="1:18" s="1364" customFormat="1" ht="12.75" hidden="1" customHeight="1" outlineLevel="1">
      <c r="A43" s="1372" t="s">
        <v>689</v>
      </c>
      <c r="B43" s="1372" t="s">
        <v>698</v>
      </c>
      <c r="C43" s="1372"/>
      <c r="D43" s="1372"/>
      <c r="E43" s="1372"/>
      <c r="F43" s="1372"/>
      <c r="G43" s="1425">
        <f t="shared" ref="G43:R43" si="16">(G37*((1+G35)^($R$55)))/$N$10</f>
        <v>6.1878643010350398</v>
      </c>
      <c r="H43" s="1426">
        <f t="shared" si="16"/>
        <v>4.9502914408280319</v>
      </c>
      <c r="I43" s="1427">
        <f t="shared" si="16"/>
        <v>4.1252428673566932</v>
      </c>
      <c r="J43" s="1425">
        <f t="shared" si="16"/>
        <v>6.6327434337891917</v>
      </c>
      <c r="K43" s="1426">
        <f t="shared" si="16"/>
        <v>5.2363763950967304</v>
      </c>
      <c r="L43" s="1427">
        <f t="shared" si="16"/>
        <v>4.3257022394277334</v>
      </c>
      <c r="M43" s="1425">
        <f t="shared" si="16"/>
        <v>7.1411767283653678</v>
      </c>
      <c r="N43" s="1426">
        <f t="shared" si="16"/>
        <v>5.5542485665063968</v>
      </c>
      <c r="O43" s="1427">
        <f t="shared" si="16"/>
        <v>4.5443851907779607</v>
      </c>
      <c r="P43" s="1426">
        <f t="shared" si="16"/>
        <v>7.7278305297994141</v>
      </c>
      <c r="Q43" s="1426">
        <f t="shared" si="16"/>
        <v>5.9095174639642583</v>
      </c>
      <c r="R43" s="1427">
        <f t="shared" si="16"/>
        <v>4.7838950898758279</v>
      </c>
    </row>
    <row r="44" spans="1:18" s="1364" customFormat="1" ht="12.75" customHeight="1" collapsed="1">
      <c r="A44" s="1372"/>
      <c r="B44" s="1372"/>
      <c r="C44" s="1372"/>
      <c r="D44" s="1372"/>
      <c r="E44" s="1372"/>
      <c r="F44" s="1372"/>
      <c r="G44" s="1421"/>
      <c r="H44" s="1422"/>
      <c r="I44" s="1422"/>
      <c r="J44" s="1422"/>
      <c r="K44" s="1422"/>
      <c r="L44" s="1422"/>
      <c r="M44" s="1422"/>
      <c r="N44" s="1422"/>
      <c r="O44" s="1422"/>
      <c r="P44" s="1422"/>
      <c r="Q44" s="1422"/>
      <c r="R44" s="1422"/>
    </row>
    <row r="45" spans="1:18" s="1364" customFormat="1" ht="12.75" customHeight="1">
      <c r="B45" s="1428" t="str">
        <f>"Note: Present values as of "&amp;TEXT($C$53,"mmmm d, yyyy.")</f>
        <v>Note: Present values as of December 31, 2019.</v>
      </c>
      <c r="C45" s="1429"/>
      <c r="D45" s="1429"/>
      <c r="E45" s="1429"/>
      <c r="F45" s="1429"/>
      <c r="G45" s="1429"/>
      <c r="H45" s="1429"/>
      <c r="I45" s="1429"/>
      <c r="J45" s="1429"/>
      <c r="K45" s="1429"/>
      <c r="L45" s="1429"/>
      <c r="M45" s="1429"/>
      <c r="N45" s="1429"/>
      <c r="O45" s="1429"/>
      <c r="P45" s="1430"/>
      <c r="Q45" s="1430"/>
      <c r="R45" s="1430"/>
    </row>
    <row r="46" spans="1:18" s="1364" customFormat="1" ht="12.75" customHeight="1">
      <c r="B46" s="1481" t="str">
        <f>"(a) "&amp;acqnetdebtfn</f>
        <v>(a) Net cash represents total cash less debt, minority interest and preferred stock as of March 31, 2019.</v>
      </c>
      <c r="C46" s="1431"/>
      <c r="D46" s="1431"/>
      <c r="E46" s="1431"/>
      <c r="F46" s="1431"/>
      <c r="G46" s="1431"/>
      <c r="H46" s="1431"/>
      <c r="I46" s="1431"/>
      <c r="J46" s="1431"/>
      <c r="K46" s="1431"/>
      <c r="L46" s="1431"/>
      <c r="M46" s="1431"/>
      <c r="N46" s="1431"/>
      <c r="O46" s="1431"/>
    </row>
    <row r="47" spans="1:18" s="1364" customFormat="1" ht="12.75" customHeight="1">
      <c r="A47" s="1372"/>
      <c r="B47" s="1372"/>
      <c r="C47" s="1372"/>
      <c r="D47" s="1372"/>
      <c r="E47" s="1372"/>
      <c r="F47" s="1372"/>
      <c r="G47" s="1432"/>
      <c r="H47" s="1432"/>
      <c r="I47" s="1432"/>
      <c r="J47" s="1432"/>
      <c r="K47" s="1432"/>
      <c r="L47" s="1432"/>
      <c r="M47" s="1432"/>
      <c r="N47" s="1432"/>
      <c r="O47" s="1432"/>
      <c r="P47" s="1432"/>
      <c r="Q47" s="1432"/>
      <c r="R47" s="1432"/>
    </row>
    <row r="48" spans="1:18" s="1364" customFormat="1" ht="12.75" customHeight="1">
      <c r="B48" s="1364" t="s">
        <v>699</v>
      </c>
      <c r="G48" s="1471">
        <f t="shared" ref="G48:R48" ca="1" si="17">ashares+G67</f>
        <v>12.385201831710843</v>
      </c>
      <c r="H48" s="1471">
        <f t="shared" ca="1" si="17"/>
        <v>12.372252229282759</v>
      </c>
      <c r="I48" s="1471">
        <f t="shared" ca="1" si="17"/>
        <v>12.358816728005673</v>
      </c>
      <c r="J48" s="1471">
        <f t="shared" ca="1" si="17"/>
        <v>12.410569107247028</v>
      </c>
      <c r="K48" s="1471">
        <f t="shared" ca="1" si="17"/>
        <v>12.399063555214891</v>
      </c>
      <c r="L48" s="1471">
        <f t="shared" ca="1" si="17"/>
        <v>12.387068442590785</v>
      </c>
      <c r="M48" s="1471">
        <f t="shared" ca="1" si="17"/>
        <v>12.429509925419058</v>
      </c>
      <c r="N48" s="1471">
        <f t="shared" ca="1" si="17"/>
        <v>12.419177310818444</v>
      </c>
      <c r="O48" s="1471">
        <f t="shared" ca="1" si="17"/>
        <v>12.408365580107775</v>
      </c>
      <c r="P48" s="1471">
        <f t="shared" ca="1" si="17"/>
        <v>12.444191813815207</v>
      </c>
      <c r="Q48" s="1471">
        <f t="shared" ca="1" si="17"/>
        <v>12.434824461763416</v>
      </c>
      <c r="R48" s="1471">
        <f t="shared" ca="1" si="17"/>
        <v>12.424994667272347</v>
      </c>
    </row>
    <row r="49" spans="1:21" s="1364" customFormat="1" ht="12.75" customHeight="1">
      <c r="B49" s="1364" t="s">
        <v>700</v>
      </c>
      <c r="G49" s="1471">
        <f t="shared" ref="G49:R49" ca="1" si="18">ashares+G79</f>
        <v>12.353435289506688</v>
      </c>
      <c r="H49" s="1471">
        <f t="shared" ca="1" si="18"/>
        <v>12.308335024573505</v>
      </c>
      <c r="I49" s="1471">
        <f t="shared" ca="1" si="18"/>
        <v>12.265686174402232</v>
      </c>
      <c r="J49" s="1471">
        <f t="shared" ca="1" si="18"/>
        <v>12.362257075649369</v>
      </c>
      <c r="K49" s="1471">
        <f t="shared" ca="1" si="18"/>
        <v>12.316122525983678</v>
      </c>
      <c r="L49" s="1471">
        <f t="shared" ca="1" si="18"/>
        <v>12.272568756844993</v>
      </c>
      <c r="M49" s="1471">
        <f t="shared" ca="1" si="18"/>
        <v>12.371459799652516</v>
      </c>
      <c r="N49" s="1471">
        <f t="shared" ca="1" si="18"/>
        <v>12.324229051783275</v>
      </c>
      <c r="O49" s="1471">
        <f t="shared" ca="1" si="18"/>
        <v>12.279719153357199</v>
      </c>
      <c r="P49" s="1471">
        <f t="shared" ca="1" si="18"/>
        <v>12.381068680202338</v>
      </c>
      <c r="Q49" s="1471">
        <f t="shared" ca="1" si="18"/>
        <v>12.332674615744898</v>
      </c>
      <c r="R49" s="1471">
        <f t="shared" ca="1" si="18"/>
        <v>12.287153305817387</v>
      </c>
    </row>
    <row r="50" spans="1:21" s="1364" customFormat="1" ht="12.75" customHeight="1">
      <c r="A50" s="1372"/>
      <c r="B50" s="1372"/>
      <c r="C50" s="1372"/>
      <c r="D50" s="1372"/>
      <c r="E50" s="1372"/>
      <c r="F50" s="1372"/>
      <c r="G50" s="1372"/>
      <c r="H50" s="1372"/>
      <c r="I50" s="1372"/>
      <c r="J50" s="1372"/>
      <c r="K50" s="1372"/>
      <c r="L50" s="1372"/>
      <c r="M50" s="1372"/>
      <c r="N50" s="1372"/>
      <c r="O50" s="1372"/>
      <c r="P50" s="1372"/>
      <c r="Q50" s="1372"/>
      <c r="R50" s="1372"/>
    </row>
    <row r="51" spans="1:21" s="1364" customFormat="1" ht="15.6" customHeight="1" thickBot="1">
      <c r="B51" s="1433" t="s">
        <v>701</v>
      </c>
      <c r="C51" s="1434"/>
      <c r="D51" s="1434"/>
      <c r="E51" s="1434"/>
      <c r="F51" s="1434"/>
      <c r="G51" s="1434"/>
      <c r="H51" s="1434"/>
      <c r="I51" s="1434"/>
      <c r="J51" s="1434"/>
      <c r="K51" s="1434"/>
      <c r="L51" s="1434"/>
      <c r="M51" s="1434"/>
      <c r="N51" s="1434"/>
      <c r="O51" s="1434"/>
      <c r="P51" s="1434"/>
      <c r="Q51" s="1434"/>
      <c r="R51" s="1434"/>
    </row>
    <row r="52" spans="1:21" s="1364" customFormat="1" ht="12.75" customHeight="1">
      <c r="B52" s="1435"/>
    </row>
    <row r="53" spans="1:21" s="1364" customFormat="1" ht="12.75" customHeight="1">
      <c r="B53" s="1436" t="s">
        <v>702</v>
      </c>
      <c r="C53" s="1482">
        <f>DATE(YEAR(afye)+1,MONTH(afye),DAY(afye))</f>
        <v>43830</v>
      </c>
      <c r="E53" s="1437">
        <v>1</v>
      </c>
      <c r="F53" s="1436" t="str">
        <f>INDEX(F54:F55,adiscconvention)</f>
        <v>End-of-Year Convention</v>
      </c>
      <c r="G53" s="1438"/>
      <c r="H53" s="1439"/>
      <c r="J53" s="1440">
        <f>INDEX(J54:J55,adiscconvention)</f>
        <v>44196</v>
      </c>
      <c r="K53" s="1441">
        <f>INDEX(K54:K55,adiscconvention)</f>
        <v>44561</v>
      </c>
      <c r="L53" s="1441">
        <f>INDEX(L54:L55,adiscconvention)</f>
        <v>44926</v>
      </c>
      <c r="M53" s="1441">
        <f>INDEX(M54:M55,adiscconvention)</f>
        <v>45291</v>
      </c>
      <c r="N53" s="1442">
        <f>INDEX(N54:N55,adiscconvention)</f>
        <v>45657</v>
      </c>
      <c r="O53"/>
      <c r="P53" s="1443" t="s">
        <v>703</v>
      </c>
      <c r="Q53" s="1430"/>
      <c r="R53" s="1444"/>
    </row>
    <row r="54" spans="1:21" s="1364" customFormat="1" ht="12.75" customHeight="1">
      <c r="E54" s="1445">
        <v>1</v>
      </c>
      <c r="F54" s="1364" t="s">
        <v>704</v>
      </c>
      <c r="J54" s="1483">
        <f>DATE(YEAR(afye)+2,MONTH(afye),DAY(afye))</f>
        <v>44196</v>
      </c>
      <c r="K54" s="1362">
        <f t="shared" ref="K54:N55" si="19">DATE(YEAR(J54)+1,MONTH(J54),DAY(J54))</f>
        <v>44561</v>
      </c>
      <c r="L54" s="1362">
        <f t="shared" si="19"/>
        <v>44926</v>
      </c>
      <c r="M54" s="1362">
        <f t="shared" si="19"/>
        <v>45291</v>
      </c>
      <c r="N54" s="1362">
        <f t="shared" si="19"/>
        <v>45657</v>
      </c>
      <c r="P54" s="1446" t="s">
        <v>705</v>
      </c>
      <c r="R54" s="1447">
        <f>+(J53-C53)/365</f>
        <v>1.0027397260273974</v>
      </c>
    </row>
    <row r="55" spans="1:21" s="1364" customFormat="1" ht="12.75" customHeight="1">
      <c r="E55" s="1445">
        <v>2</v>
      </c>
      <c r="F55" s="1364" t="s">
        <v>706</v>
      </c>
      <c r="J55" s="1483">
        <f>DATE(YEAR(afye)+1,MONTH(afye)+6,DAY(afye))</f>
        <v>44013</v>
      </c>
      <c r="K55" s="1362">
        <f t="shared" si="19"/>
        <v>44378</v>
      </c>
      <c r="L55" s="1362">
        <f t="shared" si="19"/>
        <v>44743</v>
      </c>
      <c r="M55" s="1362">
        <f t="shared" si="19"/>
        <v>45108</v>
      </c>
      <c r="N55" s="1362">
        <f t="shared" si="19"/>
        <v>45474</v>
      </c>
      <c r="P55" s="1448" t="s">
        <v>707</v>
      </c>
      <c r="Q55" s="1449"/>
      <c r="R55" s="1450">
        <f>+(MAX(J53:N53)-C53)/365</f>
        <v>5.0054794520547947</v>
      </c>
    </row>
    <row r="56" spans="1:21" s="1364" customFormat="1" ht="12.75" customHeight="1">
      <c r="B56" s="1431"/>
      <c r="C56" s="1451"/>
      <c r="D56" s="1451"/>
      <c r="E56" s="1451"/>
      <c r="F56" s="1451"/>
      <c r="P56" s="1372"/>
      <c r="R56" s="1452"/>
    </row>
    <row r="57" spans="1:21" s="1364" customFormat="1" ht="12.75" customHeight="1">
      <c r="A57" s="1372"/>
    </row>
    <row r="58" spans="1:21" s="1364" customFormat="1" ht="15.6" customHeight="1" thickBot="1">
      <c r="B58" s="1433" t="s">
        <v>708</v>
      </c>
      <c r="C58" s="1434"/>
      <c r="D58" s="1434"/>
      <c r="E58" s="1434"/>
      <c r="F58" s="1434"/>
      <c r="G58" s="1434"/>
      <c r="H58" s="1434"/>
      <c r="I58" s="1434"/>
      <c r="J58" s="1434"/>
      <c r="K58" s="1434"/>
      <c r="L58" s="1434"/>
      <c r="M58" s="1434"/>
      <c r="N58" s="1434"/>
      <c r="O58" s="1434"/>
      <c r="P58" s="1434"/>
      <c r="Q58" s="1434"/>
      <c r="R58" s="1434"/>
    </row>
    <row r="59" spans="1:21" s="1364" customFormat="1" ht="18" customHeight="1">
      <c r="B59" s="1453" t="s">
        <v>709</v>
      </c>
      <c r="C59" s="1454"/>
      <c r="D59" s="1451"/>
      <c r="E59" s="1451"/>
      <c r="F59" s="1451"/>
      <c r="G59" s="1455" t="s">
        <v>710</v>
      </c>
      <c r="H59" s="1456"/>
      <c r="I59" s="1449"/>
      <c r="J59" s="1449"/>
      <c r="K59" s="1449"/>
      <c r="L59" s="1449"/>
      <c r="M59" s="1449"/>
      <c r="N59" s="1449"/>
      <c r="O59" s="1449"/>
      <c r="P59" s="1449"/>
      <c r="Q59" s="1449"/>
      <c r="R59" s="1449"/>
    </row>
    <row r="60" spans="1:21" s="1364" customFormat="1" ht="12.75" customHeight="1">
      <c r="B60" s="1457" t="s">
        <v>171</v>
      </c>
      <c r="C60" s="1457" t="s">
        <v>248</v>
      </c>
      <c r="E60" s="1451"/>
      <c r="F60" s="1451"/>
      <c r="G60" s="1458">
        <f t="shared" ref="G60:R60" ca="1" si="20">G29</f>
        <v>42.654591943273829</v>
      </c>
      <c r="H60" s="1458">
        <f t="shared" ca="1" si="20"/>
        <v>39.714125813233906</v>
      </c>
      <c r="I60" s="1458">
        <f t="shared" ca="1" si="20"/>
        <v>37.063238917391331</v>
      </c>
      <c r="J60" s="1458">
        <f t="shared" ca="1" si="20"/>
        <v>49.890760782953855</v>
      </c>
      <c r="K60" s="1458">
        <f t="shared" ca="1" si="20"/>
        <v>46.326221433632917</v>
      </c>
      <c r="L60" s="1458">
        <f t="shared" ca="1" si="20"/>
        <v>43.114736477559674</v>
      </c>
      <c r="M60" s="1458">
        <f t="shared" ca="1" si="20"/>
        <v>57.12692962263386</v>
      </c>
      <c r="N60" s="1458">
        <f t="shared" ca="1" si="20"/>
        <v>52.93831705403192</v>
      </c>
      <c r="O60" s="1458">
        <f t="shared" ca="1" si="20"/>
        <v>49.16623403772801</v>
      </c>
      <c r="P60" s="1458">
        <f t="shared" ca="1" si="20"/>
        <v>64.363098462313886</v>
      </c>
      <c r="Q60" s="1458">
        <f t="shared" ca="1" si="20"/>
        <v>59.55041267443093</v>
      </c>
      <c r="R60" s="1458">
        <f t="shared" ca="1" si="20"/>
        <v>55.217731597896339</v>
      </c>
      <c r="T60" s="1458"/>
    </row>
    <row r="61" spans="1:21" s="1364" customFormat="1" ht="12.75" customHeight="1">
      <c r="B61" s="1484">
        <f>Inputs!B25</f>
        <v>1.2170000000000001</v>
      </c>
      <c r="C61" s="1485">
        <f>Inputs!C25</f>
        <v>6.13</v>
      </c>
      <c r="E61" s="1451"/>
      <c r="F61" s="1459"/>
      <c r="G61" s="1460">
        <f t="shared" ref="G61:R66" ca="1" si="21">IF($C61&lt;G$60,(G$60-$C61)*$B61/G$60,0)</f>
        <v>1.0421018317108437</v>
      </c>
      <c r="H61" s="1460">
        <f t="shared" ca="1" si="21"/>
        <v>1.0291522292827597</v>
      </c>
      <c r="I61" s="1460">
        <f t="shared" ca="1" si="21"/>
        <v>1.0157167280056731</v>
      </c>
      <c r="J61" s="1460">
        <f t="shared" ca="1" si="21"/>
        <v>1.067469107247029</v>
      </c>
      <c r="K61" s="1460">
        <f t="shared" ca="1" si="21"/>
        <v>1.0559635552148903</v>
      </c>
      <c r="L61" s="1460">
        <f t="shared" ca="1" si="21"/>
        <v>1.043968442590786</v>
      </c>
      <c r="M61" s="1460">
        <f t="shared" ca="1" si="21"/>
        <v>1.0864099254190578</v>
      </c>
      <c r="N61" s="1460">
        <f t="shared" ca="1" si="21"/>
        <v>1.0760773108184443</v>
      </c>
      <c r="O61" s="1460">
        <f t="shared" ca="1" si="21"/>
        <v>1.0652655801077755</v>
      </c>
      <c r="P61" s="1460">
        <f t="shared" ca="1" si="21"/>
        <v>1.1010918138152077</v>
      </c>
      <c r="Q61" s="1460">
        <f t="shared" ca="1" si="21"/>
        <v>1.0917244617634165</v>
      </c>
      <c r="R61" s="1460">
        <f t="shared" ca="1" si="21"/>
        <v>1.0818946672723475</v>
      </c>
      <c r="T61" s="1461"/>
      <c r="U61" s="1372"/>
    </row>
    <row r="62" spans="1:21" s="1364" customFormat="1" ht="12.75" customHeight="1">
      <c r="B62" s="1486">
        <f>Inputs!B26</f>
        <v>0</v>
      </c>
      <c r="C62" s="1487">
        <f>Inputs!C26</f>
        <v>0</v>
      </c>
      <c r="E62" s="1451"/>
      <c r="F62" s="1459"/>
      <c r="G62" s="1461">
        <f t="shared" ca="1" si="21"/>
        <v>0</v>
      </c>
      <c r="H62" s="1461">
        <f t="shared" ca="1" si="21"/>
        <v>0</v>
      </c>
      <c r="I62" s="1461">
        <f t="shared" ca="1" si="21"/>
        <v>0</v>
      </c>
      <c r="J62" s="1461">
        <f t="shared" ca="1" si="21"/>
        <v>0</v>
      </c>
      <c r="K62" s="1461">
        <f t="shared" ca="1" si="21"/>
        <v>0</v>
      </c>
      <c r="L62" s="1461">
        <f t="shared" ca="1" si="21"/>
        <v>0</v>
      </c>
      <c r="M62" s="1461">
        <f t="shared" ca="1" si="21"/>
        <v>0</v>
      </c>
      <c r="N62" s="1461">
        <f t="shared" ca="1" si="21"/>
        <v>0</v>
      </c>
      <c r="O62" s="1461">
        <f t="shared" ca="1" si="21"/>
        <v>0</v>
      </c>
      <c r="P62" s="1461">
        <f t="shared" ca="1" si="21"/>
        <v>0</v>
      </c>
      <c r="Q62" s="1461">
        <f t="shared" ca="1" si="21"/>
        <v>0</v>
      </c>
      <c r="R62" s="1461">
        <f t="shared" ca="1" si="21"/>
        <v>0</v>
      </c>
      <c r="T62" s="1461"/>
      <c r="U62" s="1372"/>
    </row>
    <row r="63" spans="1:21" s="1364" customFormat="1" ht="12.75" customHeight="1">
      <c r="B63" s="1486">
        <f>Inputs!B27</f>
        <v>0</v>
      </c>
      <c r="C63" s="1487">
        <f>Inputs!C27</f>
        <v>0</v>
      </c>
      <c r="E63" s="1451"/>
      <c r="F63" s="1459"/>
      <c r="G63" s="1461">
        <f t="shared" ca="1" si="21"/>
        <v>0</v>
      </c>
      <c r="H63" s="1461">
        <f t="shared" ca="1" si="21"/>
        <v>0</v>
      </c>
      <c r="I63" s="1461">
        <f t="shared" ca="1" si="21"/>
        <v>0</v>
      </c>
      <c r="J63" s="1461">
        <f t="shared" ca="1" si="21"/>
        <v>0</v>
      </c>
      <c r="K63" s="1461">
        <f t="shared" ca="1" si="21"/>
        <v>0</v>
      </c>
      <c r="L63" s="1461">
        <f t="shared" ca="1" si="21"/>
        <v>0</v>
      </c>
      <c r="M63" s="1461">
        <f t="shared" ca="1" si="21"/>
        <v>0</v>
      </c>
      <c r="N63" s="1461">
        <f t="shared" ca="1" si="21"/>
        <v>0</v>
      </c>
      <c r="O63" s="1461">
        <f t="shared" ca="1" si="21"/>
        <v>0</v>
      </c>
      <c r="P63" s="1461">
        <f t="shared" ca="1" si="21"/>
        <v>0</v>
      </c>
      <c r="Q63" s="1461">
        <f t="shared" ca="1" si="21"/>
        <v>0</v>
      </c>
      <c r="R63" s="1461">
        <f t="shared" ca="1" si="21"/>
        <v>0</v>
      </c>
      <c r="T63" s="1461"/>
      <c r="U63" s="1372"/>
    </row>
    <row r="64" spans="1:21" s="1364" customFormat="1" ht="12.75" customHeight="1">
      <c r="B64" s="1486">
        <f>Inputs!B28</f>
        <v>0</v>
      </c>
      <c r="C64" s="1487">
        <f>Inputs!C28</f>
        <v>0</v>
      </c>
      <c r="E64" s="1451"/>
      <c r="F64" s="1459"/>
      <c r="G64" s="1461">
        <f t="shared" ca="1" si="21"/>
        <v>0</v>
      </c>
      <c r="H64" s="1461">
        <f t="shared" ca="1" si="21"/>
        <v>0</v>
      </c>
      <c r="I64" s="1461">
        <f t="shared" ca="1" si="21"/>
        <v>0</v>
      </c>
      <c r="J64" s="1461">
        <f t="shared" ca="1" si="21"/>
        <v>0</v>
      </c>
      <c r="K64" s="1461">
        <f t="shared" ca="1" si="21"/>
        <v>0</v>
      </c>
      <c r="L64" s="1461">
        <f t="shared" ca="1" si="21"/>
        <v>0</v>
      </c>
      <c r="M64" s="1461">
        <f t="shared" ca="1" si="21"/>
        <v>0</v>
      </c>
      <c r="N64" s="1461">
        <f t="shared" ca="1" si="21"/>
        <v>0</v>
      </c>
      <c r="O64" s="1461">
        <f t="shared" ca="1" si="21"/>
        <v>0</v>
      </c>
      <c r="P64" s="1461">
        <f t="shared" ca="1" si="21"/>
        <v>0</v>
      </c>
      <c r="Q64" s="1461">
        <f t="shared" ca="1" si="21"/>
        <v>0</v>
      </c>
      <c r="R64" s="1461">
        <f t="shared" ca="1" si="21"/>
        <v>0</v>
      </c>
      <c r="T64" s="1461"/>
      <c r="U64" s="1372"/>
    </row>
    <row r="65" spans="1:21" s="1364" customFormat="1" ht="12.75" customHeight="1">
      <c r="B65" s="1486">
        <f>Inputs!B29</f>
        <v>0</v>
      </c>
      <c r="C65" s="1487">
        <f>Inputs!C29</f>
        <v>0</v>
      </c>
      <c r="E65" s="1451"/>
      <c r="F65" s="1459"/>
      <c r="G65" s="1461">
        <f t="shared" ca="1" si="21"/>
        <v>0</v>
      </c>
      <c r="H65" s="1461">
        <f t="shared" ca="1" si="21"/>
        <v>0</v>
      </c>
      <c r="I65" s="1461">
        <f t="shared" ca="1" si="21"/>
        <v>0</v>
      </c>
      <c r="J65" s="1461">
        <f t="shared" ca="1" si="21"/>
        <v>0</v>
      </c>
      <c r="K65" s="1461">
        <f t="shared" ca="1" si="21"/>
        <v>0</v>
      </c>
      <c r="L65" s="1461">
        <f t="shared" ca="1" si="21"/>
        <v>0</v>
      </c>
      <c r="M65" s="1461">
        <f t="shared" ca="1" si="21"/>
        <v>0</v>
      </c>
      <c r="N65" s="1461">
        <f t="shared" ca="1" si="21"/>
        <v>0</v>
      </c>
      <c r="O65" s="1461">
        <f t="shared" ca="1" si="21"/>
        <v>0</v>
      </c>
      <c r="P65" s="1461">
        <f t="shared" ca="1" si="21"/>
        <v>0</v>
      </c>
      <c r="Q65" s="1461">
        <f t="shared" ca="1" si="21"/>
        <v>0</v>
      </c>
      <c r="R65" s="1461">
        <f t="shared" ca="1" si="21"/>
        <v>0</v>
      </c>
      <c r="T65" s="1461"/>
      <c r="U65" s="1372"/>
    </row>
    <row r="66" spans="1:21" s="1364" customFormat="1" ht="12.75" customHeight="1">
      <c r="B66" s="1486">
        <f>Inputs!B30</f>
        <v>0</v>
      </c>
      <c r="C66" s="1487">
        <f>Inputs!C30</f>
        <v>0</v>
      </c>
      <c r="E66" s="1451"/>
      <c r="F66" s="1459"/>
      <c r="G66" s="1461">
        <f t="shared" ca="1" si="21"/>
        <v>0</v>
      </c>
      <c r="H66" s="1461">
        <f t="shared" ca="1" si="21"/>
        <v>0</v>
      </c>
      <c r="I66" s="1461">
        <f t="shared" ca="1" si="21"/>
        <v>0</v>
      </c>
      <c r="J66" s="1461">
        <f t="shared" ca="1" si="21"/>
        <v>0</v>
      </c>
      <c r="K66" s="1461">
        <f t="shared" ca="1" si="21"/>
        <v>0</v>
      </c>
      <c r="L66" s="1461">
        <f t="shared" ca="1" si="21"/>
        <v>0</v>
      </c>
      <c r="M66" s="1461">
        <f t="shared" ca="1" si="21"/>
        <v>0</v>
      </c>
      <c r="N66" s="1461">
        <f t="shared" ca="1" si="21"/>
        <v>0</v>
      </c>
      <c r="O66" s="1461">
        <f t="shared" ca="1" si="21"/>
        <v>0</v>
      </c>
      <c r="P66" s="1461">
        <f t="shared" ca="1" si="21"/>
        <v>0</v>
      </c>
      <c r="Q66" s="1461">
        <f t="shared" ca="1" si="21"/>
        <v>0</v>
      </c>
      <c r="R66" s="1461">
        <f t="shared" ca="1" si="21"/>
        <v>0</v>
      </c>
      <c r="T66" s="1461"/>
      <c r="U66" s="1372"/>
    </row>
    <row r="67" spans="1:21" s="1364" customFormat="1" ht="12.75" customHeight="1">
      <c r="B67" s="1460">
        <f>SUM(B61:B66)</f>
        <v>1.2170000000000001</v>
      </c>
      <c r="C67" s="1462">
        <f>SUMPRODUCT(B61:B66,C61:C66)/B67</f>
        <v>6.13</v>
      </c>
      <c r="E67" s="1451"/>
      <c r="F67" s="1451"/>
      <c r="G67" s="1460">
        <f t="shared" ref="G67:R67" ca="1" si="22">SUM(G61:G66)</f>
        <v>1.0421018317108437</v>
      </c>
      <c r="H67" s="1460">
        <f t="shared" ca="1" si="22"/>
        <v>1.0291522292827597</v>
      </c>
      <c r="I67" s="1460">
        <f t="shared" ca="1" si="22"/>
        <v>1.0157167280056731</v>
      </c>
      <c r="J67" s="1460">
        <f t="shared" ca="1" si="22"/>
        <v>1.067469107247029</v>
      </c>
      <c r="K67" s="1460">
        <f t="shared" ca="1" si="22"/>
        <v>1.0559635552148903</v>
      </c>
      <c r="L67" s="1460">
        <f t="shared" ca="1" si="22"/>
        <v>1.043968442590786</v>
      </c>
      <c r="M67" s="1460">
        <f t="shared" ca="1" si="22"/>
        <v>1.0864099254190578</v>
      </c>
      <c r="N67" s="1460">
        <f t="shared" ca="1" si="22"/>
        <v>1.0760773108184443</v>
      </c>
      <c r="O67" s="1460">
        <f t="shared" ca="1" si="22"/>
        <v>1.0652655801077755</v>
      </c>
      <c r="P67" s="1460">
        <f t="shared" ca="1" si="22"/>
        <v>1.1010918138152077</v>
      </c>
      <c r="Q67" s="1460">
        <f t="shared" ca="1" si="22"/>
        <v>1.0917244617634165</v>
      </c>
      <c r="R67" s="1460">
        <f t="shared" ca="1" si="22"/>
        <v>1.0818946672723475</v>
      </c>
      <c r="T67" s="1461"/>
      <c r="U67" s="1372"/>
    </row>
    <row r="68" spans="1:21" s="1364" customFormat="1" ht="12.75" customHeight="1">
      <c r="A68" s="1372"/>
      <c r="B68" s="1372"/>
      <c r="C68" s="1372"/>
      <c r="D68" s="1372"/>
      <c r="E68" s="1372"/>
      <c r="F68" s="1372"/>
      <c r="G68" s="1461"/>
      <c r="H68" s="1461"/>
      <c r="I68" s="1461"/>
      <c r="J68" s="1461"/>
      <c r="K68" s="1461"/>
      <c r="L68" s="1461"/>
      <c r="M68" s="1461"/>
      <c r="N68" s="1461"/>
      <c r="O68" s="1461"/>
      <c r="P68" s="1461"/>
      <c r="Q68" s="1461"/>
      <c r="R68" s="1461"/>
    </row>
    <row r="69" spans="1:21" s="1364" customFormat="1" ht="12.75" customHeight="1">
      <c r="A69" s="1372"/>
      <c r="B69" s="1372"/>
      <c r="C69" s="1372"/>
      <c r="D69" s="1372"/>
      <c r="E69" s="1372"/>
      <c r="F69" s="1372"/>
      <c r="G69" s="1461"/>
      <c r="H69" s="1461"/>
      <c r="I69" s="1461"/>
      <c r="J69" s="1461"/>
      <c r="K69" s="1461"/>
      <c r="L69" s="1461"/>
      <c r="M69" s="1461"/>
      <c r="N69" s="1461"/>
      <c r="O69" s="1461"/>
      <c r="P69" s="1461"/>
      <c r="Q69" s="1461"/>
      <c r="R69" s="1461"/>
    </row>
    <row r="70" spans="1:21" s="1364" customFormat="1" ht="15.6" customHeight="1" thickBot="1">
      <c r="B70" s="1433" t="s">
        <v>711</v>
      </c>
      <c r="C70" s="1434"/>
      <c r="D70" s="1434"/>
      <c r="E70" s="1434"/>
      <c r="F70" s="1434"/>
      <c r="G70" s="1434"/>
      <c r="H70" s="1434"/>
      <c r="I70" s="1434"/>
      <c r="J70" s="1434"/>
      <c r="K70" s="1434"/>
      <c r="L70" s="1434"/>
      <c r="M70" s="1434"/>
      <c r="N70" s="1434"/>
      <c r="O70" s="1434"/>
      <c r="P70" s="1434"/>
      <c r="Q70" s="1434"/>
      <c r="R70" s="1434"/>
    </row>
    <row r="71" spans="1:21" s="1364" customFormat="1" ht="18" customHeight="1">
      <c r="B71" s="1453" t="s">
        <v>709</v>
      </c>
      <c r="C71" s="1454"/>
      <c r="D71" s="1451"/>
      <c r="E71" s="1451"/>
      <c r="F71" s="1451"/>
      <c r="G71" s="1455" t="s">
        <v>710</v>
      </c>
      <c r="H71" s="1456"/>
      <c r="I71" s="1449"/>
      <c r="J71" s="1449"/>
      <c r="K71" s="1449"/>
      <c r="L71" s="1449"/>
      <c r="M71" s="1449"/>
      <c r="N71" s="1449"/>
      <c r="O71" s="1449"/>
      <c r="P71" s="1449"/>
      <c r="Q71" s="1449"/>
      <c r="R71" s="1449"/>
    </row>
    <row r="72" spans="1:21" s="1364" customFormat="1" ht="12.75" customHeight="1">
      <c r="B72" s="1457" t="s">
        <v>171</v>
      </c>
      <c r="C72" s="1457" t="s">
        <v>248</v>
      </c>
      <c r="E72" s="1451"/>
      <c r="F72" s="1451"/>
      <c r="G72" s="1458">
        <f t="shared" ref="G72:R72" ca="1" si="23">G41</f>
        <v>36.098132004212815</v>
      </c>
      <c r="H72" s="1458">
        <f t="shared" ca="1" si="23"/>
        <v>29.631643509436735</v>
      </c>
      <c r="I72" s="1458">
        <f t="shared" ca="1" si="23"/>
        <v>25.339197250173413</v>
      </c>
      <c r="J72" s="1458">
        <f t="shared" ca="1" si="23"/>
        <v>37.707742263142549</v>
      </c>
      <c r="K72" s="1458">
        <f t="shared" ca="1" si="23"/>
        <v>30.577454046027796</v>
      </c>
      <c r="L72" s="1458">
        <f t="shared" ca="1" si="23"/>
        <v>25.945736950673801</v>
      </c>
      <c r="M72" s="1458">
        <f t="shared" ca="1" si="23"/>
        <v>39.54729684477654</v>
      </c>
      <c r="N72" s="1458">
        <f t="shared" ca="1" si="23"/>
        <v>31.628354642240083</v>
      </c>
      <c r="O72" s="1458">
        <f t="shared" ca="1" si="23"/>
        <v>26.607416623946953</v>
      </c>
      <c r="P72" s="1458">
        <f t="shared" ca="1" si="23"/>
        <v>41.669859823584986</v>
      </c>
      <c r="Q72" s="1458">
        <f t="shared" ca="1" si="23"/>
        <v>32.802890602712637</v>
      </c>
      <c r="R72" s="1458">
        <f t="shared" ca="1" si="23"/>
        <v>27.33211340896041</v>
      </c>
      <c r="T72" s="1458"/>
    </row>
    <row r="73" spans="1:21" s="1364" customFormat="1" ht="12.75" customHeight="1">
      <c r="B73" s="1460">
        <f t="shared" ref="B73:C78" si="24">B61</f>
        <v>1.2170000000000001</v>
      </c>
      <c r="C73" s="1462">
        <f t="shared" si="24"/>
        <v>6.13</v>
      </c>
      <c r="E73" s="1451"/>
      <c r="F73" s="1459"/>
      <c r="G73" s="1460">
        <f t="shared" ref="G73:R78" ca="1" si="25">IF($C73&lt;G$72,(G$72-$C73)*$B73/G$72,0)</f>
        <v>1.0103352895066882</v>
      </c>
      <c r="H73" s="1460">
        <f t="shared" ca="1" si="25"/>
        <v>0.96523502457350507</v>
      </c>
      <c r="I73" s="1460">
        <f t="shared" ca="1" si="25"/>
        <v>0.92258617440223212</v>
      </c>
      <c r="J73" s="1460">
        <f t="shared" ca="1" si="25"/>
        <v>1.0191570756493691</v>
      </c>
      <c r="K73" s="1460">
        <f t="shared" ca="1" si="25"/>
        <v>0.973022525983679</v>
      </c>
      <c r="L73" s="1460">
        <f t="shared" ca="1" si="25"/>
        <v>0.92946875684499464</v>
      </c>
      <c r="M73" s="1460">
        <f t="shared" ca="1" si="25"/>
        <v>1.0283597996525176</v>
      </c>
      <c r="N73" s="1460">
        <f t="shared" ca="1" si="25"/>
        <v>0.98112905178327581</v>
      </c>
      <c r="O73" s="1460">
        <f t="shared" ca="1" si="25"/>
        <v>0.93661915335719848</v>
      </c>
      <c r="P73" s="1460">
        <f t="shared" ca="1" si="25"/>
        <v>1.0379686802023378</v>
      </c>
      <c r="Q73" s="1460">
        <f t="shared" ca="1" si="25"/>
        <v>0.98957461574489802</v>
      </c>
      <c r="R73" s="1460">
        <f t="shared" ca="1" si="25"/>
        <v>0.94405330581738756</v>
      </c>
      <c r="T73" s="1461"/>
      <c r="U73" s="1372"/>
    </row>
    <row r="74" spans="1:21" s="1364" customFormat="1" ht="12.75" customHeight="1">
      <c r="B74" s="1461">
        <f t="shared" si="24"/>
        <v>0</v>
      </c>
      <c r="C74" s="1463">
        <f t="shared" si="24"/>
        <v>0</v>
      </c>
      <c r="E74" s="1451"/>
      <c r="F74" s="1459"/>
      <c r="G74" s="1461">
        <f t="shared" ca="1" si="25"/>
        <v>0</v>
      </c>
      <c r="H74" s="1461">
        <f t="shared" ca="1" si="25"/>
        <v>0</v>
      </c>
      <c r="I74" s="1461">
        <f t="shared" ca="1" si="25"/>
        <v>0</v>
      </c>
      <c r="J74" s="1461">
        <f t="shared" ca="1" si="25"/>
        <v>0</v>
      </c>
      <c r="K74" s="1461">
        <f t="shared" ca="1" si="25"/>
        <v>0</v>
      </c>
      <c r="L74" s="1461">
        <f t="shared" ca="1" si="25"/>
        <v>0</v>
      </c>
      <c r="M74" s="1461">
        <f t="shared" ca="1" si="25"/>
        <v>0</v>
      </c>
      <c r="N74" s="1461">
        <f t="shared" ca="1" si="25"/>
        <v>0</v>
      </c>
      <c r="O74" s="1461">
        <f t="shared" ca="1" si="25"/>
        <v>0</v>
      </c>
      <c r="P74" s="1461">
        <f t="shared" ca="1" si="25"/>
        <v>0</v>
      </c>
      <c r="Q74" s="1461">
        <f t="shared" ca="1" si="25"/>
        <v>0</v>
      </c>
      <c r="R74" s="1461">
        <f t="shared" ca="1" si="25"/>
        <v>0</v>
      </c>
      <c r="T74" s="1461"/>
      <c r="U74" s="1372"/>
    </row>
    <row r="75" spans="1:21" s="1364" customFormat="1" ht="12.75" customHeight="1">
      <c r="B75" s="1461">
        <f t="shared" si="24"/>
        <v>0</v>
      </c>
      <c r="C75" s="1463">
        <f t="shared" si="24"/>
        <v>0</v>
      </c>
      <c r="E75" s="1451"/>
      <c r="F75" s="1459"/>
      <c r="G75" s="1461">
        <f t="shared" ca="1" si="25"/>
        <v>0</v>
      </c>
      <c r="H75" s="1461">
        <f t="shared" ca="1" si="25"/>
        <v>0</v>
      </c>
      <c r="I75" s="1461">
        <f t="shared" ca="1" si="25"/>
        <v>0</v>
      </c>
      <c r="J75" s="1461">
        <f t="shared" ca="1" si="25"/>
        <v>0</v>
      </c>
      <c r="K75" s="1461">
        <f t="shared" ca="1" si="25"/>
        <v>0</v>
      </c>
      <c r="L75" s="1461">
        <f t="shared" ca="1" si="25"/>
        <v>0</v>
      </c>
      <c r="M75" s="1461">
        <f t="shared" ca="1" si="25"/>
        <v>0</v>
      </c>
      <c r="N75" s="1461">
        <f t="shared" ca="1" si="25"/>
        <v>0</v>
      </c>
      <c r="O75" s="1461">
        <f t="shared" ca="1" si="25"/>
        <v>0</v>
      </c>
      <c r="P75" s="1461">
        <f t="shared" ca="1" si="25"/>
        <v>0</v>
      </c>
      <c r="Q75" s="1461">
        <f t="shared" ca="1" si="25"/>
        <v>0</v>
      </c>
      <c r="R75" s="1461">
        <f t="shared" ca="1" si="25"/>
        <v>0</v>
      </c>
      <c r="T75" s="1461"/>
      <c r="U75" s="1372"/>
    </row>
    <row r="76" spans="1:21" s="1364" customFormat="1" ht="12.75" customHeight="1">
      <c r="B76" s="1461">
        <f t="shared" si="24"/>
        <v>0</v>
      </c>
      <c r="C76" s="1463">
        <f t="shared" si="24"/>
        <v>0</v>
      </c>
      <c r="E76" s="1451"/>
      <c r="F76" s="1459"/>
      <c r="G76" s="1461">
        <f t="shared" ca="1" si="25"/>
        <v>0</v>
      </c>
      <c r="H76" s="1461">
        <f t="shared" ca="1" si="25"/>
        <v>0</v>
      </c>
      <c r="I76" s="1461">
        <f t="shared" ca="1" si="25"/>
        <v>0</v>
      </c>
      <c r="J76" s="1461">
        <f t="shared" ca="1" si="25"/>
        <v>0</v>
      </c>
      <c r="K76" s="1461">
        <f t="shared" ca="1" si="25"/>
        <v>0</v>
      </c>
      <c r="L76" s="1461">
        <f t="shared" ca="1" si="25"/>
        <v>0</v>
      </c>
      <c r="M76" s="1461">
        <f t="shared" ca="1" si="25"/>
        <v>0</v>
      </c>
      <c r="N76" s="1461">
        <f t="shared" ca="1" si="25"/>
        <v>0</v>
      </c>
      <c r="O76" s="1461">
        <f t="shared" ca="1" si="25"/>
        <v>0</v>
      </c>
      <c r="P76" s="1461">
        <f t="shared" ca="1" si="25"/>
        <v>0</v>
      </c>
      <c r="Q76" s="1461">
        <f t="shared" ca="1" si="25"/>
        <v>0</v>
      </c>
      <c r="R76" s="1461">
        <f t="shared" ca="1" si="25"/>
        <v>0</v>
      </c>
      <c r="T76" s="1461"/>
      <c r="U76" s="1372"/>
    </row>
    <row r="77" spans="1:21" s="1364" customFormat="1" ht="12.75" customHeight="1">
      <c r="B77" s="1461">
        <f t="shared" si="24"/>
        <v>0</v>
      </c>
      <c r="C77" s="1463">
        <f t="shared" si="24"/>
        <v>0</v>
      </c>
      <c r="E77" s="1451"/>
      <c r="F77" s="1459"/>
      <c r="G77" s="1461">
        <f t="shared" ca="1" si="25"/>
        <v>0</v>
      </c>
      <c r="H77" s="1461">
        <f t="shared" ca="1" si="25"/>
        <v>0</v>
      </c>
      <c r="I77" s="1461">
        <f t="shared" ca="1" si="25"/>
        <v>0</v>
      </c>
      <c r="J77" s="1461">
        <f t="shared" ca="1" si="25"/>
        <v>0</v>
      </c>
      <c r="K77" s="1461">
        <f t="shared" ca="1" si="25"/>
        <v>0</v>
      </c>
      <c r="L77" s="1461">
        <f t="shared" ca="1" si="25"/>
        <v>0</v>
      </c>
      <c r="M77" s="1461">
        <f t="shared" ca="1" si="25"/>
        <v>0</v>
      </c>
      <c r="N77" s="1461">
        <f t="shared" ca="1" si="25"/>
        <v>0</v>
      </c>
      <c r="O77" s="1461">
        <f t="shared" ca="1" si="25"/>
        <v>0</v>
      </c>
      <c r="P77" s="1461">
        <f t="shared" ca="1" si="25"/>
        <v>0</v>
      </c>
      <c r="Q77" s="1461">
        <f t="shared" ca="1" si="25"/>
        <v>0</v>
      </c>
      <c r="R77" s="1461">
        <f t="shared" ca="1" si="25"/>
        <v>0</v>
      </c>
      <c r="T77" s="1461"/>
      <c r="U77" s="1372"/>
    </row>
    <row r="78" spans="1:21" s="1364" customFormat="1" ht="12.75" customHeight="1">
      <c r="B78" s="1461">
        <f t="shared" si="24"/>
        <v>0</v>
      </c>
      <c r="C78" s="1463">
        <f t="shared" si="24"/>
        <v>0</v>
      </c>
      <c r="E78" s="1451"/>
      <c r="F78" s="1459"/>
      <c r="G78" s="1461">
        <f t="shared" ca="1" si="25"/>
        <v>0</v>
      </c>
      <c r="H78" s="1461">
        <f t="shared" ca="1" si="25"/>
        <v>0</v>
      </c>
      <c r="I78" s="1461">
        <f t="shared" ca="1" si="25"/>
        <v>0</v>
      </c>
      <c r="J78" s="1461">
        <f t="shared" ca="1" si="25"/>
        <v>0</v>
      </c>
      <c r="K78" s="1461">
        <f t="shared" ca="1" si="25"/>
        <v>0</v>
      </c>
      <c r="L78" s="1461">
        <f t="shared" ca="1" si="25"/>
        <v>0</v>
      </c>
      <c r="M78" s="1461">
        <f t="shared" ca="1" si="25"/>
        <v>0</v>
      </c>
      <c r="N78" s="1461">
        <f t="shared" ca="1" si="25"/>
        <v>0</v>
      </c>
      <c r="O78" s="1461">
        <f t="shared" ca="1" si="25"/>
        <v>0</v>
      </c>
      <c r="P78" s="1461">
        <f t="shared" ca="1" si="25"/>
        <v>0</v>
      </c>
      <c r="Q78" s="1461">
        <f t="shared" ca="1" si="25"/>
        <v>0</v>
      </c>
      <c r="R78" s="1461">
        <f t="shared" ca="1" si="25"/>
        <v>0</v>
      </c>
      <c r="T78" s="1461"/>
      <c r="U78" s="1372"/>
    </row>
    <row r="79" spans="1:21" s="1364" customFormat="1" ht="12.75" customHeight="1">
      <c r="B79" s="1460">
        <f>SUM(B73:B78)</f>
        <v>1.2170000000000001</v>
      </c>
      <c r="C79" s="1462">
        <f>SUMPRODUCT(B73:B78,C73:C78)/B79</f>
        <v>6.13</v>
      </c>
      <c r="E79" s="1451"/>
      <c r="F79" s="1451"/>
      <c r="G79" s="1460">
        <f t="shared" ref="G79:R79" ca="1" si="26">SUM(G73:G78)</f>
        <v>1.0103352895066882</v>
      </c>
      <c r="H79" s="1460">
        <f t="shared" ca="1" si="26"/>
        <v>0.96523502457350507</v>
      </c>
      <c r="I79" s="1460">
        <f t="shared" ca="1" si="26"/>
        <v>0.92258617440223212</v>
      </c>
      <c r="J79" s="1460">
        <f t="shared" ca="1" si="26"/>
        <v>1.0191570756493691</v>
      </c>
      <c r="K79" s="1460">
        <f t="shared" ca="1" si="26"/>
        <v>0.973022525983679</v>
      </c>
      <c r="L79" s="1460">
        <f t="shared" ca="1" si="26"/>
        <v>0.92946875684499464</v>
      </c>
      <c r="M79" s="1460">
        <f t="shared" ca="1" si="26"/>
        <v>1.0283597996525176</v>
      </c>
      <c r="N79" s="1460">
        <f t="shared" ca="1" si="26"/>
        <v>0.98112905178327581</v>
      </c>
      <c r="O79" s="1460">
        <f t="shared" ca="1" si="26"/>
        <v>0.93661915335719848</v>
      </c>
      <c r="P79" s="1460">
        <f t="shared" ca="1" si="26"/>
        <v>1.0379686802023378</v>
      </c>
      <c r="Q79" s="1460">
        <f t="shared" ca="1" si="26"/>
        <v>0.98957461574489802</v>
      </c>
      <c r="R79" s="1460">
        <f t="shared" ca="1" si="26"/>
        <v>0.94405330581738756</v>
      </c>
      <c r="T79" s="1461"/>
      <c r="U79" s="1372"/>
    </row>
    <row r="80" spans="1:21" s="1364" customFormat="1" ht="12.75" customHeight="1">
      <c r="A80" s="1372"/>
      <c r="B80" s="1372"/>
      <c r="C80" s="1372"/>
      <c r="D80" s="1372"/>
      <c r="E80" s="1372"/>
      <c r="F80" s="1372"/>
      <c r="G80" s="1461"/>
      <c r="H80" s="1461"/>
      <c r="I80" s="1461"/>
      <c r="J80" s="1461"/>
      <c r="K80" s="1461"/>
      <c r="L80" s="1461"/>
      <c r="M80" s="1461"/>
      <c r="N80" s="1461"/>
      <c r="O80" s="1461"/>
      <c r="P80" s="1461"/>
      <c r="Q80" s="1461"/>
      <c r="R80" s="1461"/>
    </row>
    <row r="81" spans="1:18" s="1364" customFormat="1" ht="12.75" customHeight="1">
      <c r="A81" s="1372"/>
      <c r="B81" s="1372"/>
      <c r="C81" s="1372"/>
      <c r="D81" s="1372"/>
      <c r="E81" s="1372"/>
      <c r="F81" s="1372"/>
      <c r="G81" s="1461"/>
      <c r="H81" s="1461"/>
      <c r="I81" s="1461"/>
      <c r="J81" s="1461"/>
      <c r="K81" s="1461"/>
      <c r="L81" s="1461"/>
      <c r="M81" s="1461"/>
      <c r="N81" s="1461"/>
      <c r="O81" s="1461"/>
      <c r="P81" s="1461"/>
      <c r="Q81" s="1461"/>
      <c r="R81" s="1461"/>
    </row>
    <row r="82" spans="1:18" s="1364" customFormat="1" ht="12.75" customHeight="1">
      <c r="A82" s="1372"/>
      <c r="B82" s="1372"/>
      <c r="C82" s="1372"/>
      <c r="D82" s="1372"/>
      <c r="E82" s="1372"/>
      <c r="F82" s="1372"/>
      <c r="G82" s="1372"/>
      <c r="H82" s="1372"/>
      <c r="I82" s="1372"/>
      <c r="J82" s="1372"/>
      <c r="K82" s="1372"/>
      <c r="L82" s="1372"/>
      <c r="M82" s="1372"/>
      <c r="N82" s="1372"/>
      <c r="O82" s="1372"/>
      <c r="P82" s="1372"/>
      <c r="Q82" s="1372"/>
      <c r="R82" s="1372"/>
    </row>
    <row r="83" spans="1:18" s="1364" customFormat="1" ht="12.75" customHeight="1">
      <c r="A83" s="1372"/>
      <c r="B83" s="1372"/>
      <c r="C83" s="1372"/>
      <c r="D83" s="1372"/>
      <c r="E83" s="1372"/>
      <c r="F83" s="1372"/>
      <c r="G83" s="1372"/>
      <c r="H83" s="1372"/>
      <c r="I83" s="1372"/>
      <c r="J83" s="1372"/>
      <c r="K83" s="1372"/>
      <c r="L83" s="1372"/>
      <c r="M83" s="1372"/>
      <c r="N83" s="1372"/>
      <c r="O83" s="1372"/>
      <c r="P83" s="1372"/>
      <c r="Q83" s="1372"/>
      <c r="R83" s="1372"/>
    </row>
    <row r="84" spans="1:18" s="1364" customFormat="1" ht="12.75" customHeight="1">
      <c r="A84" s="1372"/>
      <c r="B84" s="1372"/>
      <c r="C84" s="1372"/>
      <c r="D84" s="1372"/>
      <c r="E84" s="1372"/>
      <c r="F84" s="1372"/>
      <c r="G84" s="1372"/>
      <c r="H84" s="1372"/>
      <c r="I84" s="1372"/>
      <c r="J84" s="1372"/>
      <c r="K84" s="1372"/>
      <c r="L84" s="1372"/>
      <c r="M84" s="1372"/>
      <c r="N84" s="1372"/>
      <c r="O84" s="1372"/>
      <c r="P84" s="1372"/>
      <c r="Q84" s="1372"/>
      <c r="R84" s="1372"/>
    </row>
    <row r="85" spans="1:18" s="1364" customFormat="1" ht="12.75" customHeight="1">
      <c r="A85" s="1372"/>
      <c r="B85" s="1372"/>
      <c r="C85" s="1372"/>
      <c r="D85" s="1372"/>
      <c r="E85" s="1372"/>
      <c r="F85" s="1372"/>
      <c r="G85" s="1372"/>
      <c r="H85" s="1372"/>
      <c r="I85" s="1372"/>
      <c r="J85" s="1372"/>
      <c r="K85" s="1372"/>
      <c r="L85" s="1372"/>
      <c r="M85" s="1372"/>
      <c r="N85" s="1372"/>
      <c r="O85" s="1372"/>
      <c r="P85" s="1372"/>
      <c r="Q85" s="1372"/>
      <c r="R85" s="1372"/>
    </row>
    <row r="86" spans="1:18" s="1364" customFormat="1" ht="12.75" customHeight="1">
      <c r="A86" s="1372"/>
      <c r="B86" s="1372"/>
      <c r="C86" s="1372"/>
      <c r="D86" s="1372"/>
      <c r="E86" s="1372"/>
      <c r="F86" s="1372"/>
      <c r="G86" s="1372"/>
      <c r="H86" s="1372"/>
      <c r="I86" s="1372"/>
      <c r="J86" s="1372"/>
      <c r="K86" s="1372"/>
      <c r="L86" s="1372"/>
      <c r="M86" s="1372"/>
      <c r="N86" s="1372"/>
      <c r="O86" s="1372"/>
      <c r="P86" s="1372"/>
      <c r="Q86" s="1372"/>
      <c r="R86" s="1372"/>
    </row>
    <row r="87" spans="1:18" s="1364" customFormat="1" ht="12.75" customHeight="1">
      <c r="A87" s="1372"/>
      <c r="B87" s="1372"/>
      <c r="C87" s="1372"/>
      <c r="D87" s="1372"/>
      <c r="E87" s="1372"/>
      <c r="F87" s="1372"/>
      <c r="G87" s="1372"/>
      <c r="H87" s="1372"/>
      <c r="I87" s="1372"/>
      <c r="J87" s="1372"/>
      <c r="K87" s="1372"/>
      <c r="L87" s="1372"/>
      <c r="M87" s="1372"/>
      <c r="N87" s="1372"/>
      <c r="O87" s="1372"/>
      <c r="P87" s="1372"/>
      <c r="Q87" s="1372"/>
      <c r="R87" s="1372"/>
    </row>
    <row r="88" spans="1:18" s="1364" customFormat="1" ht="12.75" customHeight="1">
      <c r="A88" s="1372"/>
      <c r="B88" s="1372"/>
      <c r="C88" s="1372"/>
      <c r="D88" s="1372"/>
      <c r="E88" s="1372"/>
      <c r="F88" s="1372"/>
      <c r="G88" s="1372"/>
      <c r="H88" s="1372"/>
      <c r="I88" s="1372"/>
      <c r="J88" s="1372"/>
      <c r="K88" s="1372"/>
      <c r="L88" s="1372"/>
      <c r="M88" s="1372"/>
      <c r="N88" s="1372"/>
      <c r="O88" s="1372"/>
      <c r="P88" s="1372"/>
      <c r="Q88" s="1372"/>
      <c r="R88" s="1372"/>
    </row>
    <row r="89" spans="1:18" s="1364" customFormat="1" ht="12.75" customHeight="1">
      <c r="A89" s="1372"/>
      <c r="B89" s="1372"/>
      <c r="C89" s="1372"/>
      <c r="D89" s="1372"/>
      <c r="E89" s="1372"/>
      <c r="F89" s="1372"/>
      <c r="G89" s="1372"/>
      <c r="H89" s="1372"/>
      <c r="I89" s="1372"/>
      <c r="J89" s="1372"/>
      <c r="K89" s="1372"/>
      <c r="L89" s="1372"/>
      <c r="M89" s="1372"/>
      <c r="N89" s="1372"/>
      <c r="O89" s="1372"/>
      <c r="P89" s="1372"/>
      <c r="Q89" s="1372"/>
      <c r="R89" s="1372"/>
    </row>
    <row r="90" spans="1:18" s="1364" customFormat="1" ht="12.75" customHeight="1">
      <c r="A90" s="1372"/>
      <c r="B90" s="1372"/>
      <c r="C90" s="1372"/>
      <c r="D90" s="1372"/>
      <c r="E90" s="1372"/>
      <c r="F90" s="1372"/>
      <c r="G90" s="1372"/>
      <c r="H90" s="1372"/>
      <c r="I90" s="1372"/>
      <c r="J90" s="1372"/>
      <c r="K90" s="1372"/>
      <c r="L90" s="1372"/>
      <c r="M90" s="1372"/>
      <c r="N90" s="1372"/>
      <c r="O90" s="1372"/>
      <c r="P90" s="1372"/>
      <c r="Q90" s="1372"/>
      <c r="R90" s="1372"/>
    </row>
    <row r="91" spans="1:18" s="1364" customFormat="1" ht="12.75" customHeight="1">
      <c r="A91" s="1372"/>
      <c r="B91" s="1372"/>
      <c r="C91" s="1372"/>
      <c r="D91" s="1372"/>
      <c r="E91" s="1372"/>
      <c r="F91" s="1372"/>
      <c r="G91" s="1372"/>
      <c r="H91" s="1372"/>
      <c r="I91" s="1372"/>
      <c r="J91" s="1372"/>
      <c r="K91" s="1372"/>
      <c r="L91" s="1372"/>
      <c r="M91" s="1372"/>
      <c r="N91" s="1372"/>
      <c r="O91" s="1372"/>
      <c r="P91" s="1372"/>
      <c r="Q91" s="1372"/>
      <c r="R91" s="1372"/>
    </row>
    <row r="92" spans="1:18" s="1364" customFormat="1" ht="12.75" customHeight="1">
      <c r="A92" s="1372"/>
      <c r="B92" s="1372"/>
      <c r="C92" s="1372"/>
      <c r="D92" s="1372"/>
      <c r="E92" s="1372"/>
      <c r="F92" s="1372"/>
      <c r="G92" s="1372"/>
      <c r="H92" s="1372"/>
      <c r="I92" s="1372"/>
      <c r="J92" s="1372"/>
      <c r="K92" s="1372"/>
      <c r="L92" s="1372"/>
      <c r="M92" s="1372"/>
      <c r="N92" s="1372"/>
      <c r="O92" s="1372"/>
      <c r="P92" s="1372"/>
      <c r="Q92" s="1372"/>
      <c r="R92" s="1372"/>
    </row>
    <row r="93" spans="1:18" s="1364" customFormat="1" ht="12.75" customHeight="1">
      <c r="A93" s="1372"/>
      <c r="B93" s="1372"/>
      <c r="C93" s="1372"/>
      <c r="D93" s="1372"/>
      <c r="E93" s="1372"/>
      <c r="F93" s="1372"/>
      <c r="G93" s="1372"/>
      <c r="H93" s="1372"/>
      <c r="I93" s="1372"/>
      <c r="J93" s="1372"/>
      <c r="K93" s="1372"/>
      <c r="L93" s="1372"/>
      <c r="M93" s="1372"/>
      <c r="N93" s="1372"/>
      <c r="O93" s="1372"/>
      <c r="P93" s="1372"/>
      <c r="Q93" s="1372"/>
      <c r="R93" s="1372"/>
    </row>
    <row r="94" spans="1:18" s="1364" customFormat="1" ht="12.75" customHeight="1">
      <c r="A94" s="1372"/>
      <c r="B94" s="1372"/>
      <c r="C94" s="1372"/>
      <c r="D94" s="1372"/>
      <c r="E94" s="1372"/>
      <c r="F94" s="1372"/>
      <c r="G94" s="1372"/>
      <c r="H94" s="1372"/>
      <c r="I94" s="1372"/>
      <c r="J94" s="1372"/>
      <c r="K94" s="1372"/>
      <c r="L94" s="1372"/>
      <c r="M94" s="1372"/>
      <c r="N94" s="1372"/>
      <c r="O94" s="1372"/>
      <c r="P94" s="1372"/>
      <c r="Q94" s="1372"/>
      <c r="R94" s="1372"/>
    </row>
    <row r="95" spans="1:18" s="1364" customFormat="1" ht="12.75" customHeight="1">
      <c r="A95" s="1372"/>
      <c r="B95" s="1372"/>
      <c r="C95" s="1372"/>
      <c r="D95" s="1372"/>
      <c r="E95" s="1372"/>
      <c r="F95" s="1372"/>
      <c r="G95" s="1372"/>
      <c r="H95" s="1372"/>
      <c r="I95" s="1372"/>
      <c r="J95" s="1372"/>
      <c r="K95" s="1372"/>
      <c r="L95" s="1372"/>
      <c r="M95" s="1372"/>
      <c r="N95" s="1372"/>
      <c r="O95" s="1372"/>
      <c r="P95" s="1372"/>
      <c r="Q95" s="1372"/>
      <c r="R95" s="1372"/>
    </row>
    <row r="96" spans="1:18" s="1364" customFormat="1" ht="12.75" customHeight="1">
      <c r="A96" s="1372"/>
      <c r="B96" s="1372"/>
      <c r="C96" s="1372"/>
      <c r="D96" s="1372"/>
      <c r="E96" s="1372"/>
      <c r="F96" s="1372"/>
      <c r="G96" s="1372"/>
      <c r="H96" s="1372"/>
      <c r="I96" s="1372"/>
      <c r="J96" s="1372"/>
      <c r="K96" s="1372"/>
      <c r="L96" s="1372"/>
      <c r="M96" s="1372"/>
      <c r="N96" s="1372"/>
      <c r="O96" s="1372"/>
      <c r="P96" s="1372"/>
      <c r="Q96" s="1372"/>
      <c r="R96" s="1372"/>
    </row>
  </sheetData>
  <printOptions horizontalCentered="1"/>
  <pageMargins left="0.35" right="0.35" top="0.35" bottom="0.35" header="0.15" footer="0.15"/>
  <pageSetup scale="10" orientation="landscape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indexed="58"/>
  </sheetPr>
  <dimension ref="A1:S15"/>
  <sheetViews>
    <sheetView showGridLines="0" view="pageBreakPreview" zoomScaleNormal="85" workbookViewId="0"/>
  </sheetViews>
  <sheetFormatPr defaultRowHeight="12.75"/>
  <cols>
    <col min="1" max="1" width="2.83203125" style="3" customWidth="1"/>
    <col min="2" max="16" width="9.33203125" style="3"/>
    <col min="17" max="17" width="9.33203125" style="4"/>
    <col min="18" max="16384" width="9.33203125" style="3"/>
  </cols>
  <sheetData>
    <row r="1" spans="1:19">
      <c r="A1" s="2"/>
    </row>
    <row r="13" spans="1:19" ht="35.25">
      <c r="B13" s="5" t="str">
        <f>proj</f>
        <v>Project MODEL</v>
      </c>
    </row>
    <row r="14" spans="1:19" ht="25.5">
      <c r="B14" s="390" t="str">
        <f>tar&amp;" Historical and Projected Financials &amp; Analysis"</f>
        <v>SG ENTERPRISES Historical and Projected Financials &amp; Analysis</v>
      </c>
      <c r="C14" s="273"/>
      <c r="D14" s="273"/>
      <c r="E14" s="273"/>
      <c r="F14" s="273"/>
      <c r="G14" s="273"/>
      <c r="H14" s="273"/>
      <c r="I14" s="273"/>
      <c r="J14" s="273"/>
      <c r="K14" s="273"/>
      <c r="L14" s="273"/>
      <c r="M14" s="273"/>
      <c r="N14" s="273"/>
      <c r="O14" s="273"/>
      <c r="P14" s="273"/>
      <c r="Q14" s="7"/>
      <c r="R14" s="7"/>
      <c r="S14" s="7"/>
    </row>
    <row r="15" spans="1:19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"/>
    </row>
  </sheetData>
  <phoneticPr fontId="6" type="noConversion"/>
  <printOptions horizontalCentered="1"/>
  <pageMargins left="0.35" right="0.35" top="0.35" bottom="0.35" header="0.15" footer="0.15"/>
  <pageSetup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indexed="42"/>
  </sheetPr>
  <dimension ref="A1:T53"/>
  <sheetViews>
    <sheetView showGridLines="0" view="pageBreakPreview" zoomScale="85" zoomScaleNormal="100" zoomScaleSheetLayoutView="85" workbookViewId="0"/>
  </sheetViews>
  <sheetFormatPr defaultColWidth="10.33203125" defaultRowHeight="12.75"/>
  <cols>
    <col min="1" max="1" width="2.83203125" style="4" customWidth="1"/>
    <col min="2" max="5" width="11.1640625" style="3" customWidth="1"/>
    <col min="6" max="6" width="4.33203125" style="3" customWidth="1"/>
    <col min="7" max="8" width="11.1640625" style="3" customWidth="1"/>
    <col min="9" max="9" width="4.33203125" style="96" customWidth="1"/>
    <col min="10" max="10" width="11.1640625" style="3" customWidth="1"/>
    <col min="11" max="11" width="4.33203125" style="3" customWidth="1"/>
    <col min="12" max="15" width="11.1640625" style="3" customWidth="1"/>
    <col min="16" max="16" width="10.33203125" style="4"/>
    <col min="17" max="20" width="11.1640625" customWidth="1"/>
    <col min="21" max="16384" width="10.33203125" style="4"/>
  </cols>
  <sheetData>
    <row r="1" spans="1:20">
      <c r="A1" s="2"/>
    </row>
    <row r="2" spans="1:20" ht="23.25">
      <c r="B2" s="97" t="str">
        <f>proj</f>
        <v>Project MODEL</v>
      </c>
      <c r="C2" s="1301"/>
      <c r="D2" s="7"/>
      <c r="E2" s="7"/>
      <c r="F2" s="7"/>
      <c r="G2" s="7"/>
      <c r="H2" s="7"/>
      <c r="J2" s="7"/>
      <c r="K2" s="7"/>
      <c r="L2" s="7"/>
      <c r="M2" s="7"/>
      <c r="N2" s="7"/>
      <c r="O2" s="7"/>
      <c r="P2" s="7"/>
    </row>
    <row r="3" spans="1:20" s="276" customFormat="1" ht="20.100000000000001" customHeight="1">
      <c r="B3" s="384" t="str">
        <f>tar&amp;" - Summary Capitalization and Valuation Data"</f>
        <v>SG ENTERPRISES - Summary Capitalization and Valuation Data</v>
      </c>
      <c r="C3" s="392"/>
      <c r="D3" s="393"/>
      <c r="E3" s="393"/>
      <c r="F3" s="393"/>
      <c r="G3" s="393"/>
      <c r="H3" s="393"/>
      <c r="I3" s="394"/>
      <c r="J3" s="393"/>
      <c r="K3" s="393"/>
      <c r="L3" s="393"/>
      <c r="M3" s="393"/>
      <c r="N3" s="393"/>
      <c r="O3" s="393"/>
      <c r="Q3"/>
      <c r="R3"/>
      <c r="S3"/>
      <c r="T3"/>
    </row>
    <row r="4" spans="1:20" ht="12.75" customHeight="1">
      <c r="B4" s="100" t="s">
        <v>128</v>
      </c>
      <c r="C4" s="8"/>
      <c r="D4" s="8"/>
      <c r="E4" s="8"/>
      <c r="F4" s="8"/>
      <c r="G4" s="8"/>
      <c r="H4" s="8"/>
      <c r="J4" s="8"/>
      <c r="K4" s="8"/>
      <c r="L4" s="8"/>
      <c r="M4" s="8"/>
      <c r="N4" s="8"/>
      <c r="O4" s="8"/>
    </row>
    <row r="5" spans="1:20" ht="12.75" customHeight="1"/>
    <row r="6" spans="1:20" ht="15" customHeight="1">
      <c r="B6" s="166" t="s">
        <v>203</v>
      </c>
      <c r="C6" s="166"/>
      <c r="D6" s="166"/>
      <c r="E6" s="166"/>
      <c r="F6" s="101"/>
      <c r="G6" s="166" t="s">
        <v>599</v>
      </c>
      <c r="H6" s="166"/>
      <c r="I6" s="166"/>
      <c r="J6" s="166"/>
      <c r="K6" s="101"/>
      <c r="L6" s="166" t="s">
        <v>278</v>
      </c>
      <c r="M6" s="166"/>
      <c r="N6" s="166"/>
      <c r="O6" s="166"/>
    </row>
    <row r="7" spans="1:20">
      <c r="B7" s="102" t="s">
        <v>204</v>
      </c>
      <c r="E7" s="103" t="str">
        <f>Inputs!L10</f>
        <v>SG ENTERPRISES</v>
      </c>
      <c r="G7" s="3" t="s">
        <v>218</v>
      </c>
      <c r="I7" s="3"/>
      <c r="J7" s="95">
        <f>tfye</f>
        <v>43465</v>
      </c>
      <c r="O7" s="8" t="s">
        <v>205</v>
      </c>
    </row>
    <row r="8" spans="1:20">
      <c r="B8" s="102" t="s">
        <v>206</v>
      </c>
      <c r="E8" s="103" t="str">
        <f>Inputs!L11</f>
        <v>NASDAQ</v>
      </c>
      <c r="G8" s="3" t="s">
        <v>237</v>
      </c>
      <c r="I8" s="3"/>
      <c r="J8" s="95">
        <f>tltmdate</f>
        <v>43555</v>
      </c>
      <c r="L8" s="109"/>
      <c r="M8" s="109"/>
      <c r="N8" s="109"/>
      <c r="O8" s="106">
        <f>tltmdate</f>
        <v>43555</v>
      </c>
    </row>
    <row r="9" spans="1:20" ht="12.75" customHeight="1">
      <c r="B9" s="107" t="str">
        <f>"Stock Price as of "&amp;TEXT(tdate,"m/d/yy")</f>
        <v>Stock Price as of 5/8/19</v>
      </c>
      <c r="C9" s="109"/>
      <c r="D9" s="109"/>
      <c r="E9" s="108">
        <f>tprice</f>
        <v>25</v>
      </c>
      <c r="I9" s="3"/>
      <c r="J9" s="109"/>
      <c r="L9" s="109" t="str">
        <f>'Tar Sum Financials'!A43&amp;" (b)"</f>
        <v>Adjusted Debt / EBITDAR (b)</v>
      </c>
      <c r="M9" s="109"/>
      <c r="N9" s="109"/>
      <c r="O9" s="110">
        <f>'Tar Balance Sheet'!Q54</f>
        <v>1.2696508636530686</v>
      </c>
      <c r="P9" s="111"/>
    </row>
    <row r="10" spans="1:20">
      <c r="G10" s="3" t="s">
        <v>255</v>
      </c>
      <c r="I10" s="3"/>
      <c r="J10" s="113">
        <f>'Tar Income Statement'!S7</f>
        <v>50</v>
      </c>
      <c r="L10" s="109" t="str">
        <f>'Tar Sum Financials'!B44</f>
        <v>Total Debt / EBITDA</v>
      </c>
      <c r="M10" s="109"/>
      <c r="N10" s="109"/>
      <c r="O10" s="114">
        <f>'Tar Balance Sheet'!Q48</f>
        <v>0.69630693148281075</v>
      </c>
      <c r="P10" s="111"/>
    </row>
    <row r="11" spans="1:20">
      <c r="B11" s="3" t="s">
        <v>207</v>
      </c>
      <c r="E11" s="1"/>
      <c r="G11" s="3" t="s">
        <v>114</v>
      </c>
      <c r="I11" s="3"/>
      <c r="J11" s="115">
        <f>'Tar Income Statement'!S40</f>
        <v>14.471250000000001</v>
      </c>
      <c r="L11" s="109" t="str">
        <f>'Tar Sum Financials'!B45</f>
        <v>Net Debt / EBITDA</v>
      </c>
      <c r="M11" s="109"/>
      <c r="N11" s="109"/>
      <c r="O11" s="114" t="str">
        <f>'Tar Balance Sheet'!Q49</f>
        <v>NM</v>
      </c>
    </row>
    <row r="12" spans="1:20">
      <c r="C12" s="3" t="s">
        <v>179</v>
      </c>
      <c r="D12" s="116">
        <v>43470</v>
      </c>
      <c r="E12" s="117">
        <v>28.88</v>
      </c>
      <c r="G12" s="3" t="s">
        <v>176</v>
      </c>
      <c r="I12" s="3"/>
      <c r="J12" s="115">
        <f>'Tar Income Statement'!S41</f>
        <v>12.5</v>
      </c>
      <c r="L12" s="109" t="str">
        <f>'Tar Sum Financials'!B46</f>
        <v>EBITDA / Interest, Net</v>
      </c>
      <c r="M12" s="109"/>
      <c r="N12" s="109"/>
      <c r="O12" s="114">
        <f>'Tar Balance Sheet'!Q59</f>
        <v>30.764813710550143</v>
      </c>
    </row>
    <row r="13" spans="1:20">
      <c r="C13" s="118" t="s">
        <v>178</v>
      </c>
      <c r="D13" s="119">
        <v>43360</v>
      </c>
      <c r="E13" s="120">
        <v>15.5</v>
      </c>
      <c r="I13" s="3"/>
      <c r="J13" s="218"/>
    </row>
    <row r="14" spans="1:20">
      <c r="B14" s="3" t="s">
        <v>361</v>
      </c>
      <c r="D14" s="122"/>
      <c r="E14" s="123"/>
      <c r="G14" s="3" t="s">
        <v>113</v>
      </c>
      <c r="I14" s="3"/>
      <c r="J14" s="124">
        <f>'Tar Income Statement'!S44</f>
        <v>1.2716769372693728</v>
      </c>
      <c r="L14" s="3" t="s">
        <v>61</v>
      </c>
      <c r="O14" s="125">
        <f>'Tar Balance Sheet'!Q44</f>
        <v>0.20839142142352424</v>
      </c>
    </row>
    <row r="15" spans="1:20" ht="12.75" customHeight="1">
      <c r="C15" s="3" t="s">
        <v>179</v>
      </c>
      <c r="D15" s="116">
        <v>43470</v>
      </c>
      <c r="E15" s="117">
        <v>28.88</v>
      </c>
      <c r="G15" s="109" t="str">
        <f>"FY "&amp;(tfy+1)&amp;" EPS estimate (a)"</f>
        <v>FY 2019 EPS estimate (a)</v>
      </c>
      <c r="H15" s="109"/>
      <c r="I15" s="109"/>
      <c r="J15" s="126">
        <f>Inputs!M41</f>
        <v>1.98</v>
      </c>
      <c r="L15" s="3" t="s">
        <v>62</v>
      </c>
      <c r="O15" s="125" t="str">
        <f>'Tar Balance Sheet'!Q45</f>
        <v>NM</v>
      </c>
    </row>
    <row r="16" spans="1:20">
      <c r="C16" s="3" t="s">
        <v>178</v>
      </c>
      <c r="D16" s="116">
        <v>42465</v>
      </c>
      <c r="E16" s="120">
        <v>12.33</v>
      </c>
      <c r="G16" s="109" t="str">
        <f>"FY "&amp;(tfy+2)&amp;" EPS estimate (a)"</f>
        <v>FY 2020 EPS estimate (a)</v>
      </c>
      <c r="H16" s="109"/>
      <c r="I16" s="109"/>
      <c r="J16" s="126">
        <f>Inputs!N41</f>
        <v>2.1</v>
      </c>
      <c r="K16" s="118"/>
      <c r="L16" s="4"/>
      <c r="M16" s="4"/>
      <c r="N16" s="4"/>
      <c r="O16" s="4"/>
    </row>
    <row r="17" spans="2:15">
      <c r="G17" s="118" t="s">
        <v>636</v>
      </c>
      <c r="H17" s="118"/>
      <c r="I17" s="118"/>
      <c r="J17" s="127">
        <f>Inputs!L21</f>
        <v>0.15</v>
      </c>
      <c r="K17" s="4"/>
      <c r="L17" s="3" t="s">
        <v>363</v>
      </c>
      <c r="N17" s="3" t="s">
        <v>364</v>
      </c>
      <c r="O17" s="128" t="s">
        <v>672</v>
      </c>
    </row>
    <row r="18" spans="2:15">
      <c r="B18" s="4" t="s">
        <v>603</v>
      </c>
      <c r="C18" s="4"/>
      <c r="D18" s="4"/>
      <c r="E18" s="129">
        <v>0.9</v>
      </c>
      <c r="G18" s="4"/>
      <c r="H18" s="4"/>
      <c r="I18" s="4"/>
      <c r="J18" s="4"/>
      <c r="N18" s="3" t="s">
        <v>365</v>
      </c>
      <c r="O18" s="128" t="s">
        <v>673</v>
      </c>
    </row>
    <row r="19" spans="2:15">
      <c r="B19" s="3" t="s">
        <v>501</v>
      </c>
      <c r="D19" s="116"/>
      <c r="E19" s="129">
        <v>0.1</v>
      </c>
      <c r="G19" s="3" t="s">
        <v>209</v>
      </c>
      <c r="I19" s="3"/>
      <c r="J19" s="117">
        <v>0.04</v>
      </c>
      <c r="K19" s="102"/>
      <c r="O19" s="128"/>
    </row>
    <row r="20" spans="2:15">
      <c r="B20" s="3" t="s">
        <v>502</v>
      </c>
      <c r="D20" s="116"/>
      <c r="E20" s="131">
        <f>E19/E25</f>
        <v>1.4508208018686573E-2</v>
      </c>
      <c r="G20" s="3" t="s">
        <v>210</v>
      </c>
      <c r="I20" s="3"/>
      <c r="J20" s="132">
        <f>J19/E9</f>
        <v>1.6000000000000001E-3</v>
      </c>
      <c r="O20" s="128"/>
    </row>
    <row r="21" spans="2:15">
      <c r="D21" s="116"/>
      <c r="E21" s="131"/>
      <c r="G21" s="3" t="s">
        <v>211</v>
      </c>
      <c r="I21" s="3"/>
      <c r="J21" s="133">
        <f>IF(J14&lt;=0,"NM",J19/J14*100)</f>
        <v>3.1454529706177259</v>
      </c>
      <c r="O21" s="128"/>
    </row>
    <row r="22" spans="2:15">
      <c r="D22" s="134"/>
      <c r="E22" s="135"/>
      <c r="I22" s="3"/>
      <c r="J22" s="136"/>
    </row>
    <row r="23" spans="2:15" ht="15" customHeight="1">
      <c r="B23" s="166" t="s">
        <v>212</v>
      </c>
      <c r="C23" s="166"/>
      <c r="D23" s="166"/>
      <c r="E23" s="166"/>
      <c r="F23" s="101"/>
      <c r="G23" s="166" t="s">
        <v>213</v>
      </c>
      <c r="H23" s="166"/>
      <c r="I23" s="166"/>
      <c r="J23" s="166"/>
      <c r="K23" s="101"/>
      <c r="L23" s="166" t="s">
        <v>433</v>
      </c>
      <c r="M23" s="166"/>
      <c r="N23" s="166"/>
      <c r="O23" s="166"/>
    </row>
    <row r="24" spans="2:15">
      <c r="B24" s="137" t="str">
        <f>B9</f>
        <v>Stock Price as of 5/8/19</v>
      </c>
      <c r="E24" s="138">
        <f>E9</f>
        <v>25</v>
      </c>
      <c r="G24" s="139" t="s">
        <v>165</v>
      </c>
      <c r="N24" s="104" t="s">
        <v>223</v>
      </c>
      <c r="O24" s="104" t="s">
        <v>214</v>
      </c>
    </row>
    <row r="25" spans="2:15">
      <c r="B25" s="102" t="s">
        <v>215</v>
      </c>
      <c r="E25" s="140">
        <f>tshares</f>
        <v>6.8926499999999997</v>
      </c>
      <c r="G25" s="3" t="str">
        <f>G10</f>
        <v>LTM Net Sales</v>
      </c>
      <c r="J25" s="141">
        <f>$E$32/J10</f>
        <v>2.860390812499999</v>
      </c>
      <c r="N25" s="142" t="s">
        <v>106</v>
      </c>
      <c r="O25" s="142" t="s">
        <v>67</v>
      </c>
    </row>
    <row r="26" spans="2:15">
      <c r="B26" s="102" t="s">
        <v>216</v>
      </c>
      <c r="E26" s="143">
        <f>Inputs!P16</f>
        <v>0.02</v>
      </c>
      <c r="G26" s="3" t="str">
        <f>G11</f>
        <v>LTM EBITDA</v>
      </c>
      <c r="J26" s="144">
        <f>IF(J11&lt;=0,"NM",$E$32/J11)</f>
        <v>9.8830122225101462</v>
      </c>
      <c r="L26" s="1" t="s">
        <v>674</v>
      </c>
      <c r="N26" s="1352">
        <v>0.5</v>
      </c>
      <c r="O26" s="1348">
        <f>+N26/$N$30</f>
        <v>7.2463768115942032E-2</v>
      </c>
    </row>
    <row r="27" spans="2:15">
      <c r="B27" s="145" t="s">
        <v>145</v>
      </c>
      <c r="E27" s="146">
        <f>E24*(E25+E26)</f>
        <v>172.81624999999997</v>
      </c>
      <c r="G27" s="3" t="str">
        <f>G12</f>
        <v>LTM EBIT</v>
      </c>
      <c r="J27" s="144">
        <f>IF(J12&lt;=0,"NM",$E$32/J12)</f>
        <v>11.441563249999996</v>
      </c>
      <c r="L27" s="3" t="s">
        <v>224</v>
      </c>
      <c r="N27" s="920">
        <v>0.3</v>
      </c>
      <c r="O27" s="200">
        <f t="shared" ref="O27:O30" si="0">+N27/$N$30</f>
        <v>4.3478260869565216E-2</v>
      </c>
    </row>
    <row r="28" spans="2:15">
      <c r="B28" s="3" t="s">
        <v>239</v>
      </c>
      <c r="E28" s="140">
        <f>'Tar Balance Sheet'!Q33</f>
        <v>10.911999999999999</v>
      </c>
      <c r="J28" s="148"/>
      <c r="L28" s="3" t="s">
        <v>335</v>
      </c>
      <c r="N28" s="920">
        <v>4</v>
      </c>
      <c r="O28" s="200">
        <f t="shared" si="0"/>
        <v>0.57971014492753625</v>
      </c>
    </row>
    <row r="29" spans="2:15">
      <c r="B29" s="3" t="s">
        <v>240</v>
      </c>
      <c r="E29" s="140">
        <f>'Tar Balance Sheet'!Q26</f>
        <v>0.16</v>
      </c>
      <c r="G29" s="139" t="s">
        <v>219</v>
      </c>
      <c r="H29" s="149"/>
      <c r="J29" s="154"/>
      <c r="L29" s="102" t="s">
        <v>217</v>
      </c>
      <c r="N29" s="822">
        <f>+N30-N28-N27-N26</f>
        <v>2.1000000000000005</v>
      </c>
      <c r="O29" s="193">
        <f t="shared" si="0"/>
        <v>0.3043478260869566</v>
      </c>
    </row>
    <row r="30" spans="2:15">
      <c r="B30" s="3" t="s">
        <v>241</v>
      </c>
      <c r="E30" s="140">
        <f>'Tar Balance Sheet'!Q27</f>
        <v>0</v>
      </c>
      <c r="G30" s="3" t="str">
        <f>G15</f>
        <v>FY 2019 EPS estimate (a)</v>
      </c>
      <c r="J30" s="144">
        <f>IF(J15&lt;=0,"NM",$E$9/J15)</f>
        <v>12.626262626262626</v>
      </c>
      <c r="L30" s="151" t="s">
        <v>67</v>
      </c>
      <c r="N30" s="923">
        <v>6.9</v>
      </c>
      <c r="O30" s="1348">
        <f t="shared" si="0"/>
        <v>1</v>
      </c>
    </row>
    <row r="31" spans="2:15">
      <c r="B31" s="3" t="s">
        <v>242</v>
      </c>
      <c r="E31" s="143">
        <f>-'Tar Balance Sheet'!Q8</f>
        <v>-40.868709375000002</v>
      </c>
      <c r="G31" s="3" t="str">
        <f>G16</f>
        <v>FY 2020 EPS estimate (a)</v>
      </c>
      <c r="J31" s="144">
        <f>IF(J16&lt;=0,"NM",$E$9/J16)</f>
        <v>11.904761904761905</v>
      </c>
    </row>
    <row r="32" spans="2:15">
      <c r="B32" s="151" t="s">
        <v>23</v>
      </c>
      <c r="E32" s="153">
        <f>SUM(E27:E31)</f>
        <v>143.01954062499996</v>
      </c>
      <c r="J32" s="148"/>
    </row>
    <row r="33" spans="2:15">
      <c r="G33" s="139" t="s">
        <v>434</v>
      </c>
      <c r="H33" s="149"/>
      <c r="J33" s="154"/>
    </row>
    <row r="34" spans="2:15">
      <c r="G34" s="3" t="str">
        <f>G$15</f>
        <v>FY 2019 EPS estimate (a)</v>
      </c>
      <c r="J34" s="144">
        <f>IF(J30="NM","NM",J30/(J$17*100))</f>
        <v>0.84175084175084181</v>
      </c>
    </row>
    <row r="35" spans="2:15">
      <c r="G35" s="3" t="str">
        <f>G$16</f>
        <v>FY 2020 EPS estimate (a)</v>
      </c>
      <c r="J35" s="144">
        <f>IF(J31="NM","NM",J31/(J$17*100))</f>
        <v>0.79365079365079372</v>
      </c>
    </row>
    <row r="36" spans="2:1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</row>
    <row r="37" spans="2:15" ht="13.5">
      <c r="B37" s="155" t="str">
        <f>"(a) Source: Mean of Wall Street analysts' estimates as reported by ThomsonONE on "&amp;TEXT(tdate,"mmmm d, yyyy")&amp;"."</f>
        <v>(a) Source: Mean of Wall Street analysts' estimates as reported by ThomsonONE on May 8, 2019.</v>
      </c>
      <c r="C37" s="156"/>
      <c r="D37" s="156"/>
      <c r="E37" s="156"/>
      <c r="F37" s="156"/>
      <c r="G37" s="156"/>
      <c r="H37" s="156"/>
      <c r="I37" s="4"/>
      <c r="J37" s="156"/>
      <c r="K37" s="156"/>
      <c r="L37" s="156"/>
      <c r="M37" s="156"/>
      <c r="N37" s="156"/>
      <c r="O37" s="156"/>
    </row>
    <row r="38" spans="2:15" ht="13.5">
      <c r="B38" s="158" t="str">
        <f>'Acq Spread Cover'!B38</f>
        <v>(b) Assumes 8.0x rent methodology.</v>
      </c>
      <c r="I38" s="4"/>
    </row>
    <row r="39" spans="2:15" ht="13.5">
      <c r="B39" s="158" t="str">
        <f>"(c) Shares outstanding as of "&amp;TEXT(Inputs!L17,"mmmm d, yyyy")&amp;". Source: Company's "&amp;IF(tquarter&lt;&gt;4,"Form 10-Q for the period ended "&amp;TEXT(tltmdate,"mmmm d, yyyy")&amp;".",YEAR(tfye)&amp;" Form 10-K.")</f>
        <v>(c) Shares outstanding as of March 1, 2019. Source: Company's Form 10-Q for the period ended March 31, 2019.</v>
      </c>
      <c r="I39" s="4"/>
    </row>
    <row r="40" spans="2:15" ht="13.5">
      <c r="B40" s="158" t="str">
        <f>"(d) Assumes the treasury stock method with "&amp;FIXED(toptions,1)&amp;" million in-the-money options outstanding at a weighted average exercise price of $"&amp;FIXED(texercise,2)&amp;" per share."</f>
        <v>(d) Assumes the treasury stock method with 0.1 million in-the-money options outstanding at a weighted average exercise price of $20.00 per share.</v>
      </c>
      <c r="I40" s="4"/>
    </row>
    <row r="41" spans="2:15" ht="13.5">
      <c r="B41" s="159" t="str">
        <f>"(e) Includes exercisable options held by directors and executive officers. Source: Company's Proxy Statement dated "&amp;TEXT(Inputs!L18,"mmmm d, yyyy")&amp;" and Bloomberg."</f>
        <v>(e) Includes exercisable options held by directors and executive officers. Source: Company's Proxy Statement dated March 1, 2019 and Bloomberg.</v>
      </c>
      <c r="I41" s="4"/>
    </row>
    <row r="42" spans="2:15">
      <c r="B42" s="160"/>
      <c r="I42" s="4"/>
    </row>
    <row r="43" spans="2:15">
      <c r="B43" s="160" t="str">
        <f>tar&amp;" Net Debt"</f>
        <v>SG ENTERPRISES Net Debt</v>
      </c>
      <c r="E43" s="161">
        <f>SUM(E28:E31)</f>
        <v>-29.796709375000002</v>
      </c>
      <c r="G43" s="162" t="s">
        <v>623</v>
      </c>
      <c r="I43" s="4"/>
    </row>
    <row r="44" spans="2:15">
      <c r="B44" s="160"/>
      <c r="I44" s="4"/>
    </row>
    <row r="45" spans="2:15" ht="13.5">
      <c r="B45" s="163" t="str">
        <f>IF(tarnetdebt&gt;=0,"Net debt represents total debt"&amp;IF(AND(E29=0,E30=0),"",IF(AND(E29=0,E30&lt;&gt;0)," and preferred stock",IF(AND(E29&lt;&gt;0,E30=0)," and minority interest",", minority interest and preferred stock")))&amp;" less cash as of "&amp;TEXT(tltmdate,"mmmm d, yyyy")&amp;".","Net cash represents total cash less debt"&amp;IF(AND(E29=0,E30=0),"",IF(AND(E29=0,E30&lt;&gt;0)," and preferred stock",IF(AND(E29&lt;&gt;0,E30=0)," and minority interest",", minority interest and preferred stock")))&amp;" as of "&amp;TEXT(tltmdate,"mmmm d, yyyy")&amp;".")</f>
        <v>Net cash represents total cash less debt and minority interest as of March 31, 2019.</v>
      </c>
      <c r="I45" s="4"/>
    </row>
    <row r="46" spans="2:15">
      <c r="B46" s="160"/>
      <c r="I46" s="4"/>
    </row>
    <row r="48" spans="2:15">
      <c r="I48" s="4"/>
    </row>
    <row r="51" spans="9:10">
      <c r="I51" s="4"/>
      <c r="J51" s="164"/>
    </row>
    <row r="52" spans="9:10">
      <c r="I52" s="4"/>
      <c r="J52" s="165"/>
    </row>
    <row r="53" spans="9:10">
      <c r="I53" s="4"/>
      <c r="J53" s="165"/>
    </row>
  </sheetData>
  <customSheetViews>
    <customSheetView guid="{9AE38660-BF5A-49A3-9FC0-AD5890AFC019}" showPageBreaks="1" showGridLines="0" printArea="1" view="pageBreakPreview" showRuler="0">
      <selection activeCell="B2" sqref="B2"/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indexed="42"/>
  </sheetPr>
  <dimension ref="A1:V135"/>
  <sheetViews>
    <sheetView showGridLines="0" view="pageBreakPreview" zoomScaleNormal="100" zoomScaleSheetLayoutView="100" workbookViewId="0"/>
  </sheetViews>
  <sheetFormatPr defaultColWidth="10.33203125" defaultRowHeight="12.75" outlineLevelRow="1" outlineLevelCol="1"/>
  <cols>
    <col min="1" max="1" width="2.83203125" style="4" customWidth="1"/>
    <col min="2" max="6" width="10.83203125" style="3" customWidth="1"/>
    <col min="7" max="7" width="11.83203125" style="3" hidden="1" customWidth="1" outlineLevel="1"/>
    <col min="8" max="8" width="11.83203125" style="3" customWidth="1" collapsed="1"/>
    <col min="9" max="12" width="11.83203125" style="3" customWidth="1"/>
    <col min="13" max="13" width="2.83203125" style="3" customWidth="1"/>
    <col min="14" max="14" width="11.83203125" style="3" hidden="1" customWidth="1" outlineLevel="1"/>
    <col min="15" max="15" width="11.83203125" style="3" customWidth="1" collapsed="1"/>
    <col min="16" max="16" width="11.83203125" style="3" customWidth="1"/>
    <col min="17" max="17" width="2.83203125" style="3" customWidth="1"/>
    <col min="18" max="18" width="11.83203125" style="3" hidden="1" customWidth="1" outlineLevel="1"/>
    <col min="19" max="19" width="11.83203125" style="3" customWidth="1" collapsed="1"/>
    <col min="20" max="20" width="2.83203125" style="3" customWidth="1"/>
    <col min="21" max="21" width="11.83203125" style="3" customWidth="1"/>
    <col min="22" max="22" width="2.83203125" style="4" customWidth="1"/>
    <col min="23" max="16384" width="10.33203125" style="4"/>
  </cols>
  <sheetData>
    <row r="1" spans="1:21">
      <c r="A1" s="2"/>
    </row>
    <row r="2" spans="1:21" s="279" customFormat="1" ht="23.25">
      <c r="A2" s="4"/>
      <c r="B2" s="97" t="str">
        <f>proj</f>
        <v>Project MODEL</v>
      </c>
      <c r="C2" s="7"/>
      <c r="D2" s="7"/>
      <c r="E2" s="7"/>
      <c r="F2" s="7"/>
      <c r="P2" s="175"/>
    </row>
    <row r="3" spans="1:21" s="1314" customFormat="1" ht="20.100000000000001" customHeight="1" thickBot="1">
      <c r="A3" s="276"/>
      <c r="B3" s="98" t="str">
        <f>tar&amp;" - Income Statement"</f>
        <v>SG ENTERPRISES - Income Statement</v>
      </c>
      <c r="C3" s="395"/>
      <c r="D3" s="395"/>
      <c r="E3" s="395"/>
      <c r="F3" s="395"/>
      <c r="G3" s="626"/>
      <c r="H3" s="626"/>
      <c r="I3" s="626"/>
      <c r="J3" s="626"/>
      <c r="K3" s="626"/>
      <c r="L3" s="626"/>
      <c r="M3" s="626"/>
      <c r="N3" s="626"/>
      <c r="O3" s="626"/>
      <c r="P3" s="626"/>
      <c r="Q3" s="626"/>
      <c r="R3" s="626"/>
      <c r="S3" s="626"/>
      <c r="T3" s="626"/>
      <c r="U3" s="626"/>
    </row>
    <row r="4" spans="1:21" ht="12.75" customHeight="1">
      <c r="B4" s="176" t="str">
        <f>'Tar Spread Cover'!B4</f>
        <v>(Amounts in Millions, Except Per Share Data)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1:21" ht="12.75" customHeight="1">
      <c r="G5" s="178"/>
      <c r="H5" s="280" t="str">
        <f>"Fiscal Year Ended "&amp;TEXT(tfye,"mmmm d,")</f>
        <v>Fiscal Year Ended December 31,</v>
      </c>
      <c r="I5" s="280"/>
      <c r="J5" s="280"/>
      <c r="K5" s="280"/>
      <c r="L5" s="280"/>
      <c r="M5" s="179"/>
      <c r="N5" s="178"/>
      <c r="O5" s="280" t="str">
        <f>CHOOSE(tquarter,"Three","Six","Nine","")&amp;" Months Ended"</f>
        <v>Three Months Ended</v>
      </c>
      <c r="P5" s="280"/>
      <c r="R5" s="178"/>
      <c r="S5" s="280" t="s">
        <v>116</v>
      </c>
      <c r="U5" s="280" t="s">
        <v>183</v>
      </c>
    </row>
    <row r="6" spans="1:21" ht="15" customHeight="1">
      <c r="B6" s="139" t="s">
        <v>606</v>
      </c>
      <c r="G6" s="7">
        <f>H6-1</f>
        <v>2013</v>
      </c>
      <c r="H6" s="7">
        <f>I6-1</f>
        <v>2014</v>
      </c>
      <c r="I6" s="7">
        <f>J6-1</f>
        <v>2015</v>
      </c>
      <c r="J6" s="7">
        <f>K6-1</f>
        <v>2016</v>
      </c>
      <c r="K6" s="7">
        <f>L6-1</f>
        <v>2017</v>
      </c>
      <c r="L6" s="180">
        <f>tfy</f>
        <v>2018</v>
      </c>
      <c r="N6" s="105">
        <f>DATE(YEAR(O6)-1,MONTH(O6),DAY(O6))</f>
        <v>42825</v>
      </c>
      <c r="O6" s="105">
        <f>DATE(YEAR(P6)-1,MONTH(P6),DAY(P6))</f>
        <v>43190</v>
      </c>
      <c r="P6" s="181">
        <f>tltmdate</f>
        <v>43555</v>
      </c>
      <c r="R6" s="105">
        <f>+O6</f>
        <v>43190</v>
      </c>
      <c r="S6" s="105">
        <f>+P6</f>
        <v>43555</v>
      </c>
      <c r="U6" s="7" t="str">
        <f>"FY"&amp;TEXT(H6-2000,"00")&amp;"-FY"&amp;TEXT(L6-2000,"00")</f>
        <v>FY14-FY18</v>
      </c>
    </row>
    <row r="7" spans="1:21" ht="12.75" customHeight="1">
      <c r="B7" s="3" t="s">
        <v>254</v>
      </c>
      <c r="G7" s="182">
        <v>38</v>
      </c>
      <c r="H7" s="182">
        <v>40</v>
      </c>
      <c r="I7" s="183">
        <v>42</v>
      </c>
      <c r="J7" s="183">
        <v>44</v>
      </c>
      <c r="K7" s="183">
        <v>46</v>
      </c>
      <c r="L7" s="184">
        <v>48</v>
      </c>
      <c r="M7" s="185"/>
      <c r="N7" s="182">
        <v>11.5</v>
      </c>
      <c r="O7" s="182">
        <v>12</v>
      </c>
      <c r="P7" s="184">
        <v>14</v>
      </c>
      <c r="Q7" s="185"/>
      <c r="R7" s="186">
        <f>K7-N7+O7</f>
        <v>46.5</v>
      </c>
      <c r="S7" s="187">
        <f>L7-O7+P7</f>
        <v>50</v>
      </c>
      <c r="T7" s="188"/>
      <c r="U7" s="189">
        <f>IF(OR(H7&lt;=0,L7&lt;=0),"NM",(L7/H7)^(1/(L$6-H$6))-1)</f>
        <v>4.6635139392105618E-2</v>
      </c>
    </row>
    <row r="8" spans="1:21" ht="12.75" customHeight="1">
      <c r="B8" s="4" t="s">
        <v>73</v>
      </c>
      <c r="C8" s="4"/>
      <c r="D8" s="4"/>
      <c r="E8" s="4"/>
      <c r="F8" s="4"/>
      <c r="G8" s="190">
        <v>19</v>
      </c>
      <c r="H8" s="190">
        <v>20</v>
      </c>
      <c r="I8" s="190">
        <v>21</v>
      </c>
      <c r="J8" s="190">
        <v>22</v>
      </c>
      <c r="K8" s="190">
        <v>23</v>
      </c>
      <c r="L8" s="190">
        <v>24</v>
      </c>
      <c r="M8" s="190"/>
      <c r="N8" s="190">
        <v>5.75</v>
      </c>
      <c r="O8" s="190">
        <v>6</v>
      </c>
      <c r="P8" s="190">
        <v>7</v>
      </c>
      <c r="Q8" s="190"/>
      <c r="R8" s="191">
        <f>K8-N8+O8</f>
        <v>23.25</v>
      </c>
      <c r="S8" s="191">
        <f>L8-O8+P8</f>
        <v>25</v>
      </c>
      <c r="T8" s="192"/>
      <c r="U8" s="193">
        <f t="shared" ref="U8:U20" si="0">IF(OR(H8&lt;=0,L8&lt;=0),"NM",(L8/H8)^(1/(L$6-H$6))-1)</f>
        <v>4.6635139392105618E-2</v>
      </c>
    </row>
    <row r="9" spans="1:21" ht="12.75" customHeight="1">
      <c r="B9" s="3" t="s">
        <v>117</v>
      </c>
      <c r="G9" s="194">
        <f t="shared" ref="G9:L9" si="1">G7-G8</f>
        <v>19</v>
      </c>
      <c r="H9" s="194">
        <f t="shared" si="1"/>
        <v>20</v>
      </c>
      <c r="I9" s="194">
        <f t="shared" si="1"/>
        <v>21</v>
      </c>
      <c r="J9" s="195">
        <f t="shared" si="1"/>
        <v>22</v>
      </c>
      <c r="K9" s="195">
        <f t="shared" si="1"/>
        <v>23</v>
      </c>
      <c r="L9" s="196">
        <f t="shared" si="1"/>
        <v>24</v>
      </c>
      <c r="M9" s="197"/>
      <c r="N9" s="194">
        <v>5.75</v>
      </c>
      <c r="O9" s="194">
        <f>O7-O8</f>
        <v>6</v>
      </c>
      <c r="P9" s="196">
        <f>P7-P8</f>
        <v>7</v>
      </c>
      <c r="Q9" s="197"/>
      <c r="R9" s="198">
        <f>R7-R8</f>
        <v>23.25</v>
      </c>
      <c r="S9" s="198">
        <f>S7-S8</f>
        <v>25</v>
      </c>
      <c r="T9" s="199"/>
      <c r="U9" s="200">
        <f t="shared" si="0"/>
        <v>4.6635139392105618E-2</v>
      </c>
    </row>
    <row r="10" spans="1:21" ht="12.75" customHeight="1">
      <c r="B10" s="3" t="s">
        <v>119</v>
      </c>
      <c r="G10" s="201">
        <v>9.5</v>
      </c>
      <c r="H10" s="201">
        <v>10</v>
      </c>
      <c r="I10" s="201">
        <v>10.5</v>
      </c>
      <c r="J10" s="201">
        <v>11</v>
      </c>
      <c r="K10" s="201">
        <v>11.5</v>
      </c>
      <c r="L10" s="201">
        <v>12</v>
      </c>
      <c r="M10" s="201"/>
      <c r="N10" s="201">
        <v>2.875</v>
      </c>
      <c r="O10" s="201">
        <v>3</v>
      </c>
      <c r="P10" s="201">
        <v>3.5</v>
      </c>
      <c r="Q10" s="197"/>
      <c r="R10" s="197">
        <f>K10-N10+O10</f>
        <v>11.625</v>
      </c>
      <c r="S10" s="197">
        <f>L10-O10+P10</f>
        <v>12.5</v>
      </c>
      <c r="T10" s="199"/>
      <c r="U10" s="200">
        <f t="shared" si="0"/>
        <v>4.6635139392105618E-2</v>
      </c>
    </row>
    <row r="11" spans="1:21" ht="12.75" customHeight="1">
      <c r="B11" s="4" t="s">
        <v>192</v>
      </c>
      <c r="C11" s="4"/>
      <c r="D11" s="4"/>
      <c r="E11" s="4"/>
      <c r="F11" s="4"/>
      <c r="G11" s="190">
        <v>0</v>
      </c>
      <c r="H11" s="190">
        <v>0</v>
      </c>
      <c r="I11" s="190">
        <v>0</v>
      </c>
      <c r="J11" s="190">
        <v>0</v>
      </c>
      <c r="K11" s="190">
        <v>0</v>
      </c>
      <c r="L11" s="190">
        <v>0</v>
      </c>
      <c r="M11" s="190"/>
      <c r="N11" s="190">
        <v>0</v>
      </c>
      <c r="O11" s="190">
        <v>0</v>
      </c>
      <c r="P11" s="190">
        <v>0</v>
      </c>
      <c r="Q11" s="191"/>
      <c r="R11" s="191">
        <f>K11-N11+O11</f>
        <v>0</v>
      </c>
      <c r="S11" s="191">
        <f>L11-O11+P11</f>
        <v>0</v>
      </c>
      <c r="T11" s="202"/>
      <c r="U11" s="193" t="str">
        <f t="shared" si="0"/>
        <v>NM</v>
      </c>
    </row>
    <row r="12" spans="1:21" ht="12.75" customHeight="1">
      <c r="B12" s="3" t="s">
        <v>64</v>
      </c>
      <c r="G12" s="194">
        <f t="shared" ref="G12:L12" si="2">G9-SUM(G10:G11)</f>
        <v>9.5</v>
      </c>
      <c r="H12" s="194">
        <f t="shared" si="2"/>
        <v>10</v>
      </c>
      <c r="I12" s="194">
        <f t="shared" si="2"/>
        <v>10.5</v>
      </c>
      <c r="J12" s="195">
        <f t="shared" si="2"/>
        <v>11</v>
      </c>
      <c r="K12" s="195">
        <f t="shared" si="2"/>
        <v>11.5</v>
      </c>
      <c r="L12" s="196">
        <f t="shared" si="2"/>
        <v>12</v>
      </c>
      <c r="M12" s="197"/>
      <c r="N12" s="194">
        <v>2.875</v>
      </c>
      <c r="O12" s="194">
        <f>O9-SUM(O10:O11)</f>
        <v>3</v>
      </c>
      <c r="P12" s="196">
        <f>P9-SUM(P10:P11)</f>
        <v>3.5</v>
      </c>
      <c r="Q12" s="161"/>
      <c r="R12" s="198">
        <f>R9-SUM(R10:R11)</f>
        <v>11.625</v>
      </c>
      <c r="S12" s="198">
        <f>S9-SUM(S10:S11)</f>
        <v>12.5</v>
      </c>
      <c r="T12" s="199"/>
      <c r="U12" s="200">
        <f t="shared" si="0"/>
        <v>4.6635139392105618E-2</v>
      </c>
    </row>
    <row r="13" spans="1:21" ht="12.75" customHeight="1">
      <c r="B13" s="4" t="s">
        <v>192</v>
      </c>
      <c r="C13" s="4"/>
      <c r="D13" s="4"/>
      <c r="E13" s="4"/>
      <c r="F13" s="4"/>
      <c r="G13" s="190">
        <v>0</v>
      </c>
      <c r="H13" s="190">
        <v>0</v>
      </c>
      <c r="I13" s="190">
        <v>0</v>
      </c>
      <c r="J13" s="190">
        <v>0</v>
      </c>
      <c r="K13" s="190">
        <v>0</v>
      </c>
      <c r="L13" s="190">
        <v>0</v>
      </c>
      <c r="M13" s="190"/>
      <c r="N13" s="190">
        <v>0</v>
      </c>
      <c r="O13" s="190">
        <v>0</v>
      </c>
      <c r="P13" s="190">
        <v>0</v>
      </c>
      <c r="Q13" s="191"/>
      <c r="R13" s="191">
        <f>K13-N13+O13</f>
        <v>0</v>
      </c>
      <c r="S13" s="191">
        <f>L13-O13+P13</f>
        <v>0</v>
      </c>
      <c r="T13" s="202"/>
      <c r="U13" s="193" t="str">
        <f t="shared" si="0"/>
        <v>NM</v>
      </c>
    </row>
    <row r="14" spans="1:21" ht="12.75" customHeight="1">
      <c r="B14" s="4" t="s">
        <v>75</v>
      </c>
      <c r="C14" s="4"/>
      <c r="D14" s="4"/>
      <c r="E14" s="4"/>
      <c r="F14" s="4"/>
      <c r="G14" s="190">
        <v>0.74309999999999998</v>
      </c>
      <c r="H14" s="190">
        <v>0.74309999999999998</v>
      </c>
      <c r="I14" s="190">
        <v>0.68309999999999993</v>
      </c>
      <c r="J14" s="190">
        <v>0.62309999999999999</v>
      </c>
      <c r="K14" s="190">
        <v>0.56309999999999993</v>
      </c>
      <c r="L14" s="190">
        <v>0.50309999999999999</v>
      </c>
      <c r="M14" s="190"/>
      <c r="N14" s="190">
        <v>0.14077499999999998</v>
      </c>
      <c r="O14" s="190">
        <v>0.125775</v>
      </c>
      <c r="P14" s="190">
        <v>0.13206375000000001</v>
      </c>
      <c r="Q14" s="191"/>
      <c r="R14" s="191">
        <f>K14-N14+O14</f>
        <v>0.54809999999999992</v>
      </c>
      <c r="S14" s="191">
        <f>L14-O14+P14</f>
        <v>0.50938875000000006</v>
      </c>
      <c r="T14" s="202"/>
      <c r="U14" s="193">
        <f t="shared" si="0"/>
        <v>-9.2907107604365713E-2</v>
      </c>
    </row>
    <row r="15" spans="1:21" ht="12.75" customHeight="1">
      <c r="B15" s="3" t="s">
        <v>76</v>
      </c>
      <c r="G15" s="194">
        <f t="shared" ref="G15:L15" si="3">G12-SUM(G13:G14)</f>
        <v>8.7568999999999999</v>
      </c>
      <c r="H15" s="194">
        <f t="shared" si="3"/>
        <v>9.2568999999999999</v>
      </c>
      <c r="I15" s="194">
        <f t="shared" si="3"/>
        <v>9.8169000000000004</v>
      </c>
      <c r="J15" s="195">
        <f t="shared" si="3"/>
        <v>10.376899999999999</v>
      </c>
      <c r="K15" s="195">
        <f t="shared" si="3"/>
        <v>10.9369</v>
      </c>
      <c r="L15" s="196">
        <f t="shared" si="3"/>
        <v>11.4969</v>
      </c>
      <c r="M15" s="197"/>
      <c r="N15" s="194">
        <v>2.7342249999999999</v>
      </c>
      <c r="O15" s="194">
        <f>O12-SUM(O13:O14)</f>
        <v>2.874225</v>
      </c>
      <c r="P15" s="196">
        <f>P12-SUM(P13:P14)</f>
        <v>3.3679362500000001</v>
      </c>
      <c r="Q15" s="197"/>
      <c r="R15" s="198">
        <f>R12-SUM(R13:R14)</f>
        <v>11.0769</v>
      </c>
      <c r="S15" s="198">
        <f>S12-SUM(S13:S14)</f>
        <v>11.990611250000001</v>
      </c>
      <c r="T15" s="199"/>
      <c r="U15" s="200">
        <f t="shared" si="0"/>
        <v>5.5671496053992575E-2</v>
      </c>
    </row>
    <row r="16" spans="1:21" ht="12.75" customHeight="1">
      <c r="B16" s="4" t="s">
        <v>130</v>
      </c>
      <c r="C16" s="4"/>
      <c r="D16" s="4"/>
      <c r="E16" s="4"/>
      <c r="F16" s="4"/>
      <c r="G16" s="190">
        <v>2.1929405000000002</v>
      </c>
      <c r="H16" s="190">
        <v>2.7</v>
      </c>
      <c r="I16" s="190">
        <v>2.835</v>
      </c>
      <c r="J16" s="190">
        <v>2.97</v>
      </c>
      <c r="K16" s="190">
        <v>3.1050000000000004</v>
      </c>
      <c r="L16" s="190">
        <v>3.24</v>
      </c>
      <c r="M16" s="190"/>
      <c r="N16" s="190">
        <v>0.77625000000000011</v>
      </c>
      <c r="O16" s="190">
        <v>0.81</v>
      </c>
      <c r="P16" s="190">
        <v>0.94500000000000006</v>
      </c>
      <c r="Q16" s="191"/>
      <c r="R16" s="191">
        <f>K16-N16+O16</f>
        <v>3.1387500000000004</v>
      </c>
      <c r="S16" s="191">
        <f>L16-O16+P16</f>
        <v>3.375</v>
      </c>
      <c r="T16" s="192"/>
      <c r="U16" s="193">
        <f t="shared" si="0"/>
        <v>4.6635139392105618E-2</v>
      </c>
    </row>
    <row r="17" spans="2:22" ht="12.75" hidden="1" customHeight="1" outlineLevel="1">
      <c r="B17" s="102" t="s">
        <v>65</v>
      </c>
      <c r="G17" s="194">
        <f t="shared" ref="G17:L17" si="4">+G15-G16</f>
        <v>6.5639594999999993</v>
      </c>
      <c r="H17" s="194">
        <f t="shared" si="4"/>
        <v>6.5568999999999997</v>
      </c>
      <c r="I17" s="194">
        <f t="shared" si="4"/>
        <v>6.9819000000000004</v>
      </c>
      <c r="J17" s="194">
        <f t="shared" si="4"/>
        <v>7.4068999999999985</v>
      </c>
      <c r="K17" s="194">
        <f t="shared" si="4"/>
        <v>7.8318999999999992</v>
      </c>
      <c r="L17" s="194">
        <f t="shared" si="4"/>
        <v>8.2568999999999999</v>
      </c>
      <c r="M17" s="197"/>
      <c r="N17" s="194">
        <v>1.9579749999999998</v>
      </c>
      <c r="O17" s="194">
        <f>+O15-O16</f>
        <v>2.064225</v>
      </c>
      <c r="P17" s="194">
        <f>+P15-P16</f>
        <v>2.4229362500000002</v>
      </c>
      <c r="Q17" s="197"/>
      <c r="R17" s="194">
        <f>+R15-R16</f>
        <v>7.9381500000000003</v>
      </c>
      <c r="S17" s="194">
        <f>+S15-S16</f>
        <v>8.6156112500000006</v>
      </c>
      <c r="T17" s="199"/>
      <c r="U17" s="200">
        <f>IF(OR(H17&lt;=0,L17&lt;=0),"NM",(L17/H17)^(1/(L$6-H$6))-1)</f>
        <v>5.9325962081163475E-2</v>
      </c>
      <c r="V17" s="203"/>
    </row>
    <row r="18" spans="2:22" ht="12.75" hidden="1" customHeight="1" outlineLevel="1">
      <c r="B18" s="4" t="s">
        <v>442</v>
      </c>
      <c r="C18" s="4"/>
      <c r="D18" s="4"/>
      <c r="E18" s="4"/>
      <c r="F18" s="4"/>
      <c r="G18" s="190">
        <v>0</v>
      </c>
      <c r="H18" s="190">
        <v>0</v>
      </c>
      <c r="I18" s="190">
        <v>0</v>
      </c>
      <c r="J18" s="190">
        <v>0</v>
      </c>
      <c r="K18" s="190">
        <v>0</v>
      </c>
      <c r="L18" s="190">
        <v>0</v>
      </c>
      <c r="M18" s="190"/>
      <c r="N18" s="190">
        <v>0</v>
      </c>
      <c r="O18" s="190">
        <v>0</v>
      </c>
      <c r="P18" s="190">
        <v>0</v>
      </c>
      <c r="Q18" s="191"/>
      <c r="R18" s="191">
        <f>K18-N18+O18</f>
        <v>0</v>
      </c>
      <c r="S18" s="191">
        <f>L18-O18+P18</f>
        <v>0</v>
      </c>
      <c r="T18" s="192"/>
      <c r="U18" s="193" t="str">
        <f>IF(OR(H18&lt;=0,L18&lt;=0),"NM",(L18/H18)^(1/(L$6-H$6))-1)</f>
        <v>NM</v>
      </c>
    </row>
    <row r="19" spans="2:22" s="211" customFormat="1" ht="12.75" customHeight="1" collapsed="1">
      <c r="B19" s="204" t="str">
        <f>IF(SUM(H18:S18)=0,"Net Income","Net Income to Common")</f>
        <v>Net Income</v>
      </c>
      <c r="C19" s="205"/>
      <c r="D19" s="205"/>
      <c r="E19" s="205"/>
      <c r="F19" s="205"/>
      <c r="G19" s="206">
        <f>+G17-G18</f>
        <v>6.5639594999999993</v>
      </c>
      <c r="H19" s="206">
        <f>+H17-H18</f>
        <v>6.5568999999999997</v>
      </c>
      <c r="I19" s="206">
        <f t="shared" ref="I19:S19" si="5">+I17-I18</f>
        <v>6.9819000000000004</v>
      </c>
      <c r="J19" s="206">
        <f t="shared" si="5"/>
        <v>7.4068999999999985</v>
      </c>
      <c r="K19" s="206">
        <f t="shared" si="5"/>
        <v>7.8318999999999992</v>
      </c>
      <c r="L19" s="206">
        <f t="shared" si="5"/>
        <v>8.2568999999999999</v>
      </c>
      <c r="M19" s="207"/>
      <c r="N19" s="206">
        <v>1.9579749999999998</v>
      </c>
      <c r="O19" s="206">
        <f t="shared" si="5"/>
        <v>2.064225</v>
      </c>
      <c r="P19" s="206">
        <f t="shared" si="5"/>
        <v>2.4229362500000002</v>
      </c>
      <c r="Q19" s="207"/>
      <c r="R19" s="206">
        <f>+R17-R18</f>
        <v>7.9381500000000003</v>
      </c>
      <c r="S19" s="206">
        <f t="shared" si="5"/>
        <v>8.6156112500000006</v>
      </c>
      <c r="T19" s="208"/>
      <c r="U19" s="209">
        <f t="shared" si="0"/>
        <v>5.9325962081163475E-2</v>
      </c>
      <c r="V19" s="210"/>
    </row>
    <row r="20" spans="2:22" s="211" customFormat="1" ht="12.75" hidden="1" customHeight="1" outlineLevel="1">
      <c r="B20" s="4" t="s">
        <v>437</v>
      </c>
      <c r="C20" s="4"/>
      <c r="D20" s="4"/>
      <c r="E20" s="4"/>
      <c r="F20" s="4"/>
      <c r="G20" s="190">
        <v>0</v>
      </c>
      <c r="H20" s="190">
        <v>0</v>
      </c>
      <c r="I20" s="190">
        <v>0</v>
      </c>
      <c r="J20" s="190">
        <v>0</v>
      </c>
      <c r="K20" s="190">
        <v>0</v>
      </c>
      <c r="L20" s="190">
        <v>0</v>
      </c>
      <c r="M20" s="190"/>
      <c r="N20" s="190">
        <v>0</v>
      </c>
      <c r="O20" s="190">
        <v>0</v>
      </c>
      <c r="P20" s="190">
        <v>0</v>
      </c>
      <c r="Q20" s="191"/>
      <c r="R20" s="191">
        <f>K20-N20+O20</f>
        <v>0</v>
      </c>
      <c r="S20" s="191">
        <f>L20-O20+P20</f>
        <v>0</v>
      </c>
      <c r="T20" s="192"/>
      <c r="U20" s="193" t="str">
        <f t="shared" si="0"/>
        <v>NM</v>
      </c>
      <c r="V20" s="210"/>
    </row>
    <row r="21" spans="2:22" ht="12.75" hidden="1" customHeight="1" outlineLevel="1">
      <c r="B21" s="102" t="s">
        <v>190</v>
      </c>
      <c r="G21" s="194">
        <f>+G19+G20</f>
        <v>6.5639594999999993</v>
      </c>
      <c r="H21" s="194">
        <f>+H19+H20</f>
        <v>6.5568999999999997</v>
      </c>
      <c r="I21" s="194">
        <f t="shared" ref="I21:S21" si="6">+I19+I20</f>
        <v>6.9819000000000004</v>
      </c>
      <c r="J21" s="194">
        <f t="shared" si="6"/>
        <v>7.4068999999999985</v>
      </c>
      <c r="K21" s="194">
        <f t="shared" si="6"/>
        <v>7.8318999999999992</v>
      </c>
      <c r="L21" s="194">
        <f t="shared" si="6"/>
        <v>8.2568999999999999</v>
      </c>
      <c r="M21" s="197"/>
      <c r="N21" s="194">
        <f>+N19+N20</f>
        <v>1.9579749999999998</v>
      </c>
      <c r="O21" s="194">
        <f t="shared" si="6"/>
        <v>2.064225</v>
      </c>
      <c r="P21" s="194">
        <f t="shared" si="6"/>
        <v>2.4229362500000002</v>
      </c>
      <c r="Q21" s="197"/>
      <c r="R21" s="194">
        <f>+R19+R20</f>
        <v>7.9381500000000003</v>
      </c>
      <c r="S21" s="194">
        <f t="shared" si="6"/>
        <v>8.6156112500000006</v>
      </c>
      <c r="T21" s="199"/>
      <c r="U21" s="200">
        <f>IF(OR(H21&lt;=0,L21&lt;=0),"NM",(L21/H21)^(1/(L$6-H$6))-1)</f>
        <v>5.9325962081163475E-2</v>
      </c>
      <c r="V21" s="203"/>
    </row>
    <row r="22" spans="2:22" ht="12.75" customHeight="1" collapsed="1">
      <c r="B22" s="160"/>
      <c r="G22" s="212"/>
      <c r="H22" s="212"/>
      <c r="I22" s="212"/>
      <c r="J22" s="212"/>
      <c r="K22" s="212"/>
      <c r="L22" s="212"/>
      <c r="M22" s="213"/>
      <c r="N22" s="212"/>
      <c r="O22" s="212"/>
      <c r="P22" s="212"/>
      <c r="Q22" s="213"/>
      <c r="R22" s="212"/>
      <c r="S22" s="212"/>
      <c r="T22" s="214"/>
      <c r="U22" s="200"/>
    </row>
    <row r="23" spans="2:22" s="219" customFormat="1" ht="12.75" customHeight="1">
      <c r="B23" s="215" t="s">
        <v>193</v>
      </c>
      <c r="C23" s="216"/>
      <c r="D23" s="216"/>
      <c r="E23" s="216"/>
      <c r="F23" s="216"/>
      <c r="G23" s="201">
        <f>+H23</f>
        <v>5.8999999999999995</v>
      </c>
      <c r="H23" s="201">
        <v>5.8999999999999995</v>
      </c>
      <c r="I23" s="201">
        <v>6.1</v>
      </c>
      <c r="J23" s="201">
        <v>6.3</v>
      </c>
      <c r="K23" s="201">
        <v>6.5</v>
      </c>
      <c r="L23" s="201">
        <v>6.7</v>
      </c>
      <c r="M23" s="201"/>
      <c r="N23" s="201">
        <v>6.32</v>
      </c>
      <c r="O23" s="201">
        <v>6.6</v>
      </c>
      <c r="P23" s="201">
        <v>6.9</v>
      </c>
      <c r="Q23" s="197"/>
      <c r="R23" s="217">
        <f>(K23*4-N23*tquarter+O23*tquarter)/4</f>
        <v>6.57</v>
      </c>
      <c r="S23" s="115">
        <f>(L23*4-O23*tquarter+P23*tquarter)/4</f>
        <v>6.7750000000000004</v>
      </c>
      <c r="T23" s="218"/>
      <c r="U23" s="200">
        <f>IF(OR(H23&lt;=0,L23&lt;=0),"NM",(L23/H23)^(1/(L$6-H$6))-1)</f>
        <v>3.2299454307683995E-2</v>
      </c>
    </row>
    <row r="24" spans="2:22" s="211" customFormat="1" ht="12.75" customHeight="1">
      <c r="B24" s="220" t="s">
        <v>310</v>
      </c>
      <c r="C24" s="205"/>
      <c r="D24" s="205"/>
      <c r="E24" s="205"/>
      <c r="F24" s="205"/>
      <c r="G24" s="221">
        <f t="shared" ref="G24:L24" si="7">G19/G23</f>
        <v>1.1125355084745763</v>
      </c>
      <c r="H24" s="221">
        <f t="shared" si="7"/>
        <v>1.1113389830508476</v>
      </c>
      <c r="I24" s="222">
        <f t="shared" si="7"/>
        <v>1.1445737704918033</v>
      </c>
      <c r="J24" s="222">
        <f t="shared" si="7"/>
        <v>1.1756984126984125</v>
      </c>
      <c r="K24" s="222">
        <f t="shared" si="7"/>
        <v>1.2049076923076922</v>
      </c>
      <c r="L24" s="223">
        <f t="shared" si="7"/>
        <v>1.2323731343283582</v>
      </c>
      <c r="M24" s="224"/>
      <c r="N24" s="221">
        <f>N19/N23</f>
        <v>0.30980617088607593</v>
      </c>
      <c r="O24" s="221">
        <f>O19/O23</f>
        <v>0.31276136363636364</v>
      </c>
      <c r="P24" s="223">
        <f>P19/P23</f>
        <v>0.35115018115942032</v>
      </c>
      <c r="Q24" s="224"/>
      <c r="R24" s="225">
        <f>R19/R23</f>
        <v>1.20824200913242</v>
      </c>
      <c r="S24" s="225">
        <f>S19/S23</f>
        <v>1.2716769372693728</v>
      </c>
      <c r="T24" s="226"/>
      <c r="U24" s="209">
        <f>IF(OR(H24&lt;=0,L24&lt;=0),"NM",(L24/H24)^(1/(L$6-H$6))-1)</f>
        <v>2.6180879647567767E-2</v>
      </c>
    </row>
    <row r="25" spans="2:22" ht="12.75" customHeight="1">
      <c r="G25" s="227"/>
      <c r="H25" s="227"/>
      <c r="I25" s="227"/>
      <c r="J25" s="227"/>
      <c r="K25" s="227"/>
      <c r="L25" s="227"/>
      <c r="M25" s="227"/>
      <c r="N25" s="227"/>
      <c r="O25" s="227"/>
      <c r="P25" s="227"/>
      <c r="Q25" s="227"/>
      <c r="R25" s="227"/>
      <c r="S25" s="227"/>
      <c r="T25" s="228"/>
      <c r="U25" s="200"/>
    </row>
    <row r="26" spans="2:22" ht="12.75" customHeight="1">
      <c r="B26" s="3" t="s">
        <v>284</v>
      </c>
      <c r="G26" s="229">
        <v>0</v>
      </c>
      <c r="H26" s="229">
        <v>10</v>
      </c>
      <c r="I26" s="229">
        <v>11</v>
      </c>
      <c r="J26" s="229">
        <v>12</v>
      </c>
      <c r="K26" s="229">
        <v>13</v>
      </c>
      <c r="L26" s="229">
        <v>14</v>
      </c>
      <c r="M26" s="230"/>
      <c r="N26" s="229">
        <v>0</v>
      </c>
      <c r="O26" s="229">
        <v>14</v>
      </c>
      <c r="P26" s="229">
        <v>15</v>
      </c>
      <c r="Q26" s="230"/>
      <c r="R26" s="231">
        <f>IF(tquarter=4,K26,O26)</f>
        <v>14</v>
      </c>
      <c r="S26" s="231">
        <f>IF(tquarter=4,L26,P26)</f>
        <v>15</v>
      </c>
      <c r="T26" s="228"/>
      <c r="U26" s="232"/>
    </row>
    <row r="27" spans="2:22" ht="12.75" customHeight="1">
      <c r="G27" s="201"/>
      <c r="H27" s="201"/>
      <c r="I27" s="201"/>
      <c r="J27" s="201"/>
      <c r="K27" s="201"/>
      <c r="L27" s="201"/>
      <c r="M27" s="197"/>
      <c r="N27" s="201"/>
      <c r="O27" s="201"/>
      <c r="P27" s="201"/>
      <c r="Q27" s="197"/>
      <c r="R27" s="161"/>
      <c r="S27" s="161"/>
      <c r="T27" s="228"/>
      <c r="U27" s="232"/>
    </row>
    <row r="28" spans="2:22" ht="12.75" customHeight="1">
      <c r="B28" s="139" t="s">
        <v>77</v>
      </c>
      <c r="G28" s="228"/>
      <c r="H28" s="228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8"/>
      <c r="T28" s="228"/>
      <c r="U28" s="232"/>
    </row>
    <row r="29" spans="2:22" ht="12.75" customHeight="1">
      <c r="B29" s="3" t="s">
        <v>64</v>
      </c>
      <c r="G29" s="153">
        <f t="shared" ref="G29:L29" si="8">G12</f>
        <v>9.5</v>
      </c>
      <c r="H29" s="153">
        <f t="shared" si="8"/>
        <v>10</v>
      </c>
      <c r="I29" s="153">
        <f t="shared" si="8"/>
        <v>10.5</v>
      </c>
      <c r="J29" s="153">
        <f t="shared" si="8"/>
        <v>11</v>
      </c>
      <c r="K29" s="153">
        <f t="shared" si="8"/>
        <v>11.5</v>
      </c>
      <c r="L29" s="153">
        <f t="shared" si="8"/>
        <v>12</v>
      </c>
      <c r="M29" s="153"/>
      <c r="N29" s="153">
        <f>N12</f>
        <v>2.875</v>
      </c>
      <c r="O29" s="153">
        <f>O12</f>
        <v>3</v>
      </c>
      <c r="P29" s="153">
        <f>P12</f>
        <v>3.5</v>
      </c>
      <c r="Q29" s="153"/>
      <c r="R29" s="153">
        <f>R12</f>
        <v>11.625</v>
      </c>
      <c r="S29" s="153">
        <f>S12</f>
        <v>12.5</v>
      </c>
      <c r="T29" s="218"/>
      <c r="U29" s="233">
        <f>IF(OR(H29&lt;=0,L29&lt;=0),"NM",(L29/H29)^(1/(L$6-H$6))-1)</f>
        <v>4.6635139392105618E-2</v>
      </c>
    </row>
    <row r="30" spans="2:22" ht="12.75" customHeight="1">
      <c r="B30" s="234" t="s">
        <v>78</v>
      </c>
      <c r="C30" s="4"/>
      <c r="D30" s="4"/>
      <c r="E30" s="4"/>
      <c r="F30" s="4"/>
      <c r="G30" s="190">
        <v>0</v>
      </c>
      <c r="H30" s="140">
        <f>'Tar Cash Flow'!G9</f>
        <v>1.4</v>
      </c>
      <c r="I30" s="140">
        <f>'Tar Cash Flow'!H9</f>
        <v>1.5</v>
      </c>
      <c r="J30" s="140">
        <f>'Tar Cash Flow'!I9</f>
        <v>1.6</v>
      </c>
      <c r="K30" s="140">
        <f>'Tar Cash Flow'!J9</f>
        <v>1.7</v>
      </c>
      <c r="L30" s="140">
        <f>'Tar Cash Flow'!K9</f>
        <v>1.9</v>
      </c>
      <c r="M30" s="235"/>
      <c r="N30" s="140">
        <v>0</v>
      </c>
      <c r="O30" s="140">
        <f>'Tar Cash Flow'!M9</f>
        <v>0.47499999999999998</v>
      </c>
      <c r="P30" s="140">
        <f>'Tar Cash Flow'!N9</f>
        <v>0.5462499999999999</v>
      </c>
      <c r="Q30" s="68"/>
      <c r="R30" s="191">
        <f>K30-N30+O30</f>
        <v>2.1749999999999998</v>
      </c>
      <c r="S30" s="191">
        <f>L30-O30+P30</f>
        <v>1.9712499999999997</v>
      </c>
      <c r="T30" s="236"/>
      <c r="U30" s="237">
        <f>IF(OR(H30&lt;=0,L30&lt;=0),"NM",(L30/H30)^(1/(L$6-H$6))-1)</f>
        <v>7.9335325569137138E-2</v>
      </c>
    </row>
    <row r="31" spans="2:22" ht="12.75" customHeight="1">
      <c r="B31" s="3" t="s">
        <v>63</v>
      </c>
      <c r="G31" s="238">
        <f t="shared" ref="G31:L31" si="9">SUM(G29:G30)</f>
        <v>9.5</v>
      </c>
      <c r="H31" s="238">
        <f t="shared" si="9"/>
        <v>11.4</v>
      </c>
      <c r="I31" s="238">
        <f t="shared" si="9"/>
        <v>12</v>
      </c>
      <c r="J31" s="239">
        <f t="shared" si="9"/>
        <v>12.6</v>
      </c>
      <c r="K31" s="239">
        <f t="shared" si="9"/>
        <v>13.2</v>
      </c>
      <c r="L31" s="240">
        <f t="shared" si="9"/>
        <v>13.9</v>
      </c>
      <c r="M31" s="213"/>
      <c r="N31" s="238">
        <f>SUM(N29:N30)</f>
        <v>2.875</v>
      </c>
      <c r="O31" s="238">
        <f>SUM(O29:O30)</f>
        <v>3.4750000000000001</v>
      </c>
      <c r="P31" s="240">
        <f>SUM(P29:P30)</f>
        <v>4.0462499999999997</v>
      </c>
      <c r="Q31" s="213"/>
      <c r="R31" s="241">
        <f>SUM(R29:R30)</f>
        <v>13.8</v>
      </c>
      <c r="S31" s="241">
        <f>SUM(S29:S30)</f>
        <v>14.47125</v>
      </c>
      <c r="T31" s="199"/>
      <c r="U31" s="233">
        <f>IF(OR(H31&lt;=0,L31&lt;=0),"NM",(L31/H31)^(1/(L$6-H$6))-1)</f>
        <v>5.0817960799921069E-2</v>
      </c>
    </row>
    <row r="32" spans="2:22" ht="12.75" customHeight="1">
      <c r="B32" s="4" t="s">
        <v>305</v>
      </c>
      <c r="C32" s="4"/>
      <c r="D32" s="4"/>
      <c r="E32" s="4"/>
      <c r="F32" s="4"/>
      <c r="G32" s="190">
        <v>0</v>
      </c>
      <c r="H32" s="190">
        <v>0.9</v>
      </c>
      <c r="I32" s="190">
        <v>1</v>
      </c>
      <c r="J32" s="190">
        <v>1.1000000000000001</v>
      </c>
      <c r="K32" s="190">
        <v>1.2</v>
      </c>
      <c r="L32" s="190">
        <v>1.3</v>
      </c>
      <c r="M32" s="190"/>
      <c r="N32" s="190">
        <v>0</v>
      </c>
      <c r="O32" s="190">
        <v>0.32500000000000001</v>
      </c>
      <c r="P32" s="190">
        <v>0.36</v>
      </c>
      <c r="Q32" s="191"/>
      <c r="R32" s="191">
        <f>K32-N32+O32</f>
        <v>1.5249999999999999</v>
      </c>
      <c r="S32" s="191">
        <f>L32-O32+P32</f>
        <v>1.335</v>
      </c>
      <c r="T32" s="202"/>
      <c r="U32" s="237">
        <f>IF(OR(H32&lt;=0,L32&lt;=0),"NM",(L32/H32)^(1/(L$6-H$6))-1)</f>
        <v>9.6289389328686026E-2</v>
      </c>
    </row>
    <row r="33" spans="2:21" ht="12.75" customHeight="1">
      <c r="B33" s="3" t="s">
        <v>306</v>
      </c>
      <c r="G33" s="238">
        <f t="shared" ref="G33:L33" si="10">SUM(G31:G32)</f>
        <v>9.5</v>
      </c>
      <c r="H33" s="238">
        <f t="shared" si="10"/>
        <v>12.3</v>
      </c>
      <c r="I33" s="238">
        <f t="shared" si="10"/>
        <v>13</v>
      </c>
      <c r="J33" s="239">
        <f t="shared" si="10"/>
        <v>13.7</v>
      </c>
      <c r="K33" s="239">
        <f t="shared" si="10"/>
        <v>14.399999999999999</v>
      </c>
      <c r="L33" s="240">
        <f t="shared" si="10"/>
        <v>15.200000000000001</v>
      </c>
      <c r="M33" s="213"/>
      <c r="N33" s="238">
        <f>SUM(N31:N32)</f>
        <v>2.875</v>
      </c>
      <c r="O33" s="238">
        <f>SUM(O31:O32)</f>
        <v>3.8000000000000003</v>
      </c>
      <c r="P33" s="240">
        <f>SUM(P31:P32)</f>
        <v>4.40625</v>
      </c>
      <c r="Q33" s="213"/>
      <c r="R33" s="241">
        <f>SUM(R31:R32)</f>
        <v>15.325000000000001</v>
      </c>
      <c r="S33" s="241">
        <f>SUM(S31:S32)</f>
        <v>15.806249999999999</v>
      </c>
      <c r="T33" s="199"/>
      <c r="U33" s="233">
        <f>IF(OR(H33&lt;=0,L33&lt;=0),"NM",(L33/H33)^(1/(L$6-H$6))-1)</f>
        <v>5.4349555128264004E-2</v>
      </c>
    </row>
    <row r="34" spans="2:21" ht="12.75" customHeight="1">
      <c r="G34" s="372"/>
      <c r="H34" s="372"/>
      <c r="I34" s="372"/>
      <c r="J34" s="372"/>
      <c r="K34" s="372"/>
      <c r="L34" s="372"/>
      <c r="M34" s="372"/>
      <c r="N34" s="372"/>
      <c r="O34" s="372"/>
      <c r="P34" s="372"/>
      <c r="Q34" s="213"/>
      <c r="R34" s="213"/>
      <c r="S34" s="213"/>
      <c r="T34" s="199"/>
      <c r="U34" s="233"/>
    </row>
    <row r="35" spans="2:21" ht="12.75" customHeight="1">
      <c r="B35" s="139" t="s">
        <v>435</v>
      </c>
      <c r="G35" s="228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32"/>
    </row>
    <row r="36" spans="2:21" ht="12.75" customHeight="1" outlineLevel="1">
      <c r="B36" s="3" t="str">
        <f>+B9</f>
        <v>Gross Profit</v>
      </c>
      <c r="G36" s="153">
        <f t="shared" ref="G36:L36" si="11">+G9+G$78</f>
        <v>19</v>
      </c>
      <c r="H36" s="153">
        <f t="shared" si="11"/>
        <v>20</v>
      </c>
      <c r="I36" s="153">
        <f t="shared" si="11"/>
        <v>21</v>
      </c>
      <c r="J36" s="153">
        <f t="shared" si="11"/>
        <v>22</v>
      </c>
      <c r="K36" s="153">
        <f t="shared" si="11"/>
        <v>23</v>
      </c>
      <c r="L36" s="153">
        <f t="shared" si="11"/>
        <v>24</v>
      </c>
      <c r="M36" s="153"/>
      <c r="N36" s="153">
        <f>+N9+N$78</f>
        <v>5.75</v>
      </c>
      <c r="O36" s="153">
        <f>+O9+O$78</f>
        <v>6</v>
      </c>
      <c r="P36" s="153">
        <f>+P9+P$78</f>
        <v>7</v>
      </c>
      <c r="Q36" s="153"/>
      <c r="R36" s="153">
        <f t="shared" ref="R36:S43" si="12">K36-N36+O36</f>
        <v>23.25</v>
      </c>
      <c r="S36" s="153">
        <f t="shared" si="12"/>
        <v>25</v>
      </c>
      <c r="T36" s="218"/>
      <c r="U36" s="233">
        <f t="shared" ref="U36:U44" si="13">IF(OR(H36&lt;=0,L36&lt;=0),"NM",(L36/H36)^(1/(L$6-H$6))-1)</f>
        <v>4.6635139392105618E-2</v>
      </c>
    </row>
    <row r="37" spans="2:21" ht="12.75" customHeight="1" outlineLevel="1">
      <c r="B37" s="3" t="str">
        <f>+B10</f>
        <v>SG&amp;A Expenses</v>
      </c>
      <c r="G37" s="161">
        <f t="shared" ref="G37:L37" si="14">+G10-G$84</f>
        <v>9.5</v>
      </c>
      <c r="H37" s="161">
        <f t="shared" si="14"/>
        <v>10</v>
      </c>
      <c r="I37" s="161">
        <f t="shared" si="14"/>
        <v>10.5</v>
      </c>
      <c r="J37" s="161">
        <f t="shared" si="14"/>
        <v>11</v>
      </c>
      <c r="K37" s="161">
        <f t="shared" si="14"/>
        <v>11.5</v>
      </c>
      <c r="L37" s="161">
        <f t="shared" si="14"/>
        <v>12</v>
      </c>
      <c r="M37" s="161"/>
      <c r="N37" s="161">
        <f>+N10-N$84</f>
        <v>2.875</v>
      </c>
      <c r="O37" s="161">
        <f>+O10-O$84</f>
        <v>3</v>
      </c>
      <c r="P37" s="161">
        <f>+P10-P$84</f>
        <v>3.5</v>
      </c>
      <c r="Q37" s="161"/>
      <c r="R37" s="161">
        <f t="shared" si="12"/>
        <v>11.625</v>
      </c>
      <c r="S37" s="161">
        <f t="shared" si="12"/>
        <v>12.5</v>
      </c>
      <c r="T37" s="218"/>
      <c r="U37" s="233">
        <f t="shared" si="13"/>
        <v>4.6635139392105618E-2</v>
      </c>
    </row>
    <row r="38" spans="2:21" ht="12.75" customHeight="1" outlineLevel="1">
      <c r="B38" s="3" t="str">
        <f>+B11</f>
        <v>Other Expense, Net</v>
      </c>
      <c r="G38" s="161">
        <f t="shared" ref="G38:L38" si="15">+G11-G$90</f>
        <v>0</v>
      </c>
      <c r="H38" s="161">
        <f t="shared" si="15"/>
        <v>0</v>
      </c>
      <c r="I38" s="161">
        <f t="shared" si="15"/>
        <v>0</v>
      </c>
      <c r="J38" s="161">
        <f t="shared" si="15"/>
        <v>0</v>
      </c>
      <c r="K38" s="161">
        <f t="shared" si="15"/>
        <v>0</v>
      </c>
      <c r="L38" s="161">
        <f t="shared" si="15"/>
        <v>0</v>
      </c>
      <c r="M38" s="161"/>
      <c r="N38" s="161">
        <f>+N11-N$90</f>
        <v>0</v>
      </c>
      <c r="O38" s="161">
        <f>+O11-O$90</f>
        <v>0</v>
      </c>
      <c r="P38" s="161">
        <f>+P11-P$90</f>
        <v>0</v>
      </c>
      <c r="Q38" s="161"/>
      <c r="R38" s="161">
        <f t="shared" si="12"/>
        <v>0</v>
      </c>
      <c r="S38" s="161">
        <f t="shared" si="12"/>
        <v>0</v>
      </c>
      <c r="T38" s="218"/>
      <c r="U38" s="233" t="str">
        <f t="shared" si="13"/>
        <v>NM</v>
      </c>
    </row>
    <row r="39" spans="2:21" ht="12.75" customHeight="1" outlineLevel="1">
      <c r="B39" s="3" t="str">
        <f>+B33</f>
        <v>EBITDAR</v>
      </c>
      <c r="G39" s="161">
        <f t="shared" ref="G39:L39" si="16">+G33+G$92</f>
        <v>9.5</v>
      </c>
      <c r="H39" s="161">
        <f t="shared" si="16"/>
        <v>12.3</v>
      </c>
      <c r="I39" s="161">
        <f t="shared" si="16"/>
        <v>13</v>
      </c>
      <c r="J39" s="161">
        <f t="shared" si="16"/>
        <v>13.7</v>
      </c>
      <c r="K39" s="161">
        <f t="shared" si="16"/>
        <v>14.399999999999999</v>
      </c>
      <c r="L39" s="161">
        <f t="shared" si="16"/>
        <v>15.200000000000001</v>
      </c>
      <c r="M39" s="161"/>
      <c r="N39" s="161">
        <f>+N33+N$92</f>
        <v>2.875</v>
      </c>
      <c r="O39" s="161">
        <f>+O33+O$92</f>
        <v>3.8000000000000003</v>
      </c>
      <c r="P39" s="161">
        <f>+P33+P$92</f>
        <v>4.40625</v>
      </c>
      <c r="Q39" s="161"/>
      <c r="R39" s="161">
        <f>K39-N39+O39</f>
        <v>15.324999999999999</v>
      </c>
      <c r="S39" s="161">
        <f>L39-O39+P39</f>
        <v>15.80625</v>
      </c>
      <c r="T39" s="218"/>
      <c r="U39" s="233">
        <f>IF(OR(H39&lt;=0,L39&lt;=0),"NM",(L39/H39)^(1/(L$6-H$6))-1)</f>
        <v>5.4349555128264004E-2</v>
      </c>
    </row>
    <row r="40" spans="2:21" ht="12.75" customHeight="1">
      <c r="B40" s="3" t="str">
        <f>+B31</f>
        <v>EBITDA</v>
      </c>
      <c r="G40" s="161">
        <f t="shared" ref="G40:L40" si="17">+G31+G$92</f>
        <v>9.5</v>
      </c>
      <c r="H40" s="161">
        <f t="shared" si="17"/>
        <v>11.4</v>
      </c>
      <c r="I40" s="161">
        <f t="shared" si="17"/>
        <v>12</v>
      </c>
      <c r="J40" s="161">
        <f t="shared" si="17"/>
        <v>12.6</v>
      </c>
      <c r="K40" s="161">
        <f t="shared" si="17"/>
        <v>13.2</v>
      </c>
      <c r="L40" s="161">
        <f t="shared" si="17"/>
        <v>13.9</v>
      </c>
      <c r="M40" s="161"/>
      <c r="N40" s="161">
        <f>+N31+N$92</f>
        <v>2.875</v>
      </c>
      <c r="O40" s="161">
        <f>+O31+O$92</f>
        <v>3.4750000000000001</v>
      </c>
      <c r="P40" s="161">
        <f>+P31+P$92</f>
        <v>4.0462499999999997</v>
      </c>
      <c r="Q40" s="161"/>
      <c r="R40" s="161">
        <f t="shared" si="12"/>
        <v>13.799999999999999</v>
      </c>
      <c r="S40" s="161">
        <f t="shared" si="12"/>
        <v>14.471250000000001</v>
      </c>
      <c r="T40" s="218"/>
      <c r="U40" s="233">
        <f t="shared" si="13"/>
        <v>5.0817960799921069E-2</v>
      </c>
    </row>
    <row r="41" spans="2:21" ht="12.75" customHeight="1">
      <c r="B41" s="3" t="str">
        <f>+B29</f>
        <v>EBIT</v>
      </c>
      <c r="G41" s="161">
        <f t="shared" ref="G41:L41" si="18">+G29+G$92</f>
        <v>9.5</v>
      </c>
      <c r="H41" s="161">
        <f t="shared" si="18"/>
        <v>10</v>
      </c>
      <c r="I41" s="161">
        <f t="shared" si="18"/>
        <v>10.5</v>
      </c>
      <c r="J41" s="161">
        <f t="shared" si="18"/>
        <v>11</v>
      </c>
      <c r="K41" s="161">
        <f t="shared" si="18"/>
        <v>11.5</v>
      </c>
      <c r="L41" s="161">
        <f t="shared" si="18"/>
        <v>12</v>
      </c>
      <c r="M41" s="161"/>
      <c r="N41" s="161">
        <f>+N29+N$92</f>
        <v>2.875</v>
      </c>
      <c r="O41" s="161">
        <f>+O29+O$92</f>
        <v>3</v>
      </c>
      <c r="P41" s="161">
        <f>+P29+P$92</f>
        <v>3.5</v>
      </c>
      <c r="Q41" s="161"/>
      <c r="R41" s="161">
        <f t="shared" si="12"/>
        <v>11.625</v>
      </c>
      <c r="S41" s="161">
        <f t="shared" si="12"/>
        <v>12.5</v>
      </c>
      <c r="T41" s="218"/>
      <c r="U41" s="233">
        <f t="shared" si="13"/>
        <v>4.6635139392105618E-2</v>
      </c>
    </row>
    <row r="42" spans="2:21" ht="12.75" customHeight="1" outlineLevel="1">
      <c r="B42" s="3" t="str">
        <f>+B11</f>
        <v>Other Expense, Net</v>
      </c>
      <c r="G42" s="161">
        <f t="shared" ref="G42:L42" si="19">+G13-G$98</f>
        <v>0</v>
      </c>
      <c r="H42" s="161">
        <f t="shared" si="19"/>
        <v>0</v>
      </c>
      <c r="I42" s="161">
        <f t="shared" si="19"/>
        <v>0</v>
      </c>
      <c r="J42" s="161">
        <f t="shared" si="19"/>
        <v>0</v>
      </c>
      <c r="K42" s="161">
        <f t="shared" si="19"/>
        <v>0</v>
      </c>
      <c r="L42" s="161">
        <f t="shared" si="19"/>
        <v>0</v>
      </c>
      <c r="M42" s="161"/>
      <c r="N42" s="161">
        <f>+N13-N$98</f>
        <v>0</v>
      </c>
      <c r="O42" s="161">
        <f>+O13-O$98</f>
        <v>0</v>
      </c>
      <c r="P42" s="161">
        <f>+P13-P$98</f>
        <v>0</v>
      </c>
      <c r="Q42" s="161"/>
      <c r="R42" s="161">
        <f t="shared" si="12"/>
        <v>0</v>
      </c>
      <c r="S42" s="161">
        <f t="shared" si="12"/>
        <v>0</v>
      </c>
      <c r="T42" s="218"/>
      <c r="U42" s="233" t="str">
        <f t="shared" si="13"/>
        <v>NM</v>
      </c>
    </row>
    <row r="43" spans="2:21" ht="12.75" customHeight="1">
      <c r="B43" s="3" t="str">
        <f>+B19</f>
        <v>Net Income</v>
      </c>
      <c r="G43" s="161">
        <f t="shared" ref="G43:L43" si="20">+G19+G$105</f>
        <v>6.5639594999999993</v>
      </c>
      <c r="H43" s="161">
        <f t="shared" si="20"/>
        <v>6.5568999999999997</v>
      </c>
      <c r="I43" s="161">
        <f t="shared" si="20"/>
        <v>6.9819000000000004</v>
      </c>
      <c r="J43" s="161">
        <f t="shared" si="20"/>
        <v>7.4068999999999985</v>
      </c>
      <c r="K43" s="161">
        <f t="shared" si="20"/>
        <v>7.8318999999999992</v>
      </c>
      <c r="L43" s="161">
        <f t="shared" si="20"/>
        <v>8.2568999999999999</v>
      </c>
      <c r="M43" s="161"/>
      <c r="N43" s="161">
        <f>+N19+N$105</f>
        <v>1.9579749999999998</v>
      </c>
      <c r="O43" s="161">
        <f>+O19+O$105</f>
        <v>2.064225</v>
      </c>
      <c r="P43" s="161">
        <f>+P19+P$105</f>
        <v>2.4229362500000002</v>
      </c>
      <c r="Q43" s="161"/>
      <c r="R43" s="161">
        <f t="shared" si="12"/>
        <v>7.9381500000000003</v>
      </c>
      <c r="S43" s="161">
        <f t="shared" si="12"/>
        <v>8.6156112500000006</v>
      </c>
      <c r="T43" s="218"/>
      <c r="U43" s="233">
        <f t="shared" si="13"/>
        <v>5.9325962081163475E-2</v>
      </c>
    </row>
    <row r="44" spans="2:21" ht="12.75" customHeight="1">
      <c r="B44" s="3" t="str">
        <f>+B24</f>
        <v>Diluted EPS</v>
      </c>
      <c r="G44" s="138">
        <f t="shared" ref="G44:L44" si="21">+G43/G23</f>
        <v>1.1125355084745763</v>
      </c>
      <c r="H44" s="138">
        <f t="shared" si="21"/>
        <v>1.1113389830508476</v>
      </c>
      <c r="I44" s="138">
        <f t="shared" si="21"/>
        <v>1.1445737704918033</v>
      </c>
      <c r="J44" s="138">
        <f t="shared" si="21"/>
        <v>1.1756984126984125</v>
      </c>
      <c r="K44" s="138">
        <f t="shared" si="21"/>
        <v>1.2049076923076922</v>
      </c>
      <c r="L44" s="138">
        <f t="shared" si="21"/>
        <v>1.2323731343283582</v>
      </c>
      <c r="M44" s="153"/>
      <c r="N44" s="138">
        <f>+N43/N23</f>
        <v>0.30980617088607593</v>
      </c>
      <c r="O44" s="138">
        <f>+O43/O23</f>
        <v>0.31276136363636364</v>
      </c>
      <c r="P44" s="138">
        <f>+P43/P23</f>
        <v>0.35115018115942032</v>
      </c>
      <c r="Q44" s="153"/>
      <c r="R44" s="138">
        <f>+R43/R23</f>
        <v>1.20824200913242</v>
      </c>
      <c r="S44" s="138">
        <f>+S43/S23</f>
        <v>1.2716769372693728</v>
      </c>
      <c r="T44" s="218"/>
      <c r="U44" s="233">
        <f t="shared" si="13"/>
        <v>2.6180879647567767E-2</v>
      </c>
    </row>
    <row r="45" spans="2:21" ht="12.75" customHeight="1"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218"/>
      <c r="U45" s="233"/>
    </row>
    <row r="46" spans="2:21" ht="12.75" customHeight="1" outlineLevel="1">
      <c r="B46" s="139" t="s">
        <v>447</v>
      </c>
      <c r="G46" s="228"/>
      <c r="H46" s="228"/>
      <c r="I46" s="228"/>
      <c r="J46" s="228"/>
      <c r="K46" s="228"/>
      <c r="L46" s="228"/>
      <c r="M46" s="228"/>
      <c r="N46" s="228"/>
      <c r="O46" s="228"/>
      <c r="P46" s="228"/>
      <c r="Q46" s="228"/>
      <c r="R46" s="228"/>
      <c r="S46" s="228"/>
      <c r="T46" s="228"/>
      <c r="U46" s="232"/>
    </row>
    <row r="47" spans="2:21" ht="12.75" customHeight="1" outlineLevel="1">
      <c r="B47" s="3" t="s">
        <v>436</v>
      </c>
      <c r="G47" s="153">
        <f t="shared" ref="G47:L47" si="22">+G40+G$116</f>
        <v>9.5</v>
      </c>
      <c r="H47" s="153">
        <f t="shared" si="22"/>
        <v>12.200000000000001</v>
      </c>
      <c r="I47" s="153">
        <f t="shared" si="22"/>
        <v>12.9</v>
      </c>
      <c r="J47" s="153">
        <f t="shared" si="22"/>
        <v>13.6</v>
      </c>
      <c r="K47" s="153">
        <f t="shared" si="22"/>
        <v>14.299999999999999</v>
      </c>
      <c r="L47" s="153">
        <f t="shared" si="22"/>
        <v>15.100000000000001</v>
      </c>
      <c r="M47" s="153"/>
      <c r="N47" s="153">
        <f>+N40+N$116</f>
        <v>2.875</v>
      </c>
      <c r="O47" s="153">
        <f>+O40+O$116</f>
        <v>3.7750000000000004</v>
      </c>
      <c r="P47" s="153">
        <f>+P40+P$116</f>
        <v>4.3462499999999995</v>
      </c>
      <c r="Q47" s="153"/>
      <c r="R47" s="153">
        <f>K47-N47+O47</f>
        <v>15.2</v>
      </c>
      <c r="S47" s="153">
        <f>L47-O47+P47</f>
        <v>15.671250000000001</v>
      </c>
      <c r="T47" s="218"/>
      <c r="U47" s="233">
        <f>IF(OR(H47&lt;=0,L47&lt;=0),"NM",(L47/H47)^(1/(L$6-H$6))-1)</f>
        <v>5.4761524259459238E-2</v>
      </c>
    </row>
    <row r="48" spans="2:21" ht="12.75" customHeight="1" outlineLevel="1">
      <c r="B48" s="3" t="s">
        <v>446</v>
      </c>
      <c r="G48" s="161">
        <f t="shared" ref="G48:L48" si="23">+G33+G$92+G$116</f>
        <v>9.5</v>
      </c>
      <c r="H48" s="161">
        <f t="shared" si="23"/>
        <v>13.100000000000001</v>
      </c>
      <c r="I48" s="161">
        <f t="shared" si="23"/>
        <v>13.9</v>
      </c>
      <c r="J48" s="161">
        <f t="shared" si="23"/>
        <v>14.7</v>
      </c>
      <c r="K48" s="161">
        <f t="shared" si="23"/>
        <v>15.499999999999998</v>
      </c>
      <c r="L48" s="161">
        <f t="shared" si="23"/>
        <v>16.400000000000002</v>
      </c>
      <c r="M48" s="161"/>
      <c r="N48" s="161">
        <f>+N33+N$92+N$116</f>
        <v>2.875</v>
      </c>
      <c r="O48" s="161">
        <f>+O33+O$92+O$116</f>
        <v>4.1000000000000005</v>
      </c>
      <c r="P48" s="161">
        <f>+P33+P$92+P$116</f>
        <v>4.7062499999999998</v>
      </c>
      <c r="Q48" s="161"/>
      <c r="R48" s="161">
        <f>K48-N48+O48</f>
        <v>16.724999999999998</v>
      </c>
      <c r="S48" s="161">
        <f>L48-O48+P48</f>
        <v>17.006250000000001</v>
      </c>
      <c r="T48" s="218"/>
      <c r="U48" s="233">
        <f>IF(OR(H48&lt;=0,L48&lt;=0),"NM",(L48/H48)^(1/(L$6-H$6))-1)</f>
        <v>5.777460940879986E-2</v>
      </c>
    </row>
    <row r="49" spans="2:21" ht="12.75" customHeight="1" outlineLevel="1"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218"/>
      <c r="U49" s="233"/>
    </row>
    <row r="50" spans="2:21" ht="12.75" customHeight="1">
      <c r="B50" s="139" t="s">
        <v>607</v>
      </c>
      <c r="G50" s="372"/>
      <c r="H50" s="372"/>
      <c r="I50" s="372"/>
      <c r="J50" s="201"/>
      <c r="K50" s="201"/>
      <c r="L50" s="201"/>
      <c r="M50" s="372"/>
      <c r="N50" s="372"/>
      <c r="O50" s="372"/>
      <c r="P50" s="372"/>
      <c r="Q50" s="214"/>
      <c r="R50" s="214"/>
      <c r="S50" s="214"/>
      <c r="T50" s="199"/>
      <c r="U50" s="243"/>
    </row>
    <row r="51" spans="2:21" ht="12.75" customHeight="1">
      <c r="B51" s="3" t="s">
        <v>74</v>
      </c>
      <c r="G51" s="242">
        <f>G36/G$7</f>
        <v>0.5</v>
      </c>
      <c r="H51" s="242">
        <f t="shared" ref="H51:L52" si="24">H36/H$7</f>
        <v>0.5</v>
      </c>
      <c r="I51" s="242">
        <f t="shared" si="24"/>
        <v>0.5</v>
      </c>
      <c r="J51" s="242">
        <f t="shared" si="24"/>
        <v>0.5</v>
      </c>
      <c r="K51" s="242">
        <f t="shared" si="24"/>
        <v>0.5</v>
      </c>
      <c r="L51" s="242">
        <f t="shared" si="24"/>
        <v>0.5</v>
      </c>
      <c r="M51" s="244"/>
      <c r="N51" s="242">
        <f t="shared" ref="N51:P52" si="25">N36/N$7</f>
        <v>0.5</v>
      </c>
      <c r="O51" s="242">
        <f t="shared" si="25"/>
        <v>0.5</v>
      </c>
      <c r="P51" s="242">
        <f t="shared" si="25"/>
        <v>0.5</v>
      </c>
      <c r="Q51" s="242"/>
      <c r="R51" s="242">
        <f>R36/R$7</f>
        <v>0.5</v>
      </c>
      <c r="S51" s="242">
        <f>S36/S$7</f>
        <v>0.5</v>
      </c>
      <c r="T51" s="244"/>
      <c r="U51" s="243"/>
    </row>
    <row r="52" spans="2:21" ht="12.75" customHeight="1">
      <c r="B52" s="3" t="str">
        <f>+B37</f>
        <v>SG&amp;A Expenses</v>
      </c>
      <c r="G52" s="242">
        <f>G37/G$7</f>
        <v>0.25</v>
      </c>
      <c r="H52" s="242">
        <f t="shared" si="24"/>
        <v>0.25</v>
      </c>
      <c r="I52" s="242">
        <f t="shared" si="24"/>
        <v>0.25</v>
      </c>
      <c r="J52" s="242">
        <f t="shared" si="24"/>
        <v>0.25</v>
      </c>
      <c r="K52" s="242">
        <f t="shared" si="24"/>
        <v>0.25</v>
      </c>
      <c r="L52" s="242">
        <f t="shared" si="24"/>
        <v>0.25</v>
      </c>
      <c r="M52" s="244"/>
      <c r="N52" s="242">
        <f t="shared" si="25"/>
        <v>0.25</v>
      </c>
      <c r="O52" s="242">
        <f t="shared" si="25"/>
        <v>0.25</v>
      </c>
      <c r="P52" s="242">
        <f t="shared" si="25"/>
        <v>0.25</v>
      </c>
      <c r="Q52" s="242"/>
      <c r="R52" s="242">
        <f>R37/R$7</f>
        <v>0.25</v>
      </c>
      <c r="S52" s="242">
        <f>S37/S$7</f>
        <v>0.25</v>
      </c>
      <c r="T52" s="244"/>
      <c r="U52" s="243"/>
    </row>
    <row r="53" spans="2:21" ht="12.75" customHeight="1">
      <c r="B53" s="3" t="str">
        <f>+B40</f>
        <v>EBITDA</v>
      </c>
      <c r="G53" s="242">
        <f>G40/G$7</f>
        <v>0.25</v>
      </c>
      <c r="H53" s="242">
        <f t="shared" ref="H53:L54" si="26">H40/H$7</f>
        <v>0.28500000000000003</v>
      </c>
      <c r="I53" s="242">
        <f t="shared" si="26"/>
        <v>0.2857142857142857</v>
      </c>
      <c r="J53" s="242">
        <f t="shared" si="26"/>
        <v>0.28636363636363638</v>
      </c>
      <c r="K53" s="242">
        <f t="shared" si="26"/>
        <v>0.28695652173913044</v>
      </c>
      <c r="L53" s="242">
        <f t="shared" si="26"/>
        <v>0.28958333333333336</v>
      </c>
      <c r="M53" s="244"/>
      <c r="N53" s="242">
        <f t="shared" ref="N53:P54" si="27">N40/N$7</f>
        <v>0.25</v>
      </c>
      <c r="O53" s="242">
        <f t="shared" si="27"/>
        <v>0.28958333333333336</v>
      </c>
      <c r="P53" s="242">
        <f t="shared" si="27"/>
        <v>0.2890178571428571</v>
      </c>
      <c r="Q53" s="242"/>
      <c r="R53" s="242">
        <f>R40/R$7</f>
        <v>0.29677419354838708</v>
      </c>
      <c r="S53" s="242">
        <f>S40/S$7</f>
        <v>0.28942500000000004</v>
      </c>
      <c r="T53" s="244"/>
      <c r="U53" s="243"/>
    </row>
    <row r="54" spans="2:21" ht="12.75" customHeight="1">
      <c r="B54" s="3" t="str">
        <f>+B41</f>
        <v>EBIT</v>
      </c>
      <c r="G54" s="242">
        <f>G41/G$7</f>
        <v>0.25</v>
      </c>
      <c r="H54" s="242">
        <f t="shared" si="26"/>
        <v>0.25</v>
      </c>
      <c r="I54" s="242">
        <f t="shared" si="26"/>
        <v>0.25</v>
      </c>
      <c r="J54" s="242">
        <f t="shared" si="26"/>
        <v>0.25</v>
      </c>
      <c r="K54" s="242">
        <f t="shared" si="26"/>
        <v>0.25</v>
      </c>
      <c r="L54" s="242">
        <f t="shared" si="26"/>
        <v>0.25</v>
      </c>
      <c r="M54" s="244"/>
      <c r="N54" s="242">
        <f t="shared" si="27"/>
        <v>0.25</v>
      </c>
      <c r="O54" s="242">
        <f t="shared" si="27"/>
        <v>0.25</v>
      </c>
      <c r="P54" s="242">
        <f t="shared" si="27"/>
        <v>0.25</v>
      </c>
      <c r="Q54" s="242"/>
      <c r="R54" s="242">
        <f>R41/R$7</f>
        <v>0.25</v>
      </c>
      <c r="S54" s="242">
        <f>S41/S$7</f>
        <v>0.25</v>
      </c>
      <c r="T54" s="244"/>
      <c r="U54" s="243"/>
    </row>
    <row r="55" spans="2:21" ht="12.75" customHeight="1">
      <c r="B55" s="3" t="str">
        <f>+B43</f>
        <v>Net Income</v>
      </c>
      <c r="G55" s="242">
        <f t="shared" ref="G55:L55" si="28">G43/G$7</f>
        <v>0.17273577631578946</v>
      </c>
      <c r="H55" s="242">
        <f t="shared" si="28"/>
        <v>0.1639225</v>
      </c>
      <c r="I55" s="242">
        <f t="shared" si="28"/>
        <v>0.16623571428571429</v>
      </c>
      <c r="J55" s="242">
        <f t="shared" si="28"/>
        <v>0.16833863636363633</v>
      </c>
      <c r="K55" s="242">
        <f t="shared" si="28"/>
        <v>0.17025869565217389</v>
      </c>
      <c r="L55" s="242">
        <f t="shared" si="28"/>
        <v>0.17201875</v>
      </c>
      <c r="M55" s="244"/>
      <c r="N55" s="242">
        <f>N43/N$7</f>
        <v>0.17025869565217389</v>
      </c>
      <c r="O55" s="242">
        <f>O43/O$7</f>
        <v>0.17201875</v>
      </c>
      <c r="P55" s="242">
        <f>P43/P$7</f>
        <v>0.17306687500000001</v>
      </c>
      <c r="Q55" s="242"/>
      <c r="R55" s="242">
        <f>R43/R$7</f>
        <v>0.17071290322580646</v>
      </c>
      <c r="S55" s="242">
        <f>S43/S$7</f>
        <v>0.17231222500000001</v>
      </c>
      <c r="T55" s="244"/>
      <c r="U55" s="243"/>
    </row>
    <row r="56" spans="2:21" ht="12.75" customHeight="1">
      <c r="G56" s="197"/>
      <c r="H56" s="197"/>
      <c r="I56" s="197"/>
      <c r="J56" s="197"/>
      <c r="K56" s="197"/>
      <c r="L56" s="197"/>
      <c r="M56" s="244"/>
      <c r="N56" s="197"/>
      <c r="O56" s="197"/>
      <c r="P56" s="197"/>
      <c r="Q56" s="244"/>
      <c r="R56" s="197"/>
      <c r="S56" s="197"/>
      <c r="T56" s="244"/>
      <c r="U56" s="243"/>
    </row>
    <row r="57" spans="2:21" ht="12.75" customHeight="1">
      <c r="B57" s="139" t="s">
        <v>608</v>
      </c>
      <c r="G57" s="244"/>
      <c r="H57" s="244"/>
      <c r="I57" s="244"/>
      <c r="J57" s="244"/>
      <c r="K57" s="244"/>
      <c r="L57" s="244"/>
      <c r="M57" s="244"/>
      <c r="N57" s="244"/>
      <c r="O57" s="244"/>
      <c r="P57" s="244"/>
      <c r="Q57" s="244"/>
      <c r="R57" s="244"/>
      <c r="S57" s="244"/>
      <c r="T57" s="244"/>
      <c r="U57" s="243"/>
    </row>
    <row r="58" spans="2:21" ht="12.75" customHeight="1">
      <c r="B58" s="3" t="s">
        <v>285</v>
      </c>
      <c r="G58" s="372">
        <v>0</v>
      </c>
      <c r="H58" s="372">
        <v>0.06</v>
      </c>
      <c r="I58" s="372">
        <v>0.04</v>
      </c>
      <c r="J58" s="372">
        <v>1.7999999999999999E-2</v>
      </c>
      <c r="K58" s="372">
        <v>0.02</v>
      </c>
      <c r="L58" s="372">
        <v>0.03</v>
      </c>
      <c r="M58" s="246"/>
      <c r="N58" s="372">
        <v>0</v>
      </c>
      <c r="O58" s="372">
        <v>2.4E-2</v>
      </c>
      <c r="P58" s="372">
        <v>2.8000000000000001E-2</v>
      </c>
      <c r="Q58" s="246"/>
      <c r="R58" s="372">
        <v>0</v>
      </c>
      <c r="S58" s="372">
        <v>2.9000000000000001E-2</v>
      </c>
      <c r="T58" s="244"/>
      <c r="U58" s="243"/>
    </row>
    <row r="59" spans="2:21" ht="12.75" customHeight="1">
      <c r="B59" s="3" t="str">
        <f>B7</f>
        <v>Net Sales</v>
      </c>
      <c r="G59" s="372">
        <v>0</v>
      </c>
      <c r="H59" s="247">
        <f>(H7/G7-1)</f>
        <v>5.2631578947368363E-2</v>
      </c>
      <c r="I59" s="247">
        <f>(I7/H7-1)</f>
        <v>5.0000000000000044E-2</v>
      </c>
      <c r="J59" s="247">
        <f>(J7/I7-1)</f>
        <v>4.7619047619047672E-2</v>
      </c>
      <c r="K59" s="247">
        <f>(K7/J7-1)</f>
        <v>4.5454545454545414E-2</v>
      </c>
      <c r="L59" s="247">
        <f>(L7/K7-1)</f>
        <v>4.3478260869565188E-2</v>
      </c>
      <c r="N59" s="372">
        <v>0</v>
      </c>
      <c r="O59" s="247">
        <f>(O7/N7-1)</f>
        <v>4.3478260869565188E-2</v>
      </c>
      <c r="P59" s="247">
        <f>(P7/O7-1)</f>
        <v>0.16666666666666674</v>
      </c>
      <c r="R59" s="372">
        <v>0</v>
      </c>
      <c r="S59" s="247">
        <f>(S7/R7-1)</f>
        <v>7.5268817204301008E-2</v>
      </c>
      <c r="T59" s="244"/>
      <c r="U59" s="243"/>
    </row>
    <row r="60" spans="2:21" ht="12.75" customHeight="1">
      <c r="B60" s="3" t="str">
        <f>+B40</f>
        <v>EBITDA</v>
      </c>
      <c r="G60" s="372">
        <v>0</v>
      </c>
      <c r="H60" s="247">
        <f t="shared" ref="H60:L61" si="29">IF(OR(G40&lt;=0,H40&lt;0),"NM",(H40/G40-1))</f>
        <v>0.19999999999999996</v>
      </c>
      <c r="I60" s="247">
        <f t="shared" si="29"/>
        <v>5.2631578947368363E-2</v>
      </c>
      <c r="J60" s="247">
        <f t="shared" si="29"/>
        <v>5.0000000000000044E-2</v>
      </c>
      <c r="K60" s="247">
        <f t="shared" si="29"/>
        <v>4.7619047619047672E-2</v>
      </c>
      <c r="L60" s="247">
        <f t="shared" si="29"/>
        <v>5.3030303030303205E-2</v>
      </c>
      <c r="M60" s="136"/>
      <c r="N60" s="372">
        <v>0</v>
      </c>
      <c r="O60" s="247">
        <f>IF(OR(N40&lt;=0,O40&lt;0),"NM",(O40/N40-1))</f>
        <v>0.20869565217391317</v>
      </c>
      <c r="P60" s="247">
        <f>IF(OR(O40&lt;=0,P40&lt;0),"NM",(P40/O40-1))</f>
        <v>0.16438848920863292</v>
      </c>
      <c r="Q60" s="136"/>
      <c r="R60" s="372">
        <v>0</v>
      </c>
      <c r="S60" s="247">
        <f>IF(OR(R40&lt;=0,S40&lt;0),"NM",(S40/R40-1))</f>
        <v>4.8641304347826209E-2</v>
      </c>
      <c r="T60" s="244"/>
      <c r="U60" s="243"/>
    </row>
    <row r="61" spans="2:21" ht="12.75" customHeight="1">
      <c r="B61" s="3" t="str">
        <f>+B41</f>
        <v>EBIT</v>
      </c>
      <c r="G61" s="372">
        <v>0</v>
      </c>
      <c r="H61" s="247">
        <f t="shared" si="29"/>
        <v>5.2631578947368363E-2</v>
      </c>
      <c r="I61" s="247">
        <f t="shared" si="29"/>
        <v>5.0000000000000044E-2</v>
      </c>
      <c r="J61" s="247">
        <f t="shared" si="29"/>
        <v>4.7619047619047672E-2</v>
      </c>
      <c r="K61" s="247">
        <f t="shared" si="29"/>
        <v>4.5454545454545414E-2</v>
      </c>
      <c r="L61" s="247">
        <f t="shared" si="29"/>
        <v>4.3478260869565188E-2</v>
      </c>
      <c r="M61" s="136"/>
      <c r="N61" s="372">
        <v>0</v>
      </c>
      <c r="O61" s="247">
        <f>IF(OR(N41&lt;=0,O41&lt;0),"NM",(O41/N41-1))</f>
        <v>4.3478260869565188E-2</v>
      </c>
      <c r="P61" s="247">
        <f>IF(OR(O41&lt;=0,P41&lt;0),"NM",(P41/O41-1))</f>
        <v>0.16666666666666674</v>
      </c>
      <c r="Q61" s="136"/>
      <c r="R61" s="372">
        <v>0</v>
      </c>
      <c r="S61" s="247">
        <f>IF(OR(R41&lt;=0,S41&lt;0),"NM",(S41/R41-1))</f>
        <v>7.5268817204301008E-2</v>
      </c>
      <c r="T61" s="244"/>
      <c r="U61" s="243"/>
    </row>
    <row r="62" spans="2:21" ht="12.75" customHeight="1">
      <c r="B62" s="3" t="str">
        <f>+B43</f>
        <v>Net Income</v>
      </c>
      <c r="G62" s="372">
        <v>0</v>
      </c>
      <c r="H62" s="247">
        <f t="shared" ref="H62:L63" si="30">IF(OR(G43&lt;=0,H43&lt;0),"NM",(H43/G43-1))</f>
        <v>-1.0754941434357734E-3</v>
      </c>
      <c r="I62" s="247">
        <f t="shared" si="30"/>
        <v>6.4817215452424248E-2</v>
      </c>
      <c r="J62" s="247">
        <f t="shared" si="30"/>
        <v>6.0871682493303769E-2</v>
      </c>
      <c r="K62" s="247">
        <f t="shared" si="30"/>
        <v>5.7378930456736477E-2</v>
      </c>
      <c r="L62" s="247">
        <f t="shared" si="30"/>
        <v>5.4265248534838495E-2</v>
      </c>
      <c r="M62" s="136"/>
      <c r="N62" s="372">
        <v>0</v>
      </c>
      <c r="O62" s="247">
        <f>IF(OR(N43&lt;=0,O43&lt;0),"NM",(O43/N43-1))</f>
        <v>5.4265248534838495E-2</v>
      </c>
      <c r="P62" s="247">
        <f>IF(OR(O43&lt;=0,P43&lt;0),"NM",(P43/O43-1))</f>
        <v>0.17377526674659993</v>
      </c>
      <c r="Q62" s="136"/>
      <c r="R62" s="372">
        <v>0</v>
      </c>
      <c r="S62" s="247">
        <f>IF(OR(R43&lt;=0,S43&lt;0),"NM",(S43/R43-1))</f>
        <v>8.5342460144996135E-2</v>
      </c>
      <c r="T62" s="244"/>
      <c r="U62" s="243"/>
    </row>
    <row r="63" spans="2:21" ht="12.75" customHeight="1">
      <c r="B63" s="3" t="str">
        <f>+B44</f>
        <v>Diluted EPS</v>
      </c>
      <c r="G63" s="372">
        <v>0</v>
      </c>
      <c r="H63" s="247">
        <f t="shared" si="30"/>
        <v>-1.0754941434357734E-3</v>
      </c>
      <c r="I63" s="247">
        <f t="shared" si="30"/>
        <v>2.9905175601524947E-2</v>
      </c>
      <c r="J63" s="247">
        <f t="shared" si="30"/>
        <v>2.719321638240535E-2</v>
      </c>
      <c r="K63" s="247">
        <f t="shared" si="30"/>
        <v>2.4844194134990616E-2</v>
      </c>
      <c r="L63" s="247">
        <f t="shared" si="30"/>
        <v>2.2794644100962547E-2</v>
      </c>
      <c r="M63" s="136"/>
      <c r="N63" s="372">
        <v>0</v>
      </c>
      <c r="O63" s="247">
        <f>IF(OR(N44&lt;=0,O44&lt;0),"NM",(O44/N44-1))</f>
        <v>9.5388440515422612E-3</v>
      </c>
      <c r="P63" s="247">
        <f>IF(OR(O44&lt;=0,P44&lt;0),"NM",(P44/O44-1))</f>
        <v>0.12274155949674781</v>
      </c>
      <c r="Q63" s="136"/>
      <c r="R63" s="372">
        <v>0</v>
      </c>
      <c r="S63" s="247">
        <f>IF(OR(R44&lt;=0,S44&lt;0),"NM",(S44/R44-1))</f>
        <v>5.2501839579723208E-2</v>
      </c>
      <c r="T63" s="244"/>
      <c r="U63" s="243"/>
    </row>
    <row r="64" spans="2:21" ht="12.75" customHeight="1">
      <c r="B64" s="4"/>
      <c r="C64" s="4"/>
      <c r="D64" s="4"/>
      <c r="E64" s="4"/>
      <c r="F64" s="4"/>
      <c r="G64" s="248"/>
      <c r="H64" s="248"/>
      <c r="I64" s="248"/>
      <c r="J64" s="248"/>
      <c r="K64" s="4"/>
      <c r="L64" s="4"/>
      <c r="M64" s="4"/>
      <c r="N64" s="4"/>
      <c r="O64" s="4"/>
      <c r="P64" s="4"/>
      <c r="Q64" s="4"/>
      <c r="R64" s="4"/>
      <c r="S64" s="4"/>
      <c r="T64" s="4"/>
      <c r="U64" s="249"/>
    </row>
    <row r="65" spans="2:21" ht="12.75" customHeight="1">
      <c r="B65" s="155" t="str">
        <f>"Source: Company's "&amp;YEAR(tfye)&amp;" Form 10-K"&amp;IF(tquarter&lt;&gt;4," and Form 10-Q for the period ended "&amp;TEXT(tltmdate,"mmmm d, yyyy")&amp;".",".")</f>
        <v>Source: Company's 2018 Form 10-K and Form 10-Q for the period ended March 31, 2019.</v>
      </c>
      <c r="C65" s="156"/>
      <c r="D65" s="251"/>
      <c r="E65" s="251"/>
      <c r="F65" s="251"/>
      <c r="G65" s="156"/>
      <c r="H65" s="156"/>
      <c r="I65" s="156"/>
      <c r="J65" s="156"/>
      <c r="K65" s="156"/>
      <c r="L65" s="156"/>
      <c r="M65" s="156"/>
      <c r="N65" s="156"/>
      <c r="O65" s="156"/>
      <c r="P65" s="252"/>
      <c r="Q65" s="252"/>
      <c r="R65" s="156"/>
      <c r="S65" s="156"/>
      <c r="T65" s="156"/>
      <c r="U65" s="252"/>
    </row>
    <row r="66" spans="2:21" ht="12.75" customHeight="1">
      <c r="B66" s="157" t="s">
        <v>418</v>
      </c>
      <c r="N66" s="160"/>
      <c r="O66" s="160"/>
      <c r="P66" s="160"/>
      <c r="Q66" s="160"/>
      <c r="R66" s="160"/>
      <c r="S66" s="160"/>
      <c r="U66" s="253"/>
    </row>
    <row r="69" spans="2:21" ht="15.75" customHeight="1" thickBot="1">
      <c r="B69" s="254" t="s">
        <v>411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</row>
    <row r="70" spans="2:21" ht="12.75" customHeight="1">
      <c r="B70" s="100" t="s">
        <v>289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</row>
    <row r="71" spans="2:21">
      <c r="B71" s="10"/>
      <c r="C71" s="10"/>
      <c r="D71" s="10"/>
      <c r="E71" s="10"/>
      <c r="F71" s="10"/>
      <c r="G71" s="178"/>
      <c r="H71" s="178" t="str">
        <f>H$5</f>
        <v>Fiscal Year Ended December 31,</v>
      </c>
      <c r="I71" s="178"/>
      <c r="J71" s="178"/>
      <c r="K71" s="26"/>
      <c r="L71" s="26"/>
      <c r="M71" s="11"/>
      <c r="N71" s="178"/>
      <c r="O71" s="178" t="str">
        <f>O$5</f>
        <v>Three Months Ended</v>
      </c>
      <c r="P71" s="178"/>
      <c r="Q71" s="10"/>
      <c r="R71" s="255"/>
      <c r="S71" s="255"/>
      <c r="T71" s="10"/>
      <c r="U71" s="255"/>
    </row>
    <row r="72" spans="2:21">
      <c r="B72" s="256" t="s">
        <v>412</v>
      </c>
      <c r="C72" s="10"/>
      <c r="D72" s="10"/>
      <c r="E72" s="10"/>
      <c r="F72" s="10"/>
      <c r="G72" s="178">
        <f>G$6</f>
        <v>2013</v>
      </c>
      <c r="H72" s="178">
        <f>H$6</f>
        <v>2014</v>
      </c>
      <c r="I72" s="178">
        <f t="shared" ref="I72:P72" si="31">I$6</f>
        <v>2015</v>
      </c>
      <c r="J72" s="178">
        <f t="shared" si="31"/>
        <v>2016</v>
      </c>
      <c r="K72" s="178">
        <f t="shared" si="31"/>
        <v>2017</v>
      </c>
      <c r="L72" s="178">
        <f t="shared" si="31"/>
        <v>2018</v>
      </c>
      <c r="M72" s="257"/>
      <c r="N72" s="258">
        <f t="shared" si="31"/>
        <v>42825</v>
      </c>
      <c r="O72" s="258">
        <f t="shared" si="31"/>
        <v>43190</v>
      </c>
      <c r="P72" s="258">
        <f t="shared" si="31"/>
        <v>43555</v>
      </c>
      <c r="Q72" s="257"/>
      <c r="R72" s="259"/>
      <c r="S72" s="259"/>
      <c r="T72" s="10"/>
      <c r="U72" s="54"/>
    </row>
    <row r="73" spans="2:21"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7"/>
      <c r="S73" s="17"/>
      <c r="T73" s="10"/>
      <c r="U73" s="17"/>
    </row>
    <row r="74" spans="2:21">
      <c r="B74" s="139" t="s">
        <v>609</v>
      </c>
      <c r="R74" s="4"/>
      <c r="S74" s="4"/>
    </row>
    <row r="75" spans="2:21">
      <c r="B75" s="1" t="s">
        <v>366</v>
      </c>
      <c r="G75" s="201">
        <v>0</v>
      </c>
      <c r="H75" s="201">
        <v>0</v>
      </c>
      <c r="I75" s="201">
        <v>0</v>
      </c>
      <c r="J75" s="201">
        <v>0</v>
      </c>
      <c r="K75" s="201">
        <v>0</v>
      </c>
      <c r="L75" s="201">
        <v>0</v>
      </c>
      <c r="M75" s="201"/>
      <c r="N75" s="201">
        <v>0</v>
      </c>
      <c r="O75" s="201">
        <v>0</v>
      </c>
      <c r="P75" s="201">
        <v>0</v>
      </c>
      <c r="Q75" s="201"/>
      <c r="R75" s="191"/>
      <c r="S75" s="191"/>
    </row>
    <row r="76" spans="2:21">
      <c r="B76" s="1" t="s">
        <v>366</v>
      </c>
      <c r="G76" s="201">
        <v>0</v>
      </c>
      <c r="H76" s="201">
        <v>0</v>
      </c>
      <c r="I76" s="201">
        <v>0</v>
      </c>
      <c r="J76" s="201">
        <v>0</v>
      </c>
      <c r="K76" s="201">
        <v>0</v>
      </c>
      <c r="L76" s="201">
        <v>0</v>
      </c>
      <c r="M76" s="201"/>
      <c r="N76" s="201">
        <v>0</v>
      </c>
      <c r="O76" s="201">
        <v>0</v>
      </c>
      <c r="P76" s="201">
        <v>0</v>
      </c>
      <c r="Q76" s="201"/>
      <c r="R76" s="191"/>
      <c r="S76" s="191"/>
    </row>
    <row r="77" spans="2:21">
      <c r="B77" s="1" t="s">
        <v>366</v>
      </c>
      <c r="G77" s="190">
        <v>0</v>
      </c>
      <c r="H77" s="190">
        <v>0</v>
      </c>
      <c r="I77" s="190">
        <v>0</v>
      </c>
      <c r="J77" s="190">
        <v>0</v>
      </c>
      <c r="K77" s="190">
        <v>0</v>
      </c>
      <c r="L77" s="190">
        <v>0</v>
      </c>
      <c r="M77" s="201"/>
      <c r="N77" s="190">
        <v>0</v>
      </c>
      <c r="O77" s="190">
        <v>0</v>
      </c>
      <c r="P77" s="190">
        <v>0</v>
      </c>
      <c r="Q77" s="201"/>
      <c r="R77" s="191"/>
      <c r="S77" s="191"/>
    </row>
    <row r="78" spans="2:21">
      <c r="B78" s="151" t="s">
        <v>67</v>
      </c>
      <c r="G78" s="260">
        <f t="shared" ref="G78:L78" si="32">SUM(G75:G77)</f>
        <v>0</v>
      </c>
      <c r="H78" s="260">
        <f t="shared" si="32"/>
        <v>0</v>
      </c>
      <c r="I78" s="260">
        <f t="shared" si="32"/>
        <v>0</v>
      </c>
      <c r="J78" s="260">
        <f t="shared" si="32"/>
        <v>0</v>
      </c>
      <c r="K78" s="260">
        <f t="shared" si="32"/>
        <v>0</v>
      </c>
      <c r="L78" s="260">
        <f t="shared" si="32"/>
        <v>0</v>
      </c>
      <c r="M78" s="190"/>
      <c r="N78" s="260">
        <f>SUM(N75:N77)</f>
        <v>0</v>
      </c>
      <c r="O78" s="260">
        <f>SUM(O75:O77)</f>
        <v>0</v>
      </c>
      <c r="P78" s="260">
        <f>SUM(P75:P77)</f>
        <v>0</v>
      </c>
      <c r="Q78" s="201"/>
      <c r="R78" s="68"/>
      <c r="S78" s="68"/>
    </row>
    <row r="79" spans="2:21">
      <c r="B79" s="1"/>
      <c r="G79" s="261"/>
      <c r="H79" s="261"/>
      <c r="I79" s="261"/>
      <c r="J79" s="261"/>
      <c r="K79" s="261"/>
      <c r="L79" s="261"/>
      <c r="M79" s="261"/>
      <c r="N79" s="261"/>
      <c r="O79" s="261"/>
      <c r="P79" s="261"/>
      <c r="Q79" s="261"/>
      <c r="R79" s="262"/>
      <c r="S79" s="262"/>
    </row>
    <row r="80" spans="2:21">
      <c r="B80" s="139" t="s">
        <v>610</v>
      </c>
      <c r="C80" s="139"/>
      <c r="G80" s="261"/>
      <c r="H80" s="261"/>
      <c r="I80" s="261"/>
      <c r="J80" s="261"/>
      <c r="K80" s="261"/>
      <c r="L80" s="261"/>
      <c r="M80" s="261"/>
      <c r="N80" s="261"/>
      <c r="O80" s="261"/>
      <c r="P80" s="261"/>
      <c r="Q80" s="261"/>
      <c r="R80" s="262"/>
      <c r="S80" s="262"/>
    </row>
    <row r="81" spans="2:21">
      <c r="B81" s="1" t="s">
        <v>366</v>
      </c>
      <c r="G81" s="201">
        <v>0</v>
      </c>
      <c r="H81" s="201">
        <v>0</v>
      </c>
      <c r="I81" s="201">
        <v>0</v>
      </c>
      <c r="J81" s="201">
        <v>0</v>
      </c>
      <c r="K81" s="201">
        <v>0</v>
      </c>
      <c r="L81" s="201">
        <v>0</v>
      </c>
      <c r="M81" s="201"/>
      <c r="N81" s="201">
        <v>0</v>
      </c>
      <c r="O81" s="201">
        <v>0</v>
      </c>
      <c r="P81" s="201">
        <v>0</v>
      </c>
      <c r="Q81" s="201"/>
      <c r="R81" s="191"/>
      <c r="S81" s="191"/>
    </row>
    <row r="82" spans="2:21">
      <c r="B82" s="1" t="s">
        <v>366</v>
      </c>
      <c r="G82" s="201">
        <v>0</v>
      </c>
      <c r="H82" s="201">
        <v>0</v>
      </c>
      <c r="I82" s="201">
        <v>0</v>
      </c>
      <c r="J82" s="201">
        <v>0</v>
      </c>
      <c r="K82" s="201">
        <v>0</v>
      </c>
      <c r="L82" s="201">
        <v>0</v>
      </c>
      <c r="M82" s="201"/>
      <c r="N82" s="201">
        <v>0</v>
      </c>
      <c r="O82" s="201">
        <v>0</v>
      </c>
      <c r="P82" s="201">
        <v>0</v>
      </c>
      <c r="Q82" s="201"/>
      <c r="R82" s="191"/>
      <c r="S82" s="191"/>
    </row>
    <row r="83" spans="2:21">
      <c r="B83" s="1" t="s">
        <v>366</v>
      </c>
      <c r="G83" s="190">
        <v>0</v>
      </c>
      <c r="H83" s="190">
        <v>0</v>
      </c>
      <c r="I83" s="190">
        <v>0</v>
      </c>
      <c r="J83" s="190">
        <v>0</v>
      </c>
      <c r="K83" s="190">
        <v>0</v>
      </c>
      <c r="L83" s="190">
        <v>0</v>
      </c>
      <c r="M83" s="201"/>
      <c r="N83" s="190">
        <v>0</v>
      </c>
      <c r="O83" s="190">
        <v>0</v>
      </c>
      <c r="P83" s="190">
        <v>0</v>
      </c>
      <c r="Q83" s="201"/>
      <c r="R83" s="191"/>
      <c r="S83" s="191"/>
    </row>
    <row r="84" spans="2:21">
      <c r="B84" s="151" t="s">
        <v>67</v>
      </c>
      <c r="G84" s="260">
        <f t="shared" ref="G84:L84" si="33">SUM(G81:G83)</f>
        <v>0</v>
      </c>
      <c r="H84" s="260">
        <f t="shared" si="33"/>
        <v>0</v>
      </c>
      <c r="I84" s="260">
        <f t="shared" si="33"/>
        <v>0</v>
      </c>
      <c r="J84" s="260">
        <f t="shared" si="33"/>
        <v>0</v>
      </c>
      <c r="K84" s="260">
        <f t="shared" si="33"/>
        <v>0</v>
      </c>
      <c r="L84" s="260">
        <f t="shared" si="33"/>
        <v>0</v>
      </c>
      <c r="M84" s="190"/>
      <c r="N84" s="260">
        <f>SUM(N81:N83)</f>
        <v>0</v>
      </c>
      <c r="O84" s="260">
        <f>SUM(O81:O83)</f>
        <v>0</v>
      </c>
      <c r="P84" s="260">
        <f>SUM(P81:P83)</f>
        <v>0</v>
      </c>
      <c r="Q84" s="201"/>
      <c r="R84" s="68"/>
      <c r="S84" s="68"/>
    </row>
    <row r="85" spans="2:21">
      <c r="B85" s="1"/>
      <c r="G85" s="261"/>
      <c r="H85" s="261"/>
      <c r="I85" s="261"/>
      <c r="J85" s="261"/>
      <c r="K85" s="261"/>
      <c r="L85" s="261"/>
      <c r="M85" s="261"/>
      <c r="N85" s="261"/>
      <c r="O85" s="261"/>
      <c r="P85" s="261"/>
      <c r="Q85" s="261"/>
      <c r="R85" s="262"/>
      <c r="S85" s="262"/>
    </row>
    <row r="86" spans="2:21">
      <c r="B86" s="139" t="s">
        <v>611</v>
      </c>
      <c r="G86" s="261"/>
      <c r="H86" s="261"/>
      <c r="I86" s="261"/>
      <c r="J86" s="261"/>
      <c r="K86" s="261"/>
      <c r="L86" s="261"/>
      <c r="M86" s="261"/>
      <c r="N86" s="261"/>
      <c r="O86" s="261"/>
      <c r="P86" s="261"/>
      <c r="Q86" s="261"/>
      <c r="R86" s="262"/>
      <c r="S86" s="262"/>
    </row>
    <row r="87" spans="2:21">
      <c r="B87" s="1" t="s">
        <v>366</v>
      </c>
      <c r="G87" s="201">
        <v>0</v>
      </c>
      <c r="H87" s="201">
        <v>0</v>
      </c>
      <c r="I87" s="201">
        <v>0</v>
      </c>
      <c r="J87" s="201">
        <v>0</v>
      </c>
      <c r="K87" s="201">
        <v>0</v>
      </c>
      <c r="L87" s="201">
        <v>0</v>
      </c>
      <c r="M87" s="201"/>
      <c r="N87" s="201">
        <v>0</v>
      </c>
      <c r="O87" s="201">
        <v>0</v>
      </c>
      <c r="P87" s="201">
        <v>0</v>
      </c>
      <c r="Q87" s="201"/>
      <c r="R87" s="191"/>
      <c r="S87" s="191"/>
    </row>
    <row r="88" spans="2:21">
      <c r="B88" s="1" t="s">
        <v>366</v>
      </c>
      <c r="G88" s="201">
        <v>0</v>
      </c>
      <c r="H88" s="201">
        <v>0</v>
      </c>
      <c r="I88" s="201">
        <v>0</v>
      </c>
      <c r="J88" s="201">
        <v>0</v>
      </c>
      <c r="K88" s="201">
        <v>0</v>
      </c>
      <c r="L88" s="201">
        <v>0</v>
      </c>
      <c r="M88" s="201"/>
      <c r="N88" s="201">
        <v>0</v>
      </c>
      <c r="O88" s="201">
        <v>0</v>
      </c>
      <c r="P88" s="201">
        <v>0</v>
      </c>
      <c r="Q88" s="201"/>
      <c r="R88" s="191"/>
      <c r="S88" s="191"/>
    </row>
    <row r="89" spans="2:21">
      <c r="B89" s="1" t="s">
        <v>366</v>
      </c>
      <c r="G89" s="190">
        <v>0</v>
      </c>
      <c r="H89" s="190">
        <v>0</v>
      </c>
      <c r="I89" s="190">
        <v>0</v>
      </c>
      <c r="J89" s="190">
        <v>0</v>
      </c>
      <c r="K89" s="190">
        <v>0</v>
      </c>
      <c r="L89" s="190">
        <v>0</v>
      </c>
      <c r="M89" s="201"/>
      <c r="N89" s="190">
        <v>0</v>
      </c>
      <c r="O89" s="190">
        <v>0</v>
      </c>
      <c r="P89" s="190">
        <v>0</v>
      </c>
      <c r="Q89" s="201"/>
      <c r="R89" s="191"/>
      <c r="S89" s="191"/>
    </row>
    <row r="90" spans="2:21">
      <c r="B90" s="151" t="s">
        <v>67</v>
      </c>
      <c r="G90" s="260">
        <f t="shared" ref="G90:L90" si="34">SUM(G87:G89)</f>
        <v>0</v>
      </c>
      <c r="H90" s="260">
        <f t="shared" si="34"/>
        <v>0</v>
      </c>
      <c r="I90" s="260">
        <f t="shared" si="34"/>
        <v>0</v>
      </c>
      <c r="J90" s="260">
        <f t="shared" si="34"/>
        <v>0</v>
      </c>
      <c r="K90" s="260">
        <f t="shared" si="34"/>
        <v>0</v>
      </c>
      <c r="L90" s="260">
        <f t="shared" si="34"/>
        <v>0</v>
      </c>
      <c r="M90" s="190"/>
      <c r="N90" s="260">
        <f>SUM(N87:N89)</f>
        <v>0</v>
      </c>
      <c r="O90" s="260">
        <f>SUM(O87:O89)</f>
        <v>0</v>
      </c>
      <c r="P90" s="260">
        <f>SUM(P87:P89)</f>
        <v>0</v>
      </c>
      <c r="Q90" s="201"/>
      <c r="R90" s="68"/>
      <c r="S90" s="68"/>
    </row>
    <row r="91" spans="2:21">
      <c r="B91" s="151"/>
      <c r="G91" s="68"/>
      <c r="H91" s="68"/>
      <c r="I91" s="68"/>
      <c r="J91" s="68"/>
      <c r="K91" s="68"/>
      <c r="L91" s="68"/>
      <c r="M91" s="190"/>
      <c r="N91" s="68"/>
      <c r="O91" s="68"/>
      <c r="P91" s="68"/>
      <c r="Q91" s="201"/>
      <c r="R91" s="68"/>
      <c r="S91" s="68"/>
    </row>
    <row r="92" spans="2:21">
      <c r="B92" s="151" t="s">
        <v>640</v>
      </c>
      <c r="G92" s="260">
        <f>SUM(G90,G84,G78)</f>
        <v>0</v>
      </c>
      <c r="H92" s="260">
        <f>SUM(H90,H84,H78)</f>
        <v>0</v>
      </c>
      <c r="I92" s="260">
        <f t="shared" ref="I92:P92" si="35">SUM(I90,I84,I78)</f>
        <v>0</v>
      </c>
      <c r="J92" s="260">
        <f t="shared" si="35"/>
        <v>0</v>
      </c>
      <c r="K92" s="260">
        <f t="shared" si="35"/>
        <v>0</v>
      </c>
      <c r="L92" s="260">
        <f t="shared" si="35"/>
        <v>0</v>
      </c>
      <c r="M92" s="190"/>
      <c r="N92" s="260">
        <f>SUM(N90,N84,N78)</f>
        <v>0</v>
      </c>
      <c r="O92" s="260">
        <f t="shared" si="35"/>
        <v>0</v>
      </c>
      <c r="P92" s="260">
        <f t="shared" si="35"/>
        <v>0</v>
      </c>
      <c r="Q92" s="201"/>
      <c r="R92" s="68"/>
      <c r="S92" s="68"/>
    </row>
    <row r="93" spans="2:21">
      <c r="B93" s="1"/>
      <c r="G93" s="261"/>
      <c r="H93" s="261"/>
      <c r="I93" s="261"/>
      <c r="J93" s="261"/>
      <c r="K93" s="261"/>
      <c r="L93" s="261"/>
      <c r="M93" s="261"/>
      <c r="N93" s="261"/>
      <c r="O93" s="261"/>
      <c r="P93" s="261"/>
      <c r="Q93" s="261"/>
      <c r="R93" s="262"/>
      <c r="S93" s="262"/>
    </row>
    <row r="94" spans="2:21" s="267" customFormat="1">
      <c r="B94" s="139" t="s">
        <v>612</v>
      </c>
      <c r="C94" s="3"/>
      <c r="D94" s="3"/>
      <c r="E94" s="3"/>
      <c r="F94" s="3"/>
      <c r="G94" s="261"/>
      <c r="H94" s="261"/>
      <c r="I94" s="261"/>
      <c r="J94" s="261"/>
      <c r="K94" s="261"/>
      <c r="L94" s="261"/>
      <c r="M94" s="261"/>
      <c r="N94" s="261"/>
      <c r="O94" s="261"/>
      <c r="P94" s="261"/>
      <c r="Q94" s="261"/>
      <c r="R94" s="262"/>
      <c r="S94" s="262"/>
      <c r="T94" s="3"/>
      <c r="U94" s="3"/>
    </row>
    <row r="95" spans="2:21">
      <c r="B95" s="1" t="s">
        <v>366</v>
      </c>
      <c r="G95" s="201">
        <v>0</v>
      </c>
      <c r="H95" s="201">
        <v>0</v>
      </c>
      <c r="I95" s="201">
        <v>0</v>
      </c>
      <c r="J95" s="201">
        <v>0</v>
      </c>
      <c r="K95" s="201">
        <v>0</v>
      </c>
      <c r="L95" s="201">
        <v>0</v>
      </c>
      <c r="M95" s="201"/>
      <c r="N95" s="201">
        <v>0</v>
      </c>
      <c r="O95" s="201">
        <v>0</v>
      </c>
      <c r="P95" s="201">
        <v>0</v>
      </c>
      <c r="Q95" s="201"/>
      <c r="R95" s="191"/>
      <c r="S95" s="191"/>
    </row>
    <row r="96" spans="2:21">
      <c r="B96" s="1" t="s">
        <v>366</v>
      </c>
      <c r="G96" s="201">
        <v>0</v>
      </c>
      <c r="H96" s="201">
        <v>0</v>
      </c>
      <c r="I96" s="201">
        <v>0</v>
      </c>
      <c r="J96" s="201">
        <v>0</v>
      </c>
      <c r="K96" s="201">
        <v>0</v>
      </c>
      <c r="L96" s="201">
        <v>0</v>
      </c>
      <c r="M96" s="201"/>
      <c r="N96" s="201">
        <v>0</v>
      </c>
      <c r="O96" s="201">
        <v>0</v>
      </c>
      <c r="P96" s="201">
        <v>0</v>
      </c>
      <c r="Q96" s="201"/>
      <c r="R96" s="191"/>
      <c r="S96" s="191"/>
    </row>
    <row r="97" spans="2:21">
      <c r="B97" s="1" t="s">
        <v>366</v>
      </c>
      <c r="G97" s="190">
        <v>0</v>
      </c>
      <c r="H97" s="190">
        <v>0</v>
      </c>
      <c r="I97" s="190">
        <v>0</v>
      </c>
      <c r="J97" s="190">
        <v>0</v>
      </c>
      <c r="K97" s="190">
        <v>0</v>
      </c>
      <c r="L97" s="190">
        <v>0</v>
      </c>
      <c r="M97" s="201"/>
      <c r="N97" s="190">
        <v>0</v>
      </c>
      <c r="O97" s="190">
        <v>0</v>
      </c>
      <c r="P97" s="190">
        <v>0</v>
      </c>
      <c r="Q97" s="201"/>
      <c r="R97" s="191"/>
      <c r="S97" s="191"/>
    </row>
    <row r="98" spans="2:21">
      <c r="B98" s="151" t="s">
        <v>641</v>
      </c>
      <c r="G98" s="260">
        <f t="shared" ref="G98:L98" si="36">SUM(G95:G97)</f>
        <v>0</v>
      </c>
      <c r="H98" s="260">
        <f t="shared" si="36"/>
        <v>0</v>
      </c>
      <c r="I98" s="260">
        <f t="shared" si="36"/>
        <v>0</v>
      </c>
      <c r="J98" s="260">
        <f t="shared" si="36"/>
        <v>0</v>
      </c>
      <c r="K98" s="260">
        <f t="shared" si="36"/>
        <v>0</v>
      </c>
      <c r="L98" s="260">
        <f t="shared" si="36"/>
        <v>0</v>
      </c>
      <c r="M98" s="190"/>
      <c r="N98" s="260">
        <f>SUM(N95:N97)</f>
        <v>0</v>
      </c>
      <c r="O98" s="260">
        <f>SUM(O95:O97)</f>
        <v>0</v>
      </c>
      <c r="P98" s="260">
        <f>SUM(P95:P97)</f>
        <v>0</v>
      </c>
      <c r="Q98" s="201"/>
      <c r="R98" s="68"/>
      <c r="S98" s="68"/>
    </row>
    <row r="99" spans="2:21">
      <c r="B99" s="1"/>
      <c r="G99" s="261"/>
      <c r="H99" s="261"/>
      <c r="I99" s="261"/>
      <c r="J99" s="261"/>
      <c r="K99" s="261"/>
      <c r="L99" s="261"/>
      <c r="M99" s="261"/>
      <c r="N99" s="261"/>
      <c r="O99" s="261"/>
      <c r="P99" s="261"/>
      <c r="Q99" s="261"/>
      <c r="R99" s="262"/>
      <c r="S99" s="262"/>
    </row>
    <row r="100" spans="2:21">
      <c r="B100" s="151" t="s">
        <v>438</v>
      </c>
      <c r="G100" s="260">
        <f>SUM(G98,G92)</f>
        <v>0</v>
      </c>
      <c r="H100" s="260">
        <f t="shared" ref="H100:P100" si="37">SUM(H98,H92)</f>
        <v>0</v>
      </c>
      <c r="I100" s="260">
        <f t="shared" si="37"/>
        <v>0</v>
      </c>
      <c r="J100" s="260">
        <f t="shared" si="37"/>
        <v>0</v>
      </c>
      <c r="K100" s="260">
        <f t="shared" si="37"/>
        <v>0</v>
      </c>
      <c r="L100" s="260">
        <f t="shared" si="37"/>
        <v>0</v>
      </c>
      <c r="M100" s="190"/>
      <c r="N100" s="260">
        <f>SUM(N98,N92)</f>
        <v>0</v>
      </c>
      <c r="O100" s="260">
        <f t="shared" si="37"/>
        <v>0</v>
      </c>
      <c r="P100" s="260">
        <f t="shared" si="37"/>
        <v>0</v>
      </c>
      <c r="Q100" s="261"/>
      <c r="R100" s="262"/>
      <c r="S100" s="262"/>
    </row>
    <row r="101" spans="2:21">
      <c r="B101" s="1"/>
      <c r="G101" s="261"/>
      <c r="H101" s="261"/>
      <c r="I101" s="261"/>
      <c r="J101" s="261"/>
      <c r="K101" s="261"/>
      <c r="L101" s="261"/>
      <c r="M101" s="261"/>
      <c r="N101" s="261"/>
      <c r="O101" s="261"/>
      <c r="P101" s="261"/>
      <c r="Q101" s="261"/>
      <c r="R101" s="262"/>
      <c r="S101" s="262"/>
    </row>
    <row r="102" spans="2:21">
      <c r="B102" s="263" t="s">
        <v>169</v>
      </c>
      <c r="C102" s="263"/>
      <c r="D102" s="263"/>
      <c r="E102" s="263"/>
      <c r="F102" s="263"/>
      <c r="G102" s="264">
        <v>0</v>
      </c>
      <c r="H102" s="264">
        <v>0</v>
      </c>
      <c r="I102" s="264">
        <v>0</v>
      </c>
      <c r="J102" s="264">
        <v>0</v>
      </c>
      <c r="K102" s="264">
        <v>0</v>
      </c>
      <c r="L102" s="264">
        <v>0</v>
      </c>
      <c r="M102" s="265"/>
      <c r="N102" s="264">
        <v>0</v>
      </c>
      <c r="O102" s="264">
        <v>0</v>
      </c>
      <c r="P102" s="264">
        <v>0</v>
      </c>
      <c r="Q102" s="265"/>
      <c r="R102" s="266"/>
      <c r="S102" s="266"/>
      <c r="T102" s="263"/>
      <c r="U102" s="263"/>
    </row>
    <row r="103" spans="2:21">
      <c r="B103" s="151" t="s">
        <v>613</v>
      </c>
      <c r="G103" s="161">
        <f t="shared" ref="G103:L103" si="38">G100*G102</f>
        <v>0</v>
      </c>
      <c r="H103" s="161">
        <f t="shared" si="38"/>
        <v>0</v>
      </c>
      <c r="I103" s="161">
        <f t="shared" si="38"/>
        <v>0</v>
      </c>
      <c r="J103" s="161">
        <f t="shared" si="38"/>
        <v>0</v>
      </c>
      <c r="K103" s="161">
        <f t="shared" si="38"/>
        <v>0</v>
      </c>
      <c r="L103" s="161">
        <f t="shared" si="38"/>
        <v>0</v>
      </c>
      <c r="M103" s="161"/>
      <c r="N103" s="161">
        <f>N100*N102</f>
        <v>0</v>
      </c>
      <c r="O103" s="161">
        <f>O100*O102</f>
        <v>0</v>
      </c>
      <c r="P103" s="161">
        <f>P100*P102</f>
        <v>0</v>
      </c>
      <c r="Q103" s="161"/>
      <c r="R103" s="68"/>
      <c r="S103" s="68"/>
    </row>
    <row r="104" spans="2:21"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68"/>
      <c r="S104" s="68"/>
    </row>
    <row r="105" spans="2:21">
      <c r="B105" s="151" t="s">
        <v>290</v>
      </c>
      <c r="G105" s="161">
        <f>+G100-G103</f>
        <v>0</v>
      </c>
      <c r="H105" s="161">
        <f>+H100-H103</f>
        <v>0</v>
      </c>
      <c r="I105" s="161">
        <f t="shared" ref="I105:P105" si="39">+I100-I103</f>
        <v>0</v>
      </c>
      <c r="J105" s="161">
        <f t="shared" si="39"/>
        <v>0</v>
      </c>
      <c r="K105" s="161">
        <f t="shared" si="39"/>
        <v>0</v>
      </c>
      <c r="L105" s="161">
        <f t="shared" si="39"/>
        <v>0</v>
      </c>
      <c r="M105" s="161"/>
      <c r="N105" s="161">
        <f>+N100-N103</f>
        <v>0</v>
      </c>
      <c r="O105" s="161">
        <f t="shared" si="39"/>
        <v>0</v>
      </c>
      <c r="P105" s="161">
        <f t="shared" si="39"/>
        <v>0</v>
      </c>
      <c r="Q105" s="161"/>
      <c r="R105" s="68"/>
      <c r="S105" s="68"/>
    </row>
    <row r="108" spans="2:21" ht="15.75" customHeight="1" thickBot="1">
      <c r="B108" s="254" t="s">
        <v>447</v>
      </c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</row>
    <row r="109" spans="2:21" ht="12.75" customHeight="1">
      <c r="B109" s="100" t="s">
        <v>289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</row>
    <row r="110" spans="2:21">
      <c r="B110" s="10"/>
      <c r="C110" s="10"/>
      <c r="D110" s="10"/>
      <c r="E110" s="10"/>
      <c r="F110" s="10"/>
      <c r="G110" s="178"/>
      <c r="H110" s="178" t="str">
        <f>H$5</f>
        <v>Fiscal Year Ended December 31,</v>
      </c>
      <c r="I110" s="178"/>
      <c r="J110" s="178"/>
      <c r="K110" s="26"/>
      <c r="L110" s="26"/>
      <c r="M110" s="11"/>
      <c r="N110" s="178"/>
      <c r="O110" s="178" t="str">
        <f>O$5</f>
        <v>Three Months Ended</v>
      </c>
      <c r="P110" s="178"/>
      <c r="Q110" s="10"/>
      <c r="R110" s="255"/>
      <c r="S110" s="255"/>
      <c r="T110" s="10"/>
      <c r="U110" s="255"/>
    </row>
    <row r="111" spans="2:21">
      <c r="B111" s="256" t="s">
        <v>412</v>
      </c>
      <c r="C111" s="10"/>
      <c r="D111" s="10"/>
      <c r="E111" s="10"/>
      <c r="F111" s="10"/>
      <c r="G111" s="178">
        <f>G$6</f>
        <v>2013</v>
      </c>
      <c r="H111" s="178">
        <f>H$6</f>
        <v>2014</v>
      </c>
      <c r="I111" s="178">
        <f t="shared" ref="I111:P111" si="40">I$6</f>
        <v>2015</v>
      </c>
      <c r="J111" s="178">
        <f t="shared" si="40"/>
        <v>2016</v>
      </c>
      <c r="K111" s="178">
        <f t="shared" si="40"/>
        <v>2017</v>
      </c>
      <c r="L111" s="178">
        <f t="shared" si="40"/>
        <v>2018</v>
      </c>
      <c r="M111" s="257"/>
      <c r="N111" s="258">
        <f t="shared" si="40"/>
        <v>42825</v>
      </c>
      <c r="O111" s="258">
        <f t="shared" si="40"/>
        <v>43190</v>
      </c>
      <c r="P111" s="258">
        <f t="shared" si="40"/>
        <v>43555</v>
      </c>
      <c r="Q111" s="257"/>
      <c r="R111" s="259"/>
      <c r="S111" s="259"/>
      <c r="T111" s="10"/>
      <c r="U111" s="54"/>
    </row>
    <row r="112" spans="2:21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7"/>
      <c r="S112" s="17"/>
      <c r="T112" s="10"/>
      <c r="U112" s="17"/>
    </row>
    <row r="113" spans="2:21">
      <c r="B113" s="1" t="s">
        <v>448</v>
      </c>
      <c r="G113" s="201">
        <v>0</v>
      </c>
      <c r="H113" s="201">
        <v>0.8</v>
      </c>
      <c r="I113" s="201">
        <f>+H113+0.1</f>
        <v>0.9</v>
      </c>
      <c r="J113" s="201">
        <f t="shared" ref="J113:L113" si="41">+I113+0.1</f>
        <v>1</v>
      </c>
      <c r="K113" s="201">
        <f t="shared" si="41"/>
        <v>1.1000000000000001</v>
      </c>
      <c r="L113" s="201">
        <f t="shared" si="41"/>
        <v>1.2000000000000002</v>
      </c>
      <c r="M113" s="201"/>
      <c r="N113" s="201">
        <v>0</v>
      </c>
      <c r="O113" s="201">
        <v>0.30000000000000004</v>
      </c>
      <c r="P113" s="201">
        <v>0.3</v>
      </c>
      <c r="Q113" s="201"/>
      <c r="R113" s="191"/>
      <c r="S113" s="191"/>
    </row>
    <row r="114" spans="2:21">
      <c r="B114" s="1" t="s">
        <v>366</v>
      </c>
      <c r="G114" s="201">
        <v>0</v>
      </c>
      <c r="H114" s="201">
        <v>0</v>
      </c>
      <c r="I114" s="201">
        <v>0</v>
      </c>
      <c r="J114" s="201">
        <v>0</v>
      </c>
      <c r="K114" s="201">
        <v>0</v>
      </c>
      <c r="L114" s="201">
        <v>0</v>
      </c>
      <c r="M114" s="201"/>
      <c r="N114" s="201">
        <v>0</v>
      </c>
      <c r="O114" s="201">
        <v>0</v>
      </c>
      <c r="P114" s="201">
        <v>0</v>
      </c>
      <c r="Q114" s="201"/>
      <c r="R114" s="191"/>
      <c r="S114" s="191"/>
    </row>
    <row r="115" spans="2:21">
      <c r="B115" s="1" t="s">
        <v>366</v>
      </c>
      <c r="G115" s="190">
        <v>0</v>
      </c>
      <c r="H115" s="190">
        <v>0</v>
      </c>
      <c r="I115" s="190">
        <v>0</v>
      </c>
      <c r="J115" s="190">
        <v>0</v>
      </c>
      <c r="K115" s="190">
        <v>0</v>
      </c>
      <c r="L115" s="190">
        <v>0</v>
      </c>
      <c r="M115" s="201"/>
      <c r="N115" s="190">
        <v>0</v>
      </c>
      <c r="O115" s="190">
        <v>0</v>
      </c>
      <c r="P115" s="190">
        <v>0</v>
      </c>
      <c r="Q115" s="201"/>
      <c r="R115" s="191"/>
      <c r="S115" s="191"/>
    </row>
    <row r="116" spans="2:21">
      <c r="B116" s="151" t="s">
        <v>67</v>
      </c>
      <c r="G116" s="260">
        <f t="shared" ref="G116:L116" si="42">SUM(G113:G115)</f>
        <v>0</v>
      </c>
      <c r="H116" s="260">
        <f t="shared" si="42"/>
        <v>0.8</v>
      </c>
      <c r="I116" s="260">
        <f t="shared" si="42"/>
        <v>0.9</v>
      </c>
      <c r="J116" s="260">
        <f t="shared" si="42"/>
        <v>1</v>
      </c>
      <c r="K116" s="260">
        <f t="shared" si="42"/>
        <v>1.1000000000000001</v>
      </c>
      <c r="L116" s="260">
        <f t="shared" si="42"/>
        <v>1.2000000000000002</v>
      </c>
      <c r="M116" s="190"/>
      <c r="N116" s="260">
        <f>SUM(N113:N115)</f>
        <v>0</v>
      </c>
      <c r="O116" s="260">
        <f>SUM(O113:O115)</f>
        <v>0.30000000000000004</v>
      </c>
      <c r="P116" s="260">
        <f>SUM(P113:P115)</f>
        <v>0.3</v>
      </c>
      <c r="Q116" s="201"/>
      <c r="R116" s="68"/>
      <c r="S116" s="68"/>
    </row>
    <row r="117" spans="2:21">
      <c r="B117" s="1"/>
      <c r="G117" s="261"/>
      <c r="H117" s="261"/>
      <c r="I117" s="261"/>
      <c r="J117" s="261"/>
      <c r="K117" s="261"/>
      <c r="L117" s="261"/>
      <c r="M117" s="261"/>
      <c r="N117" s="261"/>
      <c r="O117" s="261"/>
      <c r="P117" s="261"/>
      <c r="Q117" s="261"/>
      <c r="R117" s="262"/>
      <c r="S117" s="262"/>
    </row>
    <row r="119" spans="2:21" ht="16.5" thickBot="1">
      <c r="B119" s="254" t="s">
        <v>291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</row>
    <row r="120" spans="2:21">
      <c r="B120" s="100" t="s">
        <v>289</v>
      </c>
    </row>
    <row r="121" spans="2:21">
      <c r="B121" s="100"/>
    </row>
    <row r="122" spans="2:21">
      <c r="B122" s="3" t="s">
        <v>190</v>
      </c>
      <c r="G122" s="153">
        <f t="shared" ref="G122:L122" si="43">+G21</f>
        <v>6.5639594999999993</v>
      </c>
      <c r="H122" s="153">
        <f t="shared" si="43"/>
        <v>6.5568999999999997</v>
      </c>
      <c r="I122" s="153">
        <f t="shared" si="43"/>
        <v>6.9819000000000004</v>
      </c>
      <c r="J122" s="153">
        <f t="shared" si="43"/>
        <v>7.4068999999999985</v>
      </c>
      <c r="K122" s="153">
        <f t="shared" si="43"/>
        <v>7.8318999999999992</v>
      </c>
      <c r="L122" s="153">
        <f t="shared" si="43"/>
        <v>8.2568999999999999</v>
      </c>
      <c r="M122" s="153"/>
      <c r="N122" s="153">
        <f>+N21</f>
        <v>1.9579749999999998</v>
      </c>
      <c r="O122" s="153">
        <f>+O21</f>
        <v>2.064225</v>
      </c>
      <c r="P122" s="153">
        <f>+P21</f>
        <v>2.4229362500000002</v>
      </c>
      <c r="Q122" s="153"/>
      <c r="R122" s="153">
        <f>+R21</f>
        <v>7.9381500000000003</v>
      </c>
      <c r="S122" s="153">
        <f>+S21</f>
        <v>8.6156112500000006</v>
      </c>
    </row>
    <row r="123" spans="2:21">
      <c r="B123" s="3" t="s">
        <v>440</v>
      </c>
      <c r="G123" s="1305">
        <f t="shared" ref="G123:L123" si="44">-G20</f>
        <v>0</v>
      </c>
      <c r="H123" s="1305">
        <f t="shared" si="44"/>
        <v>0</v>
      </c>
      <c r="I123" s="1305">
        <f t="shared" si="44"/>
        <v>0</v>
      </c>
      <c r="J123" s="1305">
        <f t="shared" si="44"/>
        <v>0</v>
      </c>
      <c r="K123" s="1305">
        <f t="shared" si="44"/>
        <v>0</v>
      </c>
      <c r="L123" s="1305">
        <f t="shared" si="44"/>
        <v>0</v>
      </c>
      <c r="M123" s="146"/>
      <c r="N123" s="1305">
        <f>-N20</f>
        <v>0</v>
      </c>
      <c r="O123" s="1305">
        <f>-O20</f>
        <v>0</v>
      </c>
      <c r="P123" s="1305">
        <f>-P20</f>
        <v>0</v>
      </c>
      <c r="Q123" s="146"/>
      <c r="R123" s="1305">
        <f>-R20</f>
        <v>0</v>
      </c>
      <c r="S123" s="1305">
        <f>-S20</f>
        <v>0</v>
      </c>
    </row>
    <row r="124" spans="2:21">
      <c r="B124" s="3" t="s">
        <v>439</v>
      </c>
      <c r="G124" s="161">
        <f t="shared" ref="G124:L124" si="45">SUM(G122:G123)</f>
        <v>6.5639594999999993</v>
      </c>
      <c r="H124" s="161">
        <f t="shared" si="45"/>
        <v>6.5568999999999997</v>
      </c>
      <c r="I124" s="161">
        <f t="shared" si="45"/>
        <v>6.9819000000000004</v>
      </c>
      <c r="J124" s="161">
        <f t="shared" si="45"/>
        <v>7.4068999999999985</v>
      </c>
      <c r="K124" s="161">
        <f t="shared" si="45"/>
        <v>7.8318999999999992</v>
      </c>
      <c r="L124" s="161">
        <f t="shared" si="45"/>
        <v>8.2568999999999999</v>
      </c>
      <c r="M124" s="161"/>
      <c r="N124" s="161">
        <f>SUM(N122:N123)</f>
        <v>1.9579749999999998</v>
      </c>
      <c r="O124" s="161">
        <f>SUM(O122:O123)</f>
        <v>2.064225</v>
      </c>
      <c r="P124" s="161">
        <f>SUM(P122:P123)</f>
        <v>2.4229362500000002</v>
      </c>
      <c r="Q124" s="161"/>
      <c r="R124" s="161">
        <f>SUM(R122:R123)</f>
        <v>7.9381500000000003</v>
      </c>
      <c r="S124" s="161">
        <f>SUM(S122:S123)</f>
        <v>8.6156112500000006</v>
      </c>
    </row>
    <row r="125" spans="2:21">
      <c r="B125" s="3" t="s">
        <v>441</v>
      </c>
      <c r="G125" s="268">
        <f t="shared" ref="G125:L125" si="46">+G18</f>
        <v>0</v>
      </c>
      <c r="H125" s="268">
        <f t="shared" si="46"/>
        <v>0</v>
      </c>
      <c r="I125" s="268">
        <f t="shared" si="46"/>
        <v>0</v>
      </c>
      <c r="J125" s="268">
        <f t="shared" si="46"/>
        <v>0</v>
      </c>
      <c r="K125" s="268">
        <f t="shared" si="46"/>
        <v>0</v>
      </c>
      <c r="L125" s="268">
        <f t="shared" si="46"/>
        <v>0</v>
      </c>
      <c r="M125" s="161"/>
      <c r="N125" s="268">
        <f>+N18</f>
        <v>0</v>
      </c>
      <c r="O125" s="268">
        <f>+O18</f>
        <v>0</v>
      </c>
      <c r="P125" s="268">
        <f>+P18</f>
        <v>0</v>
      </c>
      <c r="Q125" s="161"/>
      <c r="R125" s="268">
        <f>+R18</f>
        <v>0</v>
      </c>
      <c r="S125" s="268">
        <f>+S18</f>
        <v>0</v>
      </c>
    </row>
    <row r="126" spans="2:21">
      <c r="B126" s="3" t="s">
        <v>65</v>
      </c>
      <c r="G126" s="161">
        <f t="shared" ref="G126:L126" si="47">SUM(G124:G125)</f>
        <v>6.5639594999999993</v>
      </c>
      <c r="H126" s="161">
        <f t="shared" si="47"/>
        <v>6.5568999999999997</v>
      </c>
      <c r="I126" s="161">
        <f t="shared" si="47"/>
        <v>6.9819000000000004</v>
      </c>
      <c r="J126" s="161">
        <f t="shared" si="47"/>
        <v>7.4068999999999985</v>
      </c>
      <c r="K126" s="161">
        <f t="shared" si="47"/>
        <v>7.8318999999999992</v>
      </c>
      <c r="L126" s="161">
        <f t="shared" si="47"/>
        <v>8.2568999999999999</v>
      </c>
      <c r="M126" s="161"/>
      <c r="N126" s="161">
        <f>SUM(N124:N125)</f>
        <v>1.9579749999999998</v>
      </c>
      <c r="O126" s="161">
        <f>SUM(O124:O125)</f>
        <v>2.064225</v>
      </c>
      <c r="P126" s="161">
        <f>SUM(P124:P125)</f>
        <v>2.4229362500000002</v>
      </c>
      <c r="Q126" s="161"/>
      <c r="R126" s="161">
        <f>SUM(R124:R125)</f>
        <v>7.9381500000000003</v>
      </c>
      <c r="S126" s="161">
        <f>SUM(S124:S125)</f>
        <v>8.6156112500000006</v>
      </c>
    </row>
    <row r="127" spans="2:21">
      <c r="B127" s="3" t="s">
        <v>130</v>
      </c>
      <c r="G127" s="268">
        <f t="shared" ref="G127:L127" si="48">G16</f>
        <v>2.1929405000000002</v>
      </c>
      <c r="H127" s="268">
        <f t="shared" si="48"/>
        <v>2.7</v>
      </c>
      <c r="I127" s="268">
        <f t="shared" si="48"/>
        <v>2.835</v>
      </c>
      <c r="J127" s="268">
        <f t="shared" si="48"/>
        <v>2.97</v>
      </c>
      <c r="K127" s="268">
        <f t="shared" si="48"/>
        <v>3.1050000000000004</v>
      </c>
      <c r="L127" s="268">
        <f t="shared" si="48"/>
        <v>3.24</v>
      </c>
      <c r="M127" s="161"/>
      <c r="N127" s="268">
        <f>N16</f>
        <v>0.77625000000000011</v>
      </c>
      <c r="O127" s="268">
        <f>O16</f>
        <v>0.81</v>
      </c>
      <c r="P127" s="268">
        <f>P16</f>
        <v>0.94500000000000006</v>
      </c>
      <c r="Q127" s="161"/>
      <c r="R127" s="268">
        <f>R16</f>
        <v>3.1387500000000004</v>
      </c>
      <c r="S127" s="268">
        <f>S16</f>
        <v>3.375</v>
      </c>
    </row>
    <row r="128" spans="2:21">
      <c r="B128" s="3" t="s">
        <v>76</v>
      </c>
      <c r="G128" s="161">
        <f t="shared" ref="G128:L128" si="49">SUM(G126:G127)</f>
        <v>8.7568999999999999</v>
      </c>
      <c r="H128" s="161">
        <f t="shared" si="49"/>
        <v>9.2568999999999999</v>
      </c>
      <c r="I128" s="161">
        <f t="shared" si="49"/>
        <v>9.8169000000000004</v>
      </c>
      <c r="J128" s="161">
        <f t="shared" si="49"/>
        <v>10.376899999999999</v>
      </c>
      <c r="K128" s="161">
        <f t="shared" si="49"/>
        <v>10.9369</v>
      </c>
      <c r="L128" s="161">
        <f t="shared" si="49"/>
        <v>11.4969</v>
      </c>
      <c r="M128" s="161"/>
      <c r="N128" s="161">
        <f>SUM(N126:N127)</f>
        <v>2.7342249999999999</v>
      </c>
      <c r="O128" s="161">
        <f>SUM(O126:O127)</f>
        <v>2.874225</v>
      </c>
      <c r="P128" s="161">
        <f>SUM(P126:P127)</f>
        <v>3.3679362500000005</v>
      </c>
      <c r="Q128" s="161"/>
      <c r="R128" s="161">
        <f>SUM(R126:R127)</f>
        <v>11.0769</v>
      </c>
      <c r="S128" s="161">
        <f>SUM(S126:S127)</f>
        <v>11.990611250000001</v>
      </c>
    </row>
    <row r="129" spans="2:21">
      <c r="B129" s="4" t="s">
        <v>75</v>
      </c>
      <c r="C129" s="4"/>
      <c r="D129" s="4"/>
      <c r="E129" s="4"/>
      <c r="F129" s="4"/>
      <c r="G129" s="68">
        <f t="shared" ref="G129:L129" si="50">G14</f>
        <v>0.74309999999999998</v>
      </c>
      <c r="H129" s="68">
        <f t="shared" si="50"/>
        <v>0.74309999999999998</v>
      </c>
      <c r="I129" s="68">
        <f t="shared" si="50"/>
        <v>0.68309999999999993</v>
      </c>
      <c r="J129" s="68">
        <f t="shared" si="50"/>
        <v>0.62309999999999999</v>
      </c>
      <c r="K129" s="68">
        <f t="shared" si="50"/>
        <v>0.56309999999999993</v>
      </c>
      <c r="L129" s="68">
        <f t="shared" si="50"/>
        <v>0.50309999999999999</v>
      </c>
      <c r="M129" s="68"/>
      <c r="N129" s="68">
        <f>N14</f>
        <v>0.14077499999999998</v>
      </c>
      <c r="O129" s="68">
        <f>O14</f>
        <v>0.125775</v>
      </c>
      <c r="P129" s="68">
        <f>P14</f>
        <v>0.13206375000000001</v>
      </c>
      <c r="Q129" s="68"/>
      <c r="R129" s="68">
        <f>R14</f>
        <v>0.54809999999999992</v>
      </c>
      <c r="S129" s="68">
        <f>S14</f>
        <v>0.50938875000000006</v>
      </c>
      <c r="T129" s="4"/>
      <c r="U129" s="4"/>
    </row>
    <row r="130" spans="2:21">
      <c r="B130" s="3" t="s">
        <v>192</v>
      </c>
      <c r="G130" s="268">
        <f t="shared" ref="G130:L130" si="51">G13</f>
        <v>0</v>
      </c>
      <c r="H130" s="268">
        <f t="shared" si="51"/>
        <v>0</v>
      </c>
      <c r="I130" s="268">
        <f t="shared" si="51"/>
        <v>0</v>
      </c>
      <c r="J130" s="268">
        <f t="shared" si="51"/>
        <v>0</v>
      </c>
      <c r="K130" s="268">
        <f t="shared" si="51"/>
        <v>0</v>
      </c>
      <c r="L130" s="268">
        <f t="shared" si="51"/>
        <v>0</v>
      </c>
      <c r="M130" s="161"/>
      <c r="N130" s="268">
        <f>N13</f>
        <v>0</v>
      </c>
      <c r="O130" s="268">
        <f>O13</f>
        <v>0</v>
      </c>
      <c r="P130" s="268">
        <f>P13</f>
        <v>0</v>
      </c>
      <c r="Q130" s="68"/>
      <c r="R130" s="268">
        <f>R13</f>
        <v>0</v>
      </c>
      <c r="S130" s="268">
        <f>S13</f>
        <v>0</v>
      </c>
    </row>
    <row r="131" spans="2:21">
      <c r="B131" s="3" t="s">
        <v>64</v>
      </c>
      <c r="G131" s="161">
        <f t="shared" ref="G131:L131" si="52">SUM(G128:G130)</f>
        <v>9.5</v>
      </c>
      <c r="H131" s="161">
        <f t="shared" si="52"/>
        <v>10</v>
      </c>
      <c r="I131" s="161">
        <f t="shared" si="52"/>
        <v>10.5</v>
      </c>
      <c r="J131" s="161">
        <f t="shared" si="52"/>
        <v>11</v>
      </c>
      <c r="K131" s="161">
        <f t="shared" si="52"/>
        <v>11.5</v>
      </c>
      <c r="L131" s="161">
        <f t="shared" si="52"/>
        <v>12</v>
      </c>
      <c r="M131" s="161"/>
      <c r="N131" s="161">
        <f>SUM(N128:N130)</f>
        <v>2.875</v>
      </c>
      <c r="O131" s="161">
        <f>SUM(O128:O130)</f>
        <v>3</v>
      </c>
      <c r="P131" s="161">
        <f>SUM(P128:P130)</f>
        <v>3.5000000000000004</v>
      </c>
      <c r="Q131" s="161"/>
      <c r="R131" s="161">
        <f>SUM(R128:R130)</f>
        <v>11.625</v>
      </c>
      <c r="S131" s="161">
        <f>SUM(S128:S130)</f>
        <v>12.5</v>
      </c>
    </row>
    <row r="132" spans="2:21">
      <c r="B132" s="3" t="s">
        <v>78</v>
      </c>
      <c r="G132" s="268">
        <f t="shared" ref="G132:L132" si="53">G30</f>
        <v>0</v>
      </c>
      <c r="H132" s="268">
        <f t="shared" si="53"/>
        <v>1.4</v>
      </c>
      <c r="I132" s="268">
        <f t="shared" si="53"/>
        <v>1.5</v>
      </c>
      <c r="J132" s="268">
        <f t="shared" si="53"/>
        <v>1.6</v>
      </c>
      <c r="K132" s="268">
        <f t="shared" si="53"/>
        <v>1.7</v>
      </c>
      <c r="L132" s="268">
        <f t="shared" si="53"/>
        <v>1.9</v>
      </c>
      <c r="M132" s="161"/>
      <c r="N132" s="268">
        <f>N30</f>
        <v>0</v>
      </c>
      <c r="O132" s="268">
        <f>O30</f>
        <v>0.47499999999999998</v>
      </c>
      <c r="P132" s="268">
        <f>P30</f>
        <v>0.5462499999999999</v>
      </c>
      <c r="Q132" s="161"/>
      <c r="R132" s="268">
        <f>R30</f>
        <v>2.1749999999999998</v>
      </c>
      <c r="S132" s="268">
        <f>S30</f>
        <v>1.9712499999999997</v>
      </c>
    </row>
    <row r="133" spans="2:21">
      <c r="B133" s="3" t="s">
        <v>63</v>
      </c>
      <c r="G133" s="161">
        <f t="shared" ref="G133:L133" si="54">SUM(G131:G132)</f>
        <v>9.5</v>
      </c>
      <c r="H133" s="161">
        <f t="shared" si="54"/>
        <v>11.4</v>
      </c>
      <c r="I133" s="161">
        <f t="shared" si="54"/>
        <v>12</v>
      </c>
      <c r="J133" s="161">
        <f t="shared" si="54"/>
        <v>12.6</v>
      </c>
      <c r="K133" s="161">
        <f t="shared" si="54"/>
        <v>13.2</v>
      </c>
      <c r="L133" s="161">
        <f t="shared" si="54"/>
        <v>13.9</v>
      </c>
      <c r="M133" s="161"/>
      <c r="N133" s="161">
        <f>SUM(N131:N132)</f>
        <v>2.875</v>
      </c>
      <c r="O133" s="161">
        <f>SUM(O131:O132)</f>
        <v>3.4750000000000001</v>
      </c>
      <c r="P133" s="161">
        <f>SUM(P131:P132)</f>
        <v>4.0462500000000006</v>
      </c>
      <c r="Q133" s="161"/>
      <c r="R133" s="161">
        <f>SUM(R131:R132)</f>
        <v>13.8</v>
      </c>
      <c r="S133" s="161">
        <f>SUM(S131:S132)</f>
        <v>14.47125</v>
      </c>
    </row>
    <row r="135" spans="2:21">
      <c r="B135" s="269" t="s">
        <v>292</v>
      </c>
      <c r="C135" s="269"/>
      <c r="D135" s="269"/>
      <c r="E135" s="269"/>
      <c r="F135" s="269"/>
      <c r="G135" s="270">
        <f t="shared" ref="G135:L135" si="55">G133-G31</f>
        <v>0</v>
      </c>
      <c r="H135" s="270">
        <f t="shared" si="55"/>
        <v>0</v>
      </c>
      <c r="I135" s="270">
        <f t="shared" si="55"/>
        <v>0</v>
      </c>
      <c r="J135" s="270">
        <f t="shared" si="55"/>
        <v>0</v>
      </c>
      <c r="K135" s="270">
        <f t="shared" si="55"/>
        <v>0</v>
      </c>
      <c r="L135" s="270">
        <f t="shared" si="55"/>
        <v>0</v>
      </c>
      <c r="M135" s="270"/>
      <c r="N135" s="270">
        <f>N133-N31</f>
        <v>0</v>
      </c>
      <c r="O135" s="270">
        <f>O133-O31</f>
        <v>0</v>
      </c>
      <c r="P135" s="270">
        <f>P133-P31</f>
        <v>0</v>
      </c>
      <c r="Q135" s="270"/>
      <c r="R135" s="270">
        <f>R133-R31</f>
        <v>0</v>
      </c>
      <c r="S135" s="270">
        <f>S133-S31</f>
        <v>0</v>
      </c>
    </row>
  </sheetData>
  <customSheetViews>
    <customSheetView guid="{9AE38660-BF5A-49A3-9FC0-AD5890AFC019}" showPageBreaks="1" showGridLines="0" printArea="1" view="pageBreakPreview" showRuler="0">
      <selection activeCell="B2" sqref="B2"/>
      <pageMargins left="0.35" right="0.35" top="0.35" bottom="0.35" header="0.15" footer="0.15"/>
      <printOptions horizontalCentered="1"/>
      <pageSetup scale="84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scale="66" orientation="landscape" r:id="rId2"/>
  <headerFooter alignWithMargins="0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indexed="42"/>
  </sheetPr>
  <dimension ref="A1:W60"/>
  <sheetViews>
    <sheetView showGridLines="0" view="pageBreakPreview" zoomScaleNormal="100" zoomScaleSheetLayoutView="100" workbookViewId="0"/>
  </sheetViews>
  <sheetFormatPr defaultColWidth="10.33203125" defaultRowHeight="12.75"/>
  <cols>
    <col min="1" max="1" width="2.83203125" style="4" customWidth="1"/>
    <col min="2" max="11" width="10.33203125" style="3" customWidth="1"/>
    <col min="12" max="12" width="2.83203125" style="3" customWidth="1"/>
    <col min="13" max="14" width="10.33203125" style="3" customWidth="1"/>
    <col min="15" max="15" width="2.83203125" style="3" customWidth="1"/>
    <col min="16" max="16" width="10.33203125" style="4"/>
    <col min="17" max="17" width="11.5" style="3" customWidth="1"/>
    <col min="18" max="16384" width="10.33203125" style="4"/>
  </cols>
  <sheetData>
    <row r="1" spans="1:23">
      <c r="A1" s="2"/>
    </row>
    <row r="2" spans="1:23" ht="23.25">
      <c r="B2" s="97" t="str">
        <f>proj</f>
        <v>Project MODEL</v>
      </c>
      <c r="C2" s="1301"/>
      <c r="D2" s="1301"/>
      <c r="E2" s="1301"/>
      <c r="F2" s="1301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s="276" customFormat="1" ht="20.100000000000001" customHeight="1" thickBot="1">
      <c r="B3" s="98" t="str">
        <f>tar&amp;" - Historical Balance Sheet"</f>
        <v>SG ENTERPRISES - Historical Balance Sheet</v>
      </c>
      <c r="C3" s="505"/>
      <c r="D3" s="505"/>
      <c r="E3" s="505"/>
      <c r="F3" s="505"/>
      <c r="G3" s="395"/>
      <c r="H3" s="395"/>
      <c r="I3" s="395"/>
      <c r="J3" s="395"/>
      <c r="K3" s="395"/>
      <c r="L3" s="395"/>
      <c r="M3" s="395"/>
      <c r="N3" s="395"/>
      <c r="O3" s="277"/>
      <c r="P3" s="278"/>
      <c r="Q3" s="278"/>
      <c r="R3" s="278"/>
      <c r="S3" s="278"/>
      <c r="T3" s="278"/>
    </row>
    <row r="4" spans="1:23" s="279" customFormat="1">
      <c r="B4" s="100" t="s">
        <v>289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Q4" s="7"/>
    </row>
    <row r="5" spans="1:23" ht="12.75" customHeight="1">
      <c r="G5" s="280" t="str">
        <f>'Tar Income Statement'!H5</f>
        <v>Fiscal Year Ended December 31,</v>
      </c>
      <c r="H5" s="280"/>
      <c r="I5" s="280"/>
      <c r="J5" s="280"/>
      <c r="K5" s="280"/>
      <c r="L5" s="17"/>
      <c r="M5" s="280" t="s">
        <v>185</v>
      </c>
      <c r="N5" s="280"/>
      <c r="Q5" s="255"/>
    </row>
    <row r="6" spans="1:23">
      <c r="G6" s="281">
        <f>'Tar Income Statement'!H6</f>
        <v>2014</v>
      </c>
      <c r="H6" s="281">
        <f>'Tar Income Statement'!I6</f>
        <v>2015</v>
      </c>
      <c r="I6" s="281">
        <f>'Tar Income Statement'!J6</f>
        <v>2016</v>
      </c>
      <c r="J6" s="281">
        <f>'Tar Income Statement'!K6</f>
        <v>2017</v>
      </c>
      <c r="K6" s="281">
        <f>'Tar Income Statement'!L6</f>
        <v>2018</v>
      </c>
      <c r="L6" s="282"/>
      <c r="M6" s="283">
        <f>'Tar Income Statement'!O6</f>
        <v>43190</v>
      </c>
      <c r="N6" s="283">
        <f>'Tar Income Statement'!P6</f>
        <v>43555</v>
      </c>
      <c r="Q6" s="284" t="s">
        <v>116</v>
      </c>
    </row>
    <row r="7" spans="1:23" ht="18" customHeight="1">
      <c r="B7" s="285" t="s">
        <v>35</v>
      </c>
      <c r="G7" s="286"/>
      <c r="H7" s="287"/>
      <c r="I7" s="287"/>
      <c r="J7" s="287"/>
      <c r="K7" s="288"/>
      <c r="L7" s="7"/>
      <c r="M7" s="289"/>
      <c r="N7" s="290"/>
      <c r="O7" s="7"/>
      <c r="P7" s="291"/>
      <c r="Q7" s="7"/>
      <c r="R7" s="7"/>
      <c r="S7" s="7"/>
    </row>
    <row r="8" spans="1:23">
      <c r="B8" s="3" t="s">
        <v>200</v>
      </c>
      <c r="G8" s="185">
        <v>5.11212</v>
      </c>
      <c r="H8" s="185">
        <v>10.547820000000002</v>
      </c>
      <c r="I8" s="185">
        <v>17.026620000000001</v>
      </c>
      <c r="J8" s="185">
        <v>24.96292</v>
      </c>
      <c r="K8" s="185">
        <v>38.64472</v>
      </c>
      <c r="L8" s="292"/>
      <c r="M8" s="185">
        <v>26.9070325</v>
      </c>
      <c r="N8" s="185">
        <v>40.868709375000002</v>
      </c>
      <c r="O8" s="293"/>
      <c r="P8" s="294"/>
      <c r="Q8" s="153">
        <f>IF(tquarter&lt;&gt;4,N8,K8)</f>
        <v>40.868709375000002</v>
      </c>
      <c r="R8" s="292"/>
      <c r="S8" s="185"/>
      <c r="T8" s="292"/>
      <c r="U8" s="292"/>
      <c r="V8" s="292"/>
    </row>
    <row r="9" spans="1:23">
      <c r="B9" s="3" t="s">
        <v>39</v>
      </c>
      <c r="G9" s="201">
        <f t="shared" ref="G9:I9" si="0">+H9-0.5</f>
        <v>7.4939999999999998</v>
      </c>
      <c r="H9" s="201">
        <f t="shared" si="0"/>
        <v>7.9939999999999998</v>
      </c>
      <c r="I9" s="201">
        <f t="shared" si="0"/>
        <v>8.4939999999999998</v>
      </c>
      <c r="J9" s="201">
        <f>+K9-0.5</f>
        <v>8.9939999999999998</v>
      </c>
      <c r="K9" s="201">
        <v>9.4939999999999998</v>
      </c>
      <c r="L9" s="190"/>
      <c r="M9" s="201">
        <v>10.464300000000001</v>
      </c>
      <c r="N9" s="201">
        <v>11.627000000000001</v>
      </c>
      <c r="O9" s="295"/>
      <c r="P9" s="236"/>
      <c r="Q9" s="161"/>
      <c r="R9" s="190"/>
      <c r="S9" s="201"/>
      <c r="T9" s="190"/>
      <c r="U9" s="190"/>
      <c r="V9" s="190"/>
    </row>
    <row r="10" spans="1:23">
      <c r="B10" s="3" t="s">
        <v>40</v>
      </c>
      <c r="G10" s="201">
        <f t="shared" ref="G10:J10" si="1">+H10-0.5</f>
        <v>2.6970000000000001</v>
      </c>
      <c r="H10" s="201">
        <f t="shared" si="1"/>
        <v>3.1970000000000001</v>
      </c>
      <c r="I10" s="201">
        <f t="shared" si="1"/>
        <v>3.6970000000000001</v>
      </c>
      <c r="J10" s="201">
        <f t="shared" si="1"/>
        <v>4.1970000000000001</v>
      </c>
      <c r="K10" s="201">
        <v>4.6970000000000001</v>
      </c>
      <c r="L10" s="190"/>
      <c r="M10" s="201">
        <v>3.9744000000000006</v>
      </c>
      <c r="N10" s="201">
        <v>4.4160000000000004</v>
      </c>
      <c r="O10" s="295"/>
      <c r="P10" s="236"/>
      <c r="Q10" s="161"/>
      <c r="R10" s="190"/>
      <c r="S10" s="201"/>
      <c r="T10" s="190"/>
      <c r="U10" s="190"/>
      <c r="V10" s="190"/>
    </row>
    <row r="11" spans="1:23">
      <c r="B11" s="3" t="s">
        <v>246</v>
      </c>
      <c r="G11" s="296">
        <v>0.1</v>
      </c>
      <c r="H11" s="296">
        <f t="shared" ref="H11:J11" si="2">+I11-0.5</f>
        <v>9.6000000000000085E-2</v>
      </c>
      <c r="I11" s="296">
        <f t="shared" si="2"/>
        <v>0.59600000000000009</v>
      </c>
      <c r="J11" s="296">
        <f t="shared" si="2"/>
        <v>1.0960000000000001</v>
      </c>
      <c r="K11" s="296">
        <v>1.5960000000000001</v>
      </c>
      <c r="L11" s="190"/>
      <c r="M11" s="296">
        <v>2.1240000000000001</v>
      </c>
      <c r="N11" s="296">
        <v>2.36</v>
      </c>
      <c r="O11" s="295"/>
      <c r="P11" s="236"/>
      <c r="Q11" s="68"/>
      <c r="R11" s="190"/>
      <c r="S11" s="201"/>
      <c r="T11" s="190"/>
      <c r="U11" s="190"/>
      <c r="V11" s="190"/>
    </row>
    <row r="12" spans="1:23">
      <c r="B12" s="3" t="s">
        <v>194</v>
      </c>
      <c r="G12" s="161">
        <f>SUM(G8:G11)</f>
        <v>15.403119999999999</v>
      </c>
      <c r="H12" s="161">
        <f>SUM(H8:H11)</f>
        <v>21.834820000000001</v>
      </c>
      <c r="I12" s="161">
        <f>SUM(I8:I11)</f>
        <v>29.81362</v>
      </c>
      <c r="J12" s="161">
        <f>SUM(J8:J11)</f>
        <v>39.249920000000003</v>
      </c>
      <c r="K12" s="161">
        <f>+SUM(K8:K11)</f>
        <v>54.431719999999999</v>
      </c>
      <c r="L12" s="190"/>
      <c r="M12" s="161">
        <f>SUM(M8:M11)</f>
        <v>43.469732500000006</v>
      </c>
      <c r="N12" s="161">
        <v>26.148</v>
      </c>
      <c r="O12" s="236"/>
      <c r="P12" s="236"/>
      <c r="Q12" s="68"/>
      <c r="R12" s="68"/>
      <c r="S12" s="201"/>
      <c r="T12" s="68"/>
      <c r="U12" s="190"/>
      <c r="V12" s="68"/>
    </row>
    <row r="13" spans="1:23">
      <c r="B13" s="3" t="s">
        <v>43</v>
      </c>
      <c r="G13" s="201">
        <f t="shared" ref="G13:I13" si="3">+H13-0.5</f>
        <v>1.278</v>
      </c>
      <c r="H13" s="201">
        <f t="shared" si="3"/>
        <v>1.778</v>
      </c>
      <c r="I13" s="201">
        <f t="shared" si="3"/>
        <v>2.278</v>
      </c>
      <c r="J13" s="201">
        <f>+K13-0.5</f>
        <v>2.778</v>
      </c>
      <c r="K13" s="201">
        <v>3.278</v>
      </c>
      <c r="L13" s="190"/>
      <c r="M13" s="201">
        <v>3.2526000000000002</v>
      </c>
      <c r="N13" s="201">
        <v>3.6139999999999999</v>
      </c>
      <c r="O13" s="295"/>
      <c r="P13" s="236"/>
      <c r="Q13" s="68"/>
      <c r="R13" s="190"/>
      <c r="S13" s="201"/>
      <c r="T13" s="190"/>
      <c r="U13" s="190"/>
      <c r="V13" s="190"/>
    </row>
    <row r="14" spans="1:23">
      <c r="B14" s="3" t="s">
        <v>332</v>
      </c>
      <c r="G14" s="201">
        <f t="shared" ref="G14:J14" si="4">+H14-0.5</f>
        <v>29.388000000000002</v>
      </c>
      <c r="H14" s="201">
        <f t="shared" si="4"/>
        <v>29.888000000000002</v>
      </c>
      <c r="I14" s="201">
        <f t="shared" si="4"/>
        <v>30.388000000000002</v>
      </c>
      <c r="J14" s="201">
        <f t="shared" si="4"/>
        <v>30.888000000000002</v>
      </c>
      <c r="K14" s="201">
        <v>31.388000000000002</v>
      </c>
      <c r="L14" s="190"/>
      <c r="M14" s="201">
        <v>28.987199999999998</v>
      </c>
      <c r="N14" s="201">
        <v>32.207999999999998</v>
      </c>
      <c r="O14" s="295"/>
      <c r="P14" s="236"/>
      <c r="Q14" s="68"/>
      <c r="R14" s="190"/>
      <c r="S14" s="201"/>
      <c r="T14" s="190"/>
      <c r="U14" s="190"/>
      <c r="V14" s="190"/>
    </row>
    <row r="15" spans="1:23">
      <c r="B15" s="3" t="s">
        <v>356</v>
      </c>
      <c r="G15" s="201">
        <v>0</v>
      </c>
      <c r="H15" s="201">
        <v>0</v>
      </c>
      <c r="I15" s="201">
        <v>0</v>
      </c>
      <c r="J15" s="201">
        <v>0</v>
      </c>
      <c r="K15" s="201">
        <v>0.443</v>
      </c>
      <c r="L15" s="190"/>
      <c r="M15" s="201">
        <v>0.35820000000000002</v>
      </c>
      <c r="N15" s="201">
        <v>0.39800000000000002</v>
      </c>
      <c r="O15" s="295"/>
      <c r="P15" s="236"/>
      <c r="Q15" s="68"/>
      <c r="R15" s="190"/>
      <c r="S15" s="201"/>
      <c r="T15" s="190"/>
      <c r="U15" s="190"/>
      <c r="V15" s="190"/>
    </row>
    <row r="16" spans="1:23">
      <c r="B16" s="3" t="s">
        <v>232</v>
      </c>
      <c r="G16" s="296">
        <f t="shared" ref="G16:J16" si="5">+H16-0.5</f>
        <v>4.3160000000000007</v>
      </c>
      <c r="H16" s="296">
        <f t="shared" si="5"/>
        <v>4.8160000000000007</v>
      </c>
      <c r="I16" s="296">
        <f t="shared" si="5"/>
        <v>5.3160000000000007</v>
      </c>
      <c r="J16" s="296">
        <f t="shared" si="5"/>
        <v>5.8160000000000007</v>
      </c>
      <c r="K16" s="296">
        <v>6.3160000000000007</v>
      </c>
      <c r="L16" s="190"/>
      <c r="M16" s="296">
        <v>5.8689</v>
      </c>
      <c r="N16" s="296">
        <v>6.5209999999999999</v>
      </c>
      <c r="O16" s="295"/>
      <c r="P16" s="236"/>
      <c r="Q16" s="68"/>
      <c r="R16" s="190"/>
      <c r="S16" s="201"/>
      <c r="T16" s="190"/>
      <c r="U16" s="190"/>
      <c r="V16" s="190"/>
    </row>
    <row r="17" spans="2:22" ht="13.5" thickBot="1">
      <c r="B17" s="3" t="s">
        <v>149</v>
      </c>
      <c r="G17" s="297">
        <f>SUM(G12:G16)</f>
        <v>50.385120000000001</v>
      </c>
      <c r="H17" s="297">
        <f>SUM(H12:H16)</f>
        <v>58.316820000000007</v>
      </c>
      <c r="I17" s="297">
        <f>SUM(I12:I16)</f>
        <v>67.79562</v>
      </c>
      <c r="J17" s="297">
        <f>SUM(J12:J16)</f>
        <v>78.731920000000002</v>
      </c>
      <c r="K17" s="297">
        <f>+SUM(K12:K16)</f>
        <v>95.856719999999996</v>
      </c>
      <c r="L17" s="146"/>
      <c r="M17" s="297">
        <f>SUM(M12:M16)</f>
        <v>81.936632500000002</v>
      </c>
      <c r="N17" s="297">
        <v>68.888999999999996</v>
      </c>
      <c r="O17" s="294"/>
      <c r="P17" s="294"/>
      <c r="Q17" s="146"/>
      <c r="R17" s="146"/>
      <c r="S17" s="153"/>
      <c r="T17" s="146"/>
      <c r="U17" s="146"/>
      <c r="V17" s="146"/>
    </row>
    <row r="18" spans="2:22" ht="13.5" thickTop="1">
      <c r="L18" s="4"/>
      <c r="O18" s="4"/>
      <c r="Q18" s="4"/>
      <c r="S18" s="3"/>
    </row>
    <row r="19" spans="2:22">
      <c r="B19" s="285" t="s">
        <v>47</v>
      </c>
      <c r="L19" s="4"/>
      <c r="O19" s="4"/>
      <c r="Q19" s="4"/>
      <c r="S19" s="3"/>
    </row>
    <row r="20" spans="2:22">
      <c r="B20" s="3" t="s">
        <v>443</v>
      </c>
      <c r="G20" s="185">
        <v>1</v>
      </c>
      <c r="H20" s="185">
        <v>1</v>
      </c>
      <c r="I20" s="185">
        <v>1</v>
      </c>
      <c r="J20" s="185">
        <v>2</v>
      </c>
      <c r="K20" s="185">
        <v>4.82</v>
      </c>
      <c r="L20" s="146"/>
      <c r="M20" s="185">
        <v>4.1147999999999998</v>
      </c>
      <c r="N20" s="185">
        <v>4.5720000000000001</v>
      </c>
      <c r="O20" s="4"/>
      <c r="Q20" s="153">
        <f>IF(tquarter&lt;&gt;4,N20,K20)</f>
        <v>4.5720000000000001</v>
      </c>
      <c r="R20" s="292"/>
      <c r="S20" s="153"/>
      <c r="T20" s="292"/>
      <c r="U20" s="146"/>
      <c r="V20" s="292"/>
    </row>
    <row r="21" spans="2:22">
      <c r="B21" s="3" t="s">
        <v>48</v>
      </c>
      <c r="G21" s="201">
        <f t="shared" ref="G21:I21" si="6">+H21-0.2</f>
        <v>3.8509999999999991</v>
      </c>
      <c r="H21" s="201">
        <f t="shared" si="6"/>
        <v>4.0509999999999993</v>
      </c>
      <c r="I21" s="201">
        <f t="shared" si="6"/>
        <v>4.2509999999999994</v>
      </c>
      <c r="J21" s="201">
        <f>+K21-0.2</f>
        <v>4.4509999999999996</v>
      </c>
      <c r="K21" s="201">
        <v>4.6509999999999998</v>
      </c>
      <c r="L21" s="147"/>
      <c r="M21" s="201">
        <v>5.2839000000000009</v>
      </c>
      <c r="N21" s="201">
        <v>5.8710000000000004</v>
      </c>
      <c r="O21" s="295"/>
      <c r="P21" s="236"/>
      <c r="Q21" s="161"/>
      <c r="R21" s="190"/>
      <c r="S21" s="161"/>
      <c r="T21" s="190"/>
      <c r="U21" s="147"/>
      <c r="V21" s="190"/>
    </row>
    <row r="22" spans="2:22">
      <c r="B22" s="3" t="s">
        <v>100</v>
      </c>
      <c r="G22" s="296">
        <f t="shared" ref="G22:J22" si="7">+H22-0.2</f>
        <v>5.0389999999999997</v>
      </c>
      <c r="H22" s="296">
        <f t="shared" si="7"/>
        <v>5.2389999999999999</v>
      </c>
      <c r="I22" s="296">
        <f t="shared" si="7"/>
        <v>5.4390000000000001</v>
      </c>
      <c r="J22" s="296">
        <f t="shared" si="7"/>
        <v>5.6390000000000002</v>
      </c>
      <c r="K22" s="296">
        <v>5.8390000000000004</v>
      </c>
      <c r="L22" s="147"/>
      <c r="M22" s="296">
        <v>6.2055000000000007</v>
      </c>
      <c r="N22" s="296">
        <v>6.8950000000000005</v>
      </c>
      <c r="O22" s="295"/>
      <c r="P22" s="236"/>
      <c r="Q22" s="161"/>
      <c r="R22" s="190"/>
      <c r="S22" s="161"/>
      <c r="T22" s="190"/>
      <c r="U22" s="147"/>
      <c r="V22" s="190"/>
    </row>
    <row r="23" spans="2:22">
      <c r="B23" s="3" t="s">
        <v>142</v>
      </c>
      <c r="G23" s="161">
        <f>SUM(G20:G22)</f>
        <v>9.8899999999999988</v>
      </c>
      <c r="H23" s="161">
        <f>SUM(H20:H22)</f>
        <v>10.29</v>
      </c>
      <c r="I23" s="161">
        <f>SUM(I20:I22)</f>
        <v>10.69</v>
      </c>
      <c r="J23" s="161">
        <f>SUM(J20:J22)</f>
        <v>12.09</v>
      </c>
      <c r="K23" s="161">
        <v>15.31</v>
      </c>
      <c r="L23" s="68"/>
      <c r="M23" s="161">
        <f>SUM(M20:M22)</f>
        <v>15.604200000000002</v>
      </c>
      <c r="N23" s="161">
        <v>17.338000000000001</v>
      </c>
      <c r="O23" s="236"/>
      <c r="P23" s="236"/>
      <c r="Q23" s="161"/>
      <c r="R23" s="68"/>
      <c r="S23" s="161"/>
      <c r="T23" s="68"/>
      <c r="U23" s="68"/>
      <c r="V23" s="68"/>
    </row>
    <row r="24" spans="2:22">
      <c r="B24" s="3" t="s">
        <v>120</v>
      </c>
      <c r="G24" s="201">
        <f t="shared" ref="G24:I24" si="8">+H24+1</f>
        <v>12.385</v>
      </c>
      <c r="H24" s="201">
        <f t="shared" si="8"/>
        <v>11.385</v>
      </c>
      <c r="I24" s="201">
        <f t="shared" si="8"/>
        <v>10.385</v>
      </c>
      <c r="J24" s="201">
        <f>+K24+1</f>
        <v>9.3849999999999998</v>
      </c>
      <c r="K24" s="201">
        <v>8.3849999999999998</v>
      </c>
      <c r="L24" s="147"/>
      <c r="M24" s="201">
        <v>5.7060000000000004</v>
      </c>
      <c r="N24" s="201">
        <v>6.34</v>
      </c>
      <c r="O24" s="295"/>
      <c r="P24" s="236"/>
      <c r="Q24" s="161">
        <f>IF(tquarter&lt;&gt;4,N24,K24)</f>
        <v>6.34</v>
      </c>
      <c r="R24" s="190"/>
      <c r="S24" s="161"/>
      <c r="T24" s="190"/>
      <c r="U24" s="147"/>
      <c r="V24" s="190"/>
    </row>
    <row r="25" spans="2:22">
      <c r="B25" s="3" t="s">
        <v>233</v>
      </c>
      <c r="G25" s="201">
        <v>0</v>
      </c>
      <c r="H25" s="201">
        <v>0</v>
      </c>
      <c r="I25" s="201">
        <v>0</v>
      </c>
      <c r="J25" s="201">
        <v>0</v>
      </c>
      <c r="K25" s="201">
        <v>3.6030000000000002</v>
      </c>
      <c r="L25" s="147"/>
      <c r="M25" s="201">
        <v>3.3839999999999999</v>
      </c>
      <c r="N25" s="201">
        <v>3.76</v>
      </c>
      <c r="O25" s="295"/>
      <c r="P25" s="236"/>
      <c r="Q25" s="68"/>
      <c r="R25" s="190"/>
      <c r="S25" s="161"/>
      <c r="T25" s="190"/>
      <c r="U25" s="147"/>
      <c r="V25" s="190"/>
    </row>
    <row r="26" spans="2:22">
      <c r="B26" s="3" t="s">
        <v>52</v>
      </c>
      <c r="G26" s="201">
        <v>0.2</v>
      </c>
      <c r="H26" s="201">
        <v>0.2</v>
      </c>
      <c r="I26" s="201">
        <v>0.2</v>
      </c>
      <c r="J26" s="201">
        <v>0.2</v>
      </c>
      <c r="K26" s="201">
        <v>0.2</v>
      </c>
      <c r="L26" s="147"/>
      <c r="M26" s="201">
        <v>0.14400000000000002</v>
      </c>
      <c r="N26" s="201">
        <v>0.16</v>
      </c>
      <c r="O26" s="295"/>
      <c r="P26" s="236"/>
      <c r="Q26" s="161">
        <f>IF(tquarter&lt;&gt;4,N26,K26)</f>
        <v>0.16</v>
      </c>
      <c r="R26" s="190"/>
      <c r="S26" s="161"/>
      <c r="T26" s="190"/>
      <c r="U26" s="147"/>
      <c r="V26" s="190"/>
    </row>
    <row r="27" spans="2:22">
      <c r="B27" s="3" t="s">
        <v>53</v>
      </c>
      <c r="G27" s="201">
        <v>0</v>
      </c>
      <c r="H27" s="201">
        <v>0</v>
      </c>
      <c r="I27" s="201">
        <v>0</v>
      </c>
      <c r="J27" s="201">
        <v>0</v>
      </c>
      <c r="K27" s="201">
        <v>0</v>
      </c>
      <c r="L27" s="147"/>
      <c r="M27" s="201">
        <v>0</v>
      </c>
      <c r="N27" s="201">
        <v>0</v>
      </c>
      <c r="O27" s="295"/>
      <c r="P27" s="236"/>
      <c r="Q27" s="161">
        <f>IF(tquarter&lt;&gt;4,N27,K27)</f>
        <v>0</v>
      </c>
      <c r="R27" s="190"/>
      <c r="S27" s="161"/>
      <c r="T27" s="190"/>
      <c r="U27" s="147"/>
      <c r="V27" s="190"/>
    </row>
    <row r="28" spans="2:22">
      <c r="B28" s="3" t="s">
        <v>150</v>
      </c>
      <c r="G28" s="296">
        <v>27.910120000000003</v>
      </c>
      <c r="H28" s="296">
        <v>36.441820000000007</v>
      </c>
      <c r="I28" s="296">
        <v>46.520620000000001</v>
      </c>
      <c r="J28" s="296">
        <v>57.056920000000005</v>
      </c>
      <c r="K28" s="296">
        <v>68.358719999999991</v>
      </c>
      <c r="L28" s="147"/>
      <c r="M28" s="296">
        <v>57.098432500000001</v>
      </c>
      <c r="N28" s="296">
        <v>41.290999999999997</v>
      </c>
      <c r="O28" s="295"/>
      <c r="P28" s="236"/>
      <c r="Q28" s="68">
        <f>IF(tquarter&lt;&gt;4,N28,K28)</f>
        <v>41.290999999999997</v>
      </c>
      <c r="R28" s="190"/>
      <c r="S28" s="161"/>
      <c r="T28" s="190"/>
      <c r="U28" s="147"/>
      <c r="V28" s="190"/>
    </row>
    <row r="29" spans="2:22" ht="13.5" thickBot="1">
      <c r="B29" s="3" t="s">
        <v>195</v>
      </c>
      <c r="G29" s="297">
        <f>SUM(G23:G28)</f>
        <v>50.385120000000001</v>
      </c>
      <c r="H29" s="297">
        <f>SUM(H23:H28)</f>
        <v>58.316820000000007</v>
      </c>
      <c r="I29" s="297">
        <f>SUM(I23:I28)</f>
        <v>67.79562</v>
      </c>
      <c r="J29" s="297">
        <f>SUM(J23:J28)</f>
        <v>78.731920000000002</v>
      </c>
      <c r="K29" s="297">
        <f>SUM(K23:K28)</f>
        <v>95.856719999999996</v>
      </c>
      <c r="L29" s="146"/>
      <c r="M29" s="297">
        <f>SUM(M23:M28)</f>
        <v>81.936632500000002</v>
      </c>
      <c r="N29" s="297">
        <f>SUM(N23:N28)</f>
        <v>68.888999999999996</v>
      </c>
      <c r="O29" s="294"/>
      <c r="P29" s="294"/>
      <c r="Q29" s="161"/>
      <c r="R29" s="146"/>
      <c r="S29" s="153"/>
      <c r="T29" s="146"/>
      <c r="U29" s="146"/>
      <c r="V29" s="146"/>
    </row>
    <row r="30" spans="2:22" ht="13.5" thickTop="1">
      <c r="L30" s="4"/>
      <c r="M30" s="4"/>
      <c r="N30" s="4"/>
      <c r="O30" s="4"/>
      <c r="Q30" s="161"/>
    </row>
    <row r="31" spans="2:22">
      <c r="B31" s="3" t="s">
        <v>55</v>
      </c>
      <c r="G31" s="153">
        <f>G12-G8-(G23-G20)</f>
        <v>1.4010000000000016</v>
      </c>
      <c r="H31" s="153">
        <f>H12-H8-(H23-H20)</f>
        <v>1.9969999999999999</v>
      </c>
      <c r="I31" s="153">
        <f>I12-I8-(I23-I20)</f>
        <v>3.0969999999999995</v>
      </c>
      <c r="J31" s="153">
        <f>J12-J8-(J23-J20)</f>
        <v>4.1970000000000027</v>
      </c>
      <c r="K31" s="153">
        <f>K12-K8-(K23-K20)</f>
        <v>5.2969999999999988</v>
      </c>
      <c r="L31" s="146"/>
      <c r="M31" s="153">
        <f>M12-M8-(M23-M20)</f>
        <v>5.0733000000000033</v>
      </c>
      <c r="N31" s="153">
        <f>N12-N8-(N23-N20)</f>
        <v>-27.486709375000004</v>
      </c>
      <c r="O31" s="294"/>
      <c r="P31" s="294"/>
      <c r="Q31" s="153">
        <f>IF(tquarter&lt;&gt;4,N31,K31)</f>
        <v>-27.486709375000004</v>
      </c>
      <c r="R31" s="294"/>
      <c r="S31" s="294"/>
    </row>
    <row r="32" spans="2:22">
      <c r="G32" s="298"/>
      <c r="H32" s="298"/>
      <c r="I32" s="298"/>
      <c r="J32" s="298"/>
      <c r="K32" s="298"/>
      <c r="L32" s="299"/>
      <c r="M32" s="298"/>
      <c r="N32" s="298"/>
      <c r="O32" s="294"/>
      <c r="P32" s="294"/>
      <c r="Q32" s="298"/>
      <c r="R32" s="294"/>
      <c r="S32" s="294"/>
    </row>
    <row r="33" spans="2:19">
      <c r="B33" s="3" t="s">
        <v>87</v>
      </c>
      <c r="G33" s="153">
        <f>G24+G20</f>
        <v>13.385</v>
      </c>
      <c r="H33" s="153">
        <f>H24+H20</f>
        <v>12.385</v>
      </c>
      <c r="I33" s="153">
        <f>I24+I20</f>
        <v>11.385</v>
      </c>
      <c r="J33" s="153">
        <f>J24+J20</f>
        <v>11.385</v>
      </c>
      <c r="K33" s="153">
        <f>K24+K20</f>
        <v>13.205</v>
      </c>
      <c r="L33" s="146"/>
      <c r="M33" s="153">
        <f>M24+M20</f>
        <v>9.8208000000000002</v>
      </c>
      <c r="N33" s="153">
        <f>N24+N20</f>
        <v>10.911999999999999</v>
      </c>
      <c r="O33" s="294"/>
      <c r="P33" s="294"/>
      <c r="Q33" s="153">
        <f>IF(tquarter&lt;&gt;4,N33,K33)</f>
        <v>10.911999999999999</v>
      </c>
      <c r="R33" s="294"/>
      <c r="S33" s="294"/>
    </row>
    <row r="34" spans="2:19">
      <c r="B34" s="3" t="s">
        <v>313</v>
      </c>
      <c r="G34" s="161">
        <f>G24+G20-G8</f>
        <v>8.2728800000000007</v>
      </c>
      <c r="H34" s="161">
        <f>H24+H20-H8</f>
        <v>1.8371799999999983</v>
      </c>
      <c r="I34" s="161">
        <f>I24+I20-I8</f>
        <v>-5.6416200000000014</v>
      </c>
      <c r="J34" s="161">
        <f>J24+J20-J8</f>
        <v>-13.577920000000001</v>
      </c>
      <c r="K34" s="161">
        <f>K24+K20-K8</f>
        <v>-25.439720000000001</v>
      </c>
      <c r="L34" s="68"/>
      <c r="M34" s="161">
        <f>M24+M20-M8</f>
        <v>-17.086232500000001</v>
      </c>
      <c r="N34" s="161">
        <f>N24+N20-N8</f>
        <v>-29.956709375000003</v>
      </c>
      <c r="O34" s="294"/>
      <c r="P34" s="294"/>
      <c r="Q34" s="161">
        <f>IF(tquarter&lt;&gt;4,N34,K34)</f>
        <v>-29.956709375000003</v>
      </c>
      <c r="R34" s="294"/>
      <c r="S34" s="294"/>
    </row>
    <row r="35" spans="2:19">
      <c r="B35" s="4"/>
      <c r="C35" s="4"/>
      <c r="D35" s="4"/>
      <c r="E35" s="4"/>
      <c r="F35" s="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8"/>
      <c r="R35" s="294"/>
      <c r="S35" s="294"/>
    </row>
    <row r="36" spans="2:19" ht="13.5">
      <c r="B36" s="250" t="str">
        <f>'Tar Income Statement'!B65</f>
        <v>Source: Company's 2018 Form 10-K and Form 10-Q for the period ended March 31, 2019.</v>
      </c>
      <c r="C36" s="300"/>
      <c r="D36" s="301"/>
      <c r="E36" s="301"/>
      <c r="F36" s="301"/>
      <c r="G36" s="300"/>
      <c r="H36" s="300"/>
      <c r="I36" s="300"/>
      <c r="J36" s="300"/>
      <c r="K36" s="300"/>
      <c r="L36" s="302"/>
      <c r="M36" s="302"/>
      <c r="N36" s="302"/>
      <c r="O36" s="1313"/>
      <c r="P36" s="303"/>
      <c r="Q36" s="153"/>
      <c r="R36" s="303"/>
      <c r="S36" s="303"/>
    </row>
    <row r="37" spans="2:19">
      <c r="Q37" s="161"/>
    </row>
    <row r="38" spans="2:19">
      <c r="B38" s="3" t="s">
        <v>34</v>
      </c>
      <c r="G38" s="161">
        <f>G17-G29</f>
        <v>0</v>
      </c>
      <c r="H38" s="161">
        <f>H17-H29</f>
        <v>0</v>
      </c>
      <c r="I38" s="161">
        <f>I17-I29</f>
        <v>0</v>
      </c>
      <c r="J38" s="161">
        <f>J17-J29</f>
        <v>0</v>
      </c>
      <c r="K38" s="161">
        <f>K17-K29</f>
        <v>0</v>
      </c>
      <c r="M38" s="161">
        <f>M17-M29</f>
        <v>0</v>
      </c>
      <c r="N38" s="161">
        <f>N17-N29</f>
        <v>0</v>
      </c>
      <c r="Q38" s="294"/>
    </row>
    <row r="39" spans="2:19" ht="13.5">
      <c r="M39" s="1353"/>
      <c r="Q39" s="304"/>
    </row>
    <row r="40" spans="2:19">
      <c r="B40" s="263" t="s">
        <v>449</v>
      </c>
    </row>
    <row r="41" spans="2:19">
      <c r="B41" s="156" t="s">
        <v>88</v>
      </c>
      <c r="C41" s="156"/>
      <c r="D41" s="251"/>
      <c r="E41" s="251"/>
      <c r="F41" s="251"/>
      <c r="G41" s="260">
        <f>SUM(G26:G28,G24,G20)</f>
        <v>41.49512</v>
      </c>
      <c r="H41" s="260">
        <f>SUM(H26:H28,H24,H20)</f>
        <v>49.026820000000008</v>
      </c>
      <c r="I41" s="260">
        <f>SUM(I26:I28,I24,I20)</f>
        <v>58.105620000000002</v>
      </c>
      <c r="J41" s="260">
        <f>SUM(J26:J28,J24,J20)</f>
        <v>68.641920000000013</v>
      </c>
      <c r="K41" s="260">
        <f>SUM(K26:K28,K24,K20)</f>
        <v>81.763720000000006</v>
      </c>
      <c r="L41" s="156"/>
      <c r="M41" s="260">
        <f>SUM(M26:M28,M24,M20)</f>
        <v>67.063232499999998</v>
      </c>
      <c r="N41" s="260">
        <f>SUM(N26:N28,N24,N20)</f>
        <v>52.363</v>
      </c>
      <c r="Q41" s="161"/>
    </row>
    <row r="42" spans="2:19">
      <c r="B42" s="3" t="s">
        <v>398</v>
      </c>
      <c r="G42" s="161">
        <f>G41-G8</f>
        <v>36.383000000000003</v>
      </c>
      <c r="H42" s="161">
        <f>H41-H8</f>
        <v>38.479000000000006</v>
      </c>
      <c r="I42" s="161">
        <f>I41-I8</f>
        <v>41.079000000000001</v>
      </c>
      <c r="J42" s="161">
        <f>J41-J8</f>
        <v>43.679000000000016</v>
      </c>
      <c r="K42" s="161">
        <f>K41-K8</f>
        <v>43.119000000000007</v>
      </c>
      <c r="M42" s="161">
        <f>M41-M8</f>
        <v>40.156199999999998</v>
      </c>
      <c r="N42" s="161">
        <f>N41-N8</f>
        <v>11.494290624999998</v>
      </c>
    </row>
    <row r="43" spans="2:19">
      <c r="G43" s="161"/>
      <c r="H43" s="161"/>
      <c r="I43" s="161"/>
      <c r="J43" s="161"/>
      <c r="K43" s="161"/>
      <c r="M43" s="161"/>
      <c r="N43" s="161"/>
      <c r="Q43" s="4"/>
    </row>
    <row r="44" spans="2:19">
      <c r="B44" s="4" t="s">
        <v>61</v>
      </c>
      <c r="G44" s="200">
        <f>G33/G41</f>
        <v>0.32256805137567984</v>
      </c>
      <c r="H44" s="200">
        <f>H33/H41</f>
        <v>0.25261683299059573</v>
      </c>
      <c r="I44" s="200">
        <f>I33/I41</f>
        <v>0.1959362966955692</v>
      </c>
      <c r="J44" s="200">
        <f>J33/J41</f>
        <v>0.16586074515398166</v>
      </c>
      <c r="K44" s="200">
        <f>K33/K41</f>
        <v>0.16150194731844392</v>
      </c>
      <c r="L44" s="141"/>
      <c r="M44" s="200">
        <f>M33/M41</f>
        <v>0.14644089814787858</v>
      </c>
      <c r="N44" s="200">
        <f>N33/N41</f>
        <v>0.20839142142352424</v>
      </c>
      <c r="Q44" s="141">
        <f>IF(tquarter&lt;&gt;4,N44,K44)</f>
        <v>0.20839142142352424</v>
      </c>
    </row>
    <row r="45" spans="2:19">
      <c r="B45" s="3" t="s">
        <v>62</v>
      </c>
      <c r="G45" s="200">
        <f>IF(G34&gt;=0,G34/G42,"NM")</f>
        <v>0.2273831184894044</v>
      </c>
      <c r="H45" s="200">
        <f>IF(H34&gt;=0,H34/H42,"NM")</f>
        <v>4.7745003768289142E-2</v>
      </c>
      <c r="I45" s="200" t="str">
        <f>IF(I34&gt;=0,I34/I42,"NM")</f>
        <v>NM</v>
      </c>
      <c r="J45" s="200" t="str">
        <f>IF(J34&gt;=0,J34/J42,"NM")</f>
        <v>NM</v>
      </c>
      <c r="K45" s="200" t="str">
        <f>IF(K34&gt;=0,K34/K42,"NM")</f>
        <v>NM</v>
      </c>
      <c r="L45" s="305"/>
      <c r="M45" s="200" t="str">
        <f>IF(M34&gt;=0,M34/M42,"NM")</f>
        <v>NM</v>
      </c>
      <c r="N45" s="200" t="str">
        <f>IF(N34&gt;=0,N34/N42,"NM")</f>
        <v>NM</v>
      </c>
      <c r="Q45" s="141" t="str">
        <f>IF(tquarter&lt;&gt;4,N45,K45)</f>
        <v>NM</v>
      </c>
    </row>
    <row r="47" spans="2:19">
      <c r="B47" s="3" t="s">
        <v>436</v>
      </c>
      <c r="G47" s="115">
        <f>'Tar Income Statement'!H47</f>
        <v>12.200000000000001</v>
      </c>
      <c r="H47" s="115">
        <f>'Tar Income Statement'!I47</f>
        <v>12.9</v>
      </c>
      <c r="I47" s="115">
        <f>'Tar Income Statement'!J47</f>
        <v>13.6</v>
      </c>
      <c r="J47" s="115">
        <f>'Tar Income Statement'!K47</f>
        <v>14.299999999999999</v>
      </c>
      <c r="K47" s="115">
        <f>'Tar Income Statement'!L47</f>
        <v>15.100000000000001</v>
      </c>
      <c r="L47" s="115"/>
      <c r="M47" s="115">
        <f>'Tar Income Statement'!R47</f>
        <v>15.2</v>
      </c>
      <c r="N47" s="115">
        <f>'Tar Income Statement'!S47</f>
        <v>15.671250000000001</v>
      </c>
      <c r="Q47" s="68"/>
    </row>
    <row r="48" spans="2:19">
      <c r="B48" s="3" t="s">
        <v>170</v>
      </c>
      <c r="G48" s="306">
        <f>+G33/G$47</f>
        <v>1.0971311475409835</v>
      </c>
      <c r="H48" s="306">
        <f>+H33/H$47</f>
        <v>0.96007751937984487</v>
      </c>
      <c r="I48" s="306">
        <f>+I33/I$47</f>
        <v>0.83713235294117649</v>
      </c>
      <c r="J48" s="306">
        <f>+J33/J$47</f>
        <v>0.79615384615384621</v>
      </c>
      <c r="K48" s="306">
        <f>+K33/K$47</f>
        <v>0.87450331125827807</v>
      </c>
      <c r="L48" s="148"/>
      <c r="M48" s="306">
        <f>+M33/M$47</f>
        <v>0.64610526315789474</v>
      </c>
      <c r="N48" s="306">
        <f>+N33/N$47</f>
        <v>0.69630693148281075</v>
      </c>
      <c r="Q48" s="307">
        <f>IF(tquarter&lt;&gt;4,N48,K48)</f>
        <v>0.69630693148281075</v>
      </c>
    </row>
    <row r="49" spans="2:17">
      <c r="B49" s="4" t="s">
        <v>279</v>
      </c>
      <c r="C49" s="4"/>
      <c r="D49" s="4"/>
      <c r="E49" s="4"/>
      <c r="F49" s="4"/>
      <c r="G49" s="112">
        <f>IF(G34&gt;=0,G34/G$47,"NM")</f>
        <v>0.67810491803278683</v>
      </c>
      <c r="H49" s="112">
        <f>IF(H34&gt;=0,H34/H$47,"NM")</f>
        <v>0.14241705426356574</v>
      </c>
      <c r="I49" s="112" t="str">
        <f>IF(I34&gt;=0,I34/I$47,"NM")</f>
        <v>NM</v>
      </c>
      <c r="J49" s="112" t="str">
        <f>IF(J34&gt;=0,J34/J$47,"NM")</f>
        <v>NM</v>
      </c>
      <c r="K49" s="112" t="str">
        <f>IF(K34&gt;=0,K34/K$47,"NM")</f>
        <v>NM</v>
      </c>
      <c r="L49" s="307"/>
      <c r="M49" s="112" t="str">
        <f>IF(M34&gt;=0,M34/M$47,"NM")</f>
        <v>NM</v>
      </c>
      <c r="N49" s="112" t="str">
        <f>IF(N34&gt;=0,N34/N$47,"NM")</f>
        <v>NM</v>
      </c>
      <c r="O49" s="4"/>
      <c r="Q49" s="307" t="str">
        <f>IF(tquarter&lt;&gt;4,N49,K49)</f>
        <v>NM</v>
      </c>
    </row>
    <row r="50" spans="2:17">
      <c r="Q50" s="4"/>
    </row>
    <row r="51" spans="2:17">
      <c r="B51" s="3" t="s">
        <v>305</v>
      </c>
      <c r="G51" s="115">
        <f>'Tar Income Statement'!H32</f>
        <v>0.9</v>
      </c>
      <c r="H51" s="115">
        <f>'Tar Income Statement'!I32</f>
        <v>1</v>
      </c>
      <c r="I51" s="115">
        <f>'Tar Income Statement'!J32</f>
        <v>1.1000000000000001</v>
      </c>
      <c r="J51" s="115">
        <f>'Tar Income Statement'!K32</f>
        <v>1.2</v>
      </c>
      <c r="K51" s="115">
        <f>'Tar Income Statement'!L32</f>
        <v>1.3</v>
      </c>
      <c r="L51" s="115"/>
      <c r="M51" s="115">
        <f>'Tar Income Statement'!R32</f>
        <v>1.5249999999999999</v>
      </c>
      <c r="N51" s="115">
        <f>'Tar Income Statement'!S32</f>
        <v>1.335</v>
      </c>
      <c r="Q51" s="68"/>
    </row>
    <row r="52" spans="2:17">
      <c r="B52" s="3" t="s">
        <v>402</v>
      </c>
      <c r="D52" s="308">
        <v>8</v>
      </c>
      <c r="G52" s="260">
        <f>(G51*$D52)+G33</f>
        <v>20.585000000000001</v>
      </c>
      <c r="H52" s="260">
        <f>(H51*$D52)+H33</f>
        <v>20.384999999999998</v>
      </c>
      <c r="I52" s="260">
        <f>(I51*$D52)+I33</f>
        <v>20.185000000000002</v>
      </c>
      <c r="J52" s="260">
        <f>(J51*$D52)+J33</f>
        <v>20.984999999999999</v>
      </c>
      <c r="K52" s="260">
        <f>(K51*$D52)+K33</f>
        <v>23.605</v>
      </c>
      <c r="L52" s="161"/>
      <c r="M52" s="260">
        <f>(M51*$D52)+M33</f>
        <v>22.020800000000001</v>
      </c>
      <c r="N52" s="260">
        <f>(N51*$D52)+N33</f>
        <v>21.591999999999999</v>
      </c>
      <c r="Q52" s="68"/>
    </row>
    <row r="53" spans="2:17">
      <c r="B53" s="3" t="s">
        <v>446</v>
      </c>
      <c r="G53" s="115">
        <f>'Tar Income Statement'!H48</f>
        <v>13.100000000000001</v>
      </c>
      <c r="H53" s="115">
        <f>'Tar Income Statement'!I48</f>
        <v>13.9</v>
      </c>
      <c r="I53" s="115">
        <f>'Tar Income Statement'!J48</f>
        <v>14.7</v>
      </c>
      <c r="J53" s="115">
        <f>'Tar Income Statement'!K48</f>
        <v>15.499999999999998</v>
      </c>
      <c r="K53" s="115">
        <f>'Tar Income Statement'!L48</f>
        <v>16.400000000000002</v>
      </c>
      <c r="L53" s="115"/>
      <c r="M53" s="115">
        <f>'Tar Income Statement'!R48</f>
        <v>16.724999999999998</v>
      </c>
      <c r="N53" s="115">
        <f>'Tar Income Statement'!S48</f>
        <v>17.006250000000001</v>
      </c>
      <c r="Q53" s="68"/>
    </row>
    <row r="54" spans="2:17">
      <c r="B54" s="3" t="s">
        <v>403</v>
      </c>
      <c r="G54" s="309">
        <f>G52/G53</f>
        <v>1.5713740458015266</v>
      </c>
      <c r="H54" s="309">
        <f>H52/H53</f>
        <v>1.4665467625899278</v>
      </c>
      <c r="I54" s="309">
        <f>I52/I53</f>
        <v>1.3731292517006806</v>
      </c>
      <c r="J54" s="309">
        <f>J52/J53</f>
        <v>1.3538709677419356</v>
      </c>
      <c r="K54" s="309">
        <f>K52/K53</f>
        <v>1.4393292682926828</v>
      </c>
      <c r="L54" s="148"/>
      <c r="M54" s="309">
        <f>M52/M53</f>
        <v>1.3166397608370706</v>
      </c>
      <c r="N54" s="309">
        <f>N52/N53</f>
        <v>1.2696508636530686</v>
      </c>
      <c r="Q54" s="307">
        <f>IF(tquarter&lt;&gt;4,N54,K54)</f>
        <v>1.2696508636530686</v>
      </c>
    </row>
    <row r="55" spans="2:17">
      <c r="Q55" s="68"/>
    </row>
    <row r="56" spans="2:17">
      <c r="B56" s="310" t="s">
        <v>75</v>
      </c>
      <c r="G56" s="115">
        <f>'Tar Income Statement'!H14</f>
        <v>0.74309999999999998</v>
      </c>
      <c r="H56" s="115">
        <f>'Tar Income Statement'!I14</f>
        <v>0.68309999999999993</v>
      </c>
      <c r="I56" s="115">
        <f>'Tar Income Statement'!J14</f>
        <v>0.62309999999999999</v>
      </c>
      <c r="J56" s="115">
        <f>'Tar Income Statement'!K14</f>
        <v>0.56309999999999993</v>
      </c>
      <c r="K56" s="115">
        <f>'Tar Income Statement'!L14</f>
        <v>0.50309999999999999</v>
      </c>
      <c r="L56" s="161"/>
      <c r="M56" s="115">
        <f>'Tar Income Statement'!R14</f>
        <v>0.54809999999999992</v>
      </c>
      <c r="N56" s="115">
        <f>'Tar Income Statement'!S14</f>
        <v>0.50938875000000006</v>
      </c>
      <c r="Q56" s="4"/>
    </row>
    <row r="57" spans="2:17">
      <c r="B57" s="310" t="s">
        <v>620</v>
      </c>
      <c r="G57" s="115">
        <f>-'Tar Cash Flow'!G15</f>
        <v>1</v>
      </c>
      <c r="H57" s="115">
        <f>-'Tar Cash Flow'!H15</f>
        <v>2</v>
      </c>
      <c r="I57" s="115">
        <f>-'Tar Cash Flow'!I15</f>
        <v>2.4</v>
      </c>
      <c r="J57" s="115">
        <f>-'Tar Cash Flow'!J15</f>
        <v>3.3</v>
      </c>
      <c r="K57" s="115">
        <f>-'Tar Cash Flow'!K15</f>
        <v>0.9</v>
      </c>
      <c r="L57" s="161"/>
      <c r="M57" s="201">
        <v>0</v>
      </c>
      <c r="N57" s="115">
        <f>-'Tar Cash Flow'!P15</f>
        <v>0.94500000000000006</v>
      </c>
      <c r="Q57" s="4"/>
    </row>
    <row r="58" spans="2:17">
      <c r="B58" s="310"/>
      <c r="G58" s="217"/>
      <c r="H58" s="217"/>
      <c r="I58" s="217"/>
      <c r="J58" s="217"/>
      <c r="K58" s="217"/>
      <c r="L58" s="161"/>
      <c r="M58" s="217"/>
      <c r="N58" s="217"/>
      <c r="Q58" s="4"/>
    </row>
    <row r="59" spans="2:17">
      <c r="B59" s="310" t="s">
        <v>621</v>
      </c>
      <c r="G59" s="148">
        <f>G47/G56</f>
        <v>16.417709594940117</v>
      </c>
      <c r="H59" s="148">
        <f>H47/H56</f>
        <v>18.884497145366712</v>
      </c>
      <c r="I59" s="148">
        <f>I47/I56</f>
        <v>21.826352110415662</v>
      </c>
      <c r="J59" s="148">
        <f>J47/J56</f>
        <v>25.395134079204404</v>
      </c>
      <c r="K59" s="148">
        <f>K47/K56</f>
        <v>30.013913734843971</v>
      </c>
      <c r="L59" s="148"/>
      <c r="M59" s="148">
        <f>M47/M56</f>
        <v>27.732165663200149</v>
      </c>
      <c r="N59" s="148">
        <f>N47/N56</f>
        <v>30.764813710550143</v>
      </c>
      <c r="Q59" s="307">
        <f>IF(tquarter&lt;&gt;4,N59,K59)</f>
        <v>30.764813710550143</v>
      </c>
    </row>
    <row r="60" spans="2:17">
      <c r="B60" s="310" t="s">
        <v>622</v>
      </c>
      <c r="G60" s="148">
        <f>+(G47-G57)/G56</f>
        <v>15.071995693715518</v>
      </c>
      <c r="H60" s="148">
        <f>+(H47-H57)/H56</f>
        <v>15.956668130581177</v>
      </c>
      <c r="I60" s="148">
        <f>+(I47-I57)/I56</f>
        <v>17.974642914459956</v>
      </c>
      <c r="J60" s="148">
        <f>+(J47-J57)/J56</f>
        <v>19.534718522464928</v>
      </c>
      <c r="K60" s="148">
        <f>+(K47-K57)/K56</f>
        <v>28.225004969191019</v>
      </c>
      <c r="L60" s="148"/>
      <c r="M60" s="148">
        <f>+(M47-M57)/M56</f>
        <v>27.732165663200149</v>
      </c>
      <c r="N60" s="148">
        <f>+(N47-N57)/N56</f>
        <v>28.909649064687823</v>
      </c>
      <c r="Q60" s="307">
        <f>IF(tquarter&lt;&gt;4,N60,K60)</f>
        <v>28.909649064687823</v>
      </c>
    </row>
  </sheetData>
  <customSheetViews>
    <customSheetView guid="{9AE38660-BF5A-49A3-9FC0-AD5890AFC019}" showPageBreaks="1" showGridLines="0" printArea="1" view="pageBreakPreview" showRuler="0">
      <selection activeCell="I16" sqref="I16"/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indexed="42"/>
  </sheetPr>
  <dimension ref="A1:Z33"/>
  <sheetViews>
    <sheetView showGridLines="0" view="pageBreakPreview" zoomScale="85" zoomScaleNormal="100" zoomScaleSheetLayoutView="85" workbookViewId="0"/>
  </sheetViews>
  <sheetFormatPr defaultColWidth="10.6640625" defaultRowHeight="12.75"/>
  <cols>
    <col min="1" max="1" width="2.83203125" style="312" customWidth="1"/>
    <col min="2" max="6" width="10.6640625" style="311"/>
    <col min="7" max="7" width="10.83203125" style="311" customWidth="1"/>
    <col min="8" max="8" width="6.83203125" style="311" customWidth="1"/>
    <col min="9" max="9" width="10.83203125" style="311" customWidth="1"/>
    <col min="10" max="10" width="6.83203125" style="311" customWidth="1"/>
    <col min="11" max="11" width="10.83203125" style="311" customWidth="1"/>
    <col min="12" max="12" width="6.83203125" style="311" customWidth="1"/>
    <col min="13" max="13" width="10.83203125" style="311" customWidth="1"/>
    <col min="14" max="14" width="6.83203125" style="311" customWidth="1"/>
    <col min="15" max="15" width="10.83203125" style="311" customWidth="1"/>
    <col min="16" max="16" width="6.83203125" style="311" customWidth="1"/>
    <col min="17" max="17" width="10.83203125" style="311" customWidth="1"/>
    <col min="18" max="18" width="6.83203125" style="311" customWidth="1"/>
    <col min="19" max="16384" width="10.6640625" style="312"/>
  </cols>
  <sheetData>
    <row r="1" spans="1:26">
      <c r="A1" s="2"/>
    </row>
    <row r="2" spans="1:26" s="4" customFormat="1" ht="23.25">
      <c r="B2" s="97" t="str">
        <f>proj</f>
        <v>Project MODEL</v>
      </c>
      <c r="C2" s="1311"/>
      <c r="D2" s="1311"/>
      <c r="E2" s="1210"/>
      <c r="F2" s="1210"/>
      <c r="G2" s="1210"/>
      <c r="H2" s="1210"/>
      <c r="I2" s="1210"/>
      <c r="J2" s="1210"/>
      <c r="K2" s="1210"/>
      <c r="L2" s="1210"/>
      <c r="M2" s="1210"/>
      <c r="N2" s="1210"/>
      <c r="O2" s="1210"/>
      <c r="P2" s="1210"/>
      <c r="Q2" s="1210"/>
      <c r="R2" s="1210"/>
      <c r="S2" s="7"/>
      <c r="T2" s="7"/>
      <c r="U2" s="7"/>
      <c r="V2" s="7"/>
      <c r="W2" s="7"/>
      <c r="X2" s="7"/>
      <c r="Y2" s="7"/>
      <c r="Z2" s="7"/>
    </row>
    <row r="3" spans="1:26" s="276" customFormat="1" ht="20.100000000000001" customHeight="1">
      <c r="B3" s="384" t="str">
        <f>tar&amp;" - Selected Working Capital Ratios"</f>
        <v>SG ENTERPRISES - Selected Working Capital Ratios</v>
      </c>
      <c r="C3" s="392"/>
      <c r="D3" s="392"/>
      <c r="E3" s="393"/>
      <c r="F3" s="393"/>
      <c r="G3" s="393"/>
      <c r="H3" s="393"/>
      <c r="I3" s="393"/>
      <c r="J3" s="393"/>
      <c r="K3" s="393"/>
      <c r="L3" s="393"/>
      <c r="M3" s="393"/>
      <c r="N3" s="393"/>
      <c r="O3" s="393"/>
      <c r="P3" s="393"/>
      <c r="Q3" s="393"/>
      <c r="R3" s="393"/>
      <c r="S3" s="278"/>
      <c r="T3" s="278"/>
      <c r="U3" s="278"/>
      <c r="V3" s="278"/>
      <c r="W3" s="278"/>
    </row>
    <row r="4" spans="1:26">
      <c r="B4" s="314" t="str">
        <f>'Tar Balance Sheet'!B4</f>
        <v>(Amounts in Millions)</v>
      </c>
    </row>
    <row r="5" spans="1:26">
      <c r="B5" s="315"/>
    </row>
    <row r="6" spans="1:26" s="311" customFormat="1">
      <c r="A6" s="312"/>
      <c r="G6" s="271" t="str">
        <f>'Tar Balance Sheet'!G5</f>
        <v>Fiscal Year Ended December 31,</v>
      </c>
      <c r="H6" s="271"/>
      <c r="I6" s="271"/>
      <c r="J6" s="271"/>
      <c r="K6" s="271"/>
      <c r="L6" s="271"/>
      <c r="M6" s="271"/>
      <c r="N6" s="271"/>
      <c r="O6" s="271"/>
      <c r="P6" s="3"/>
      <c r="Q6" s="271" t="str">
        <f>'Tar Balance Sheet'!M5</f>
        <v>As of</v>
      </c>
      <c r="S6" s="312"/>
      <c r="T6" s="312"/>
      <c r="U6" s="312"/>
    </row>
    <row r="7" spans="1:26" s="317" customFormat="1">
      <c r="A7" s="316"/>
      <c r="D7" s="316"/>
      <c r="G7" s="318">
        <f>'Tar Balance Sheet'!G6</f>
        <v>2014</v>
      </c>
      <c r="H7" s="319"/>
      <c r="I7" s="318">
        <f>'Tar Balance Sheet'!H6</f>
        <v>2015</v>
      </c>
      <c r="J7" s="319"/>
      <c r="K7" s="318">
        <f>'Tar Balance Sheet'!I6</f>
        <v>2016</v>
      </c>
      <c r="L7" s="319"/>
      <c r="M7" s="318">
        <f>'Tar Balance Sheet'!J6</f>
        <v>2017</v>
      </c>
      <c r="N7" s="319"/>
      <c r="O7" s="318">
        <f>'Tar Balance Sheet'!K6</f>
        <v>2018</v>
      </c>
      <c r="P7" s="319"/>
      <c r="Q7" s="320">
        <f>'Tar Balance Sheet'!N6</f>
        <v>43555</v>
      </c>
      <c r="S7" s="316"/>
      <c r="T7" s="316"/>
      <c r="U7" s="316"/>
    </row>
    <row r="8" spans="1:26" s="317" customFormat="1" ht="12.75" customHeight="1">
      <c r="A8" s="316"/>
      <c r="B8" s="10" t="s">
        <v>39</v>
      </c>
      <c r="C8" s="10"/>
      <c r="D8" s="10"/>
      <c r="G8" s="322">
        <f>'Tar Balance Sheet'!G9</f>
        <v>7.4939999999999998</v>
      </c>
      <c r="H8" s="322"/>
      <c r="I8" s="322">
        <f>'Tar Balance Sheet'!H9</f>
        <v>7.9939999999999998</v>
      </c>
      <c r="J8" s="322"/>
      <c r="K8" s="322">
        <f>'Tar Balance Sheet'!I9</f>
        <v>8.4939999999999998</v>
      </c>
      <c r="L8" s="322"/>
      <c r="M8" s="322">
        <f>'Tar Balance Sheet'!J9</f>
        <v>8.9939999999999998</v>
      </c>
      <c r="N8" s="322"/>
      <c r="O8" s="322">
        <f>'Tar Balance Sheet'!K9</f>
        <v>9.4939999999999998</v>
      </c>
      <c r="P8" s="322"/>
      <c r="Q8" s="322">
        <f>'Tar Balance Sheet'!N9</f>
        <v>11.627000000000001</v>
      </c>
      <c r="S8" s="316"/>
      <c r="T8" s="316"/>
      <c r="U8" s="316"/>
    </row>
    <row r="9" spans="1:26" s="317" customFormat="1" ht="12.75" customHeight="1">
      <c r="A9" s="316"/>
      <c r="B9" s="323" t="s">
        <v>257</v>
      </c>
      <c r="C9" s="10"/>
      <c r="D9" s="10"/>
      <c r="G9" s="324">
        <f>G8/G$32*100</f>
        <v>18.734999999999999</v>
      </c>
      <c r="H9" s="325" t="s">
        <v>166</v>
      </c>
      <c r="I9" s="324">
        <f>I8/I$32*100</f>
        <v>19.033333333333331</v>
      </c>
      <c r="J9" s="325" t="s">
        <v>166</v>
      </c>
      <c r="K9" s="324">
        <f>K8/K$32*100</f>
        <v>19.304545454545455</v>
      </c>
      <c r="L9" s="325" t="s">
        <v>166</v>
      </c>
      <c r="M9" s="324">
        <f>M8/M$32*100</f>
        <v>19.552173913043479</v>
      </c>
      <c r="N9" s="325" t="s">
        <v>166</v>
      </c>
      <c r="O9" s="324">
        <f>O8/O$32*100</f>
        <v>19.779166666666669</v>
      </c>
      <c r="P9" s="325" t="s">
        <v>166</v>
      </c>
      <c r="Q9" s="324">
        <f>Q8/Q$32*100</f>
        <v>23.254000000000001</v>
      </c>
      <c r="R9" s="325" t="s">
        <v>166</v>
      </c>
      <c r="S9" s="316"/>
      <c r="T9" s="316"/>
      <c r="U9" s="316"/>
    </row>
    <row r="10" spans="1:26" s="317" customFormat="1" ht="12.75" customHeight="1">
      <c r="A10" s="316"/>
      <c r="B10" s="323" t="s">
        <v>95</v>
      </c>
      <c r="C10" s="10"/>
      <c r="D10" s="10"/>
      <c r="G10" s="326">
        <f>G8/G32*365</f>
        <v>68.382750000000001</v>
      </c>
      <c r="H10" s="325" t="s">
        <v>247</v>
      </c>
      <c r="I10" s="326">
        <f>I8/I32*365</f>
        <v>69.471666666666664</v>
      </c>
      <c r="J10" s="325" t="s">
        <v>247</v>
      </c>
      <c r="K10" s="326">
        <f>K8/K32*365</f>
        <v>70.461590909090916</v>
      </c>
      <c r="L10" s="325" t="s">
        <v>247</v>
      </c>
      <c r="M10" s="326">
        <f>M8/M32*365</f>
        <v>71.365434782608688</v>
      </c>
      <c r="N10" s="325" t="s">
        <v>247</v>
      </c>
      <c r="O10" s="326">
        <f>O8/O32*365</f>
        <v>72.193958333333342</v>
      </c>
      <c r="P10" s="325" t="s">
        <v>247</v>
      </c>
      <c r="Q10" s="326">
        <f>Q8/Q32*365</f>
        <v>84.877100000000013</v>
      </c>
      <c r="R10" s="325" t="s">
        <v>247</v>
      </c>
      <c r="S10" s="316"/>
      <c r="T10" s="316"/>
      <c r="U10" s="316"/>
    </row>
    <row r="11" spans="1:26" s="317" customFormat="1" ht="12.75" customHeight="1">
      <c r="A11" s="316"/>
      <c r="B11" s="323"/>
      <c r="C11" s="10"/>
      <c r="D11" s="10"/>
      <c r="G11" s="326"/>
      <c r="H11" s="325"/>
      <c r="I11" s="326"/>
      <c r="J11" s="325"/>
      <c r="K11" s="326"/>
      <c r="L11" s="325"/>
      <c r="M11" s="326"/>
      <c r="N11" s="325"/>
      <c r="O11" s="326"/>
      <c r="P11" s="325"/>
      <c r="Q11" s="326"/>
      <c r="R11" s="325"/>
      <c r="S11" s="316"/>
      <c r="T11" s="316"/>
      <c r="U11" s="316"/>
    </row>
    <row r="12" spans="1:26" s="317" customFormat="1" ht="12.75" customHeight="1">
      <c r="A12" s="316"/>
      <c r="B12" s="10" t="s">
        <v>40</v>
      </c>
      <c r="C12" s="10"/>
      <c r="D12" s="10"/>
      <c r="G12" s="322">
        <f>'Tar Balance Sheet'!G10</f>
        <v>2.6970000000000001</v>
      </c>
      <c r="H12" s="322"/>
      <c r="I12" s="322">
        <f>'Tar Balance Sheet'!H10</f>
        <v>3.1970000000000001</v>
      </c>
      <c r="J12" s="322"/>
      <c r="K12" s="322">
        <f>'Tar Balance Sheet'!I10</f>
        <v>3.6970000000000001</v>
      </c>
      <c r="L12" s="322"/>
      <c r="M12" s="322">
        <f>'Tar Balance Sheet'!J10</f>
        <v>4.1970000000000001</v>
      </c>
      <c r="N12" s="322"/>
      <c r="O12" s="322">
        <f>'Tar Balance Sheet'!K10</f>
        <v>4.6970000000000001</v>
      </c>
      <c r="P12" s="322"/>
      <c r="Q12" s="322">
        <f>'Tar Balance Sheet'!N10</f>
        <v>4.4160000000000004</v>
      </c>
      <c r="S12" s="316"/>
      <c r="T12" s="316"/>
      <c r="U12" s="316"/>
    </row>
    <row r="13" spans="1:26" s="317" customFormat="1" ht="12.75" customHeight="1">
      <c r="A13" s="316"/>
      <c r="B13" s="323" t="s">
        <v>96</v>
      </c>
      <c r="C13" s="10"/>
      <c r="D13" s="10"/>
      <c r="G13" s="324">
        <f>G12/G$33*100</f>
        <v>13.484999999999999</v>
      </c>
      <c r="H13" s="325" t="s">
        <v>166</v>
      </c>
      <c r="I13" s="327">
        <f>I12/'Tar Income Statement'!I8*100</f>
        <v>15.223809523809523</v>
      </c>
      <c r="J13" s="1312" t="s">
        <v>166</v>
      </c>
      <c r="K13" s="327">
        <f>K12/'Tar Income Statement'!J8*100</f>
        <v>16.804545454545455</v>
      </c>
      <c r="L13" s="1312" t="s">
        <v>166</v>
      </c>
      <c r="M13" s="327">
        <f>M12/'Tar Income Statement'!K8*100</f>
        <v>18.247826086956522</v>
      </c>
      <c r="N13" s="1312" t="s">
        <v>166</v>
      </c>
      <c r="O13" s="327">
        <f>O12/'Tar Income Statement'!L8*100</f>
        <v>19.570833333333333</v>
      </c>
      <c r="P13" s="1312" t="s">
        <v>166</v>
      </c>
      <c r="Q13" s="327">
        <f>Q12/'Tar Income Statement'!S8*100</f>
        <v>17.664000000000001</v>
      </c>
      <c r="R13" s="325" t="s">
        <v>166</v>
      </c>
      <c r="S13" s="316"/>
      <c r="T13" s="316"/>
      <c r="U13" s="316"/>
    </row>
    <row r="14" spans="1:26" s="317" customFormat="1" ht="12.75" customHeight="1">
      <c r="A14" s="316"/>
      <c r="B14" s="323" t="s">
        <v>97</v>
      </c>
      <c r="C14" s="10"/>
      <c r="D14" s="10"/>
      <c r="G14" s="326">
        <f>+G33/G12</f>
        <v>7.4156470152020759</v>
      </c>
      <c r="H14" s="326" t="s">
        <v>167</v>
      </c>
      <c r="I14" s="326">
        <f>+I33/I12</f>
        <v>6.5686581169846727</v>
      </c>
      <c r="J14" s="326" t="s">
        <v>167</v>
      </c>
      <c r="K14" s="326">
        <f>+K33/K12</f>
        <v>5.9507708953205301</v>
      </c>
      <c r="L14" s="326" t="s">
        <v>167</v>
      </c>
      <c r="M14" s="326">
        <f>+M33/M12</f>
        <v>5.4801048367881817</v>
      </c>
      <c r="N14" s="326" t="s">
        <v>167</v>
      </c>
      <c r="O14" s="326">
        <f>+O33/O12</f>
        <v>5.1096444539067489</v>
      </c>
      <c r="P14" s="326" t="s">
        <v>167</v>
      </c>
      <c r="Q14" s="326">
        <f>+Q33/Q12</f>
        <v>5.6612318840579707</v>
      </c>
      <c r="R14" s="326" t="s">
        <v>167</v>
      </c>
      <c r="S14" s="316"/>
      <c r="T14" s="316"/>
      <c r="U14" s="316"/>
    </row>
    <row r="15" spans="1:26" s="317" customFormat="1" ht="12.75" customHeight="1">
      <c r="A15" s="316"/>
      <c r="B15" s="323"/>
      <c r="C15" s="10"/>
      <c r="D15" s="10"/>
      <c r="G15" s="325"/>
      <c r="H15" s="325"/>
      <c r="I15" s="325"/>
      <c r="J15" s="325"/>
      <c r="K15" s="325"/>
      <c r="L15" s="325"/>
      <c r="M15" s="325"/>
      <c r="N15" s="325"/>
      <c r="O15" s="325"/>
      <c r="P15" s="325"/>
      <c r="Q15" s="325"/>
      <c r="R15" s="328"/>
      <c r="S15" s="316"/>
      <c r="T15" s="316"/>
      <c r="U15" s="316"/>
    </row>
    <row r="16" spans="1:26" s="317" customFormat="1" ht="12.75" customHeight="1">
      <c r="A16" s="316"/>
      <c r="B16" s="10" t="s">
        <v>246</v>
      </c>
      <c r="C16" s="10"/>
      <c r="D16" s="10"/>
      <c r="G16" s="322">
        <f>'Tar Balance Sheet'!G11</f>
        <v>0.1</v>
      </c>
      <c r="H16" s="322"/>
      <c r="I16" s="322">
        <f>'Tar Balance Sheet'!H11</f>
        <v>9.6000000000000085E-2</v>
      </c>
      <c r="J16" s="322"/>
      <c r="K16" s="322">
        <f>'Tar Balance Sheet'!I11</f>
        <v>0.59600000000000009</v>
      </c>
      <c r="L16" s="322"/>
      <c r="M16" s="322">
        <f>'Tar Balance Sheet'!J11</f>
        <v>1.0960000000000001</v>
      </c>
      <c r="N16" s="322"/>
      <c r="O16" s="322">
        <f>'Tar Balance Sheet'!K11</f>
        <v>1.5960000000000001</v>
      </c>
      <c r="P16" s="322"/>
      <c r="Q16" s="322">
        <f>'Tar Balance Sheet'!N11</f>
        <v>2.36</v>
      </c>
      <c r="S16" s="316"/>
      <c r="T16" s="316"/>
      <c r="U16" s="316"/>
    </row>
    <row r="17" spans="1:21" s="317" customFormat="1" ht="12.75" customHeight="1">
      <c r="A17" s="316"/>
      <c r="B17" s="323" t="s">
        <v>264</v>
      </c>
      <c r="C17" s="10"/>
      <c r="D17" s="10"/>
      <c r="G17" s="324">
        <f>G16/G$32*100</f>
        <v>0.25</v>
      </c>
      <c r="H17" s="325" t="s">
        <v>166</v>
      </c>
      <c r="I17" s="324">
        <f>I16/I$32*100</f>
        <v>0.22857142857142876</v>
      </c>
      <c r="J17" s="325" t="s">
        <v>166</v>
      </c>
      <c r="K17" s="324">
        <f>K16/K$32*100</f>
        <v>1.3545454545454547</v>
      </c>
      <c r="L17" s="325" t="s">
        <v>166</v>
      </c>
      <c r="M17" s="324">
        <f>M16/M$32*100</f>
        <v>2.3826086956521739</v>
      </c>
      <c r="N17" s="325" t="s">
        <v>166</v>
      </c>
      <c r="O17" s="324">
        <f>O16/O$32*100</f>
        <v>3.3250000000000002</v>
      </c>
      <c r="P17" s="325" t="s">
        <v>166</v>
      </c>
      <c r="Q17" s="324">
        <f>Q16/Q$32*100</f>
        <v>4.72</v>
      </c>
      <c r="R17" s="325" t="s">
        <v>166</v>
      </c>
      <c r="S17" s="316"/>
      <c r="T17" s="316"/>
      <c r="U17" s="316"/>
    </row>
    <row r="18" spans="1:21" s="317" customFormat="1" ht="12.75" customHeight="1">
      <c r="A18" s="316"/>
      <c r="B18" s="323"/>
      <c r="C18" s="10"/>
      <c r="D18" s="10"/>
      <c r="G18" s="329"/>
      <c r="H18" s="325"/>
      <c r="I18" s="329"/>
      <c r="J18" s="325"/>
      <c r="K18" s="329"/>
      <c r="L18" s="325"/>
      <c r="M18" s="329"/>
      <c r="N18" s="325"/>
      <c r="O18" s="329"/>
      <c r="P18" s="325"/>
      <c r="Q18" s="329"/>
      <c r="R18" s="325"/>
      <c r="S18" s="316"/>
      <c r="T18" s="316"/>
      <c r="U18" s="316"/>
    </row>
    <row r="19" spans="1:21" s="317" customFormat="1" ht="12.75" customHeight="1">
      <c r="A19" s="316"/>
      <c r="B19" s="10" t="s">
        <v>48</v>
      </c>
      <c r="C19" s="10"/>
      <c r="D19" s="10"/>
      <c r="G19" s="322">
        <f>'Tar Balance Sheet'!G21</f>
        <v>3.8509999999999991</v>
      </c>
      <c r="H19" s="322"/>
      <c r="I19" s="322">
        <f>'Tar Balance Sheet'!H21</f>
        <v>4.0509999999999993</v>
      </c>
      <c r="J19" s="322"/>
      <c r="K19" s="322">
        <f>'Tar Balance Sheet'!I21</f>
        <v>4.2509999999999994</v>
      </c>
      <c r="L19" s="322"/>
      <c r="M19" s="322">
        <f>'Tar Balance Sheet'!J21</f>
        <v>4.4509999999999996</v>
      </c>
      <c r="N19" s="322"/>
      <c r="O19" s="322">
        <f>'Tar Balance Sheet'!K21</f>
        <v>4.6509999999999998</v>
      </c>
      <c r="P19" s="322"/>
      <c r="Q19" s="322">
        <f>'Tar Balance Sheet'!N21</f>
        <v>5.8710000000000004</v>
      </c>
      <c r="S19" s="316"/>
      <c r="T19" s="316"/>
      <c r="U19" s="316"/>
    </row>
    <row r="20" spans="1:21" s="317" customFormat="1" ht="12.75" customHeight="1">
      <c r="A20" s="316"/>
      <c r="B20" s="323" t="s">
        <v>98</v>
      </c>
      <c r="C20" s="10"/>
      <c r="D20" s="10"/>
      <c r="G20" s="326">
        <f>G19/G12*100</f>
        <v>142.78828327771592</v>
      </c>
      <c r="H20" s="325" t="s">
        <v>166</v>
      </c>
      <c r="I20" s="326">
        <f>I19/I12*100</f>
        <v>126.71254300907097</v>
      </c>
      <c r="J20" s="325" t="s">
        <v>166</v>
      </c>
      <c r="K20" s="326">
        <f>K19/K12*100</f>
        <v>114.98512307276168</v>
      </c>
      <c r="L20" s="325" t="s">
        <v>166</v>
      </c>
      <c r="M20" s="326">
        <f>M19/M12*100</f>
        <v>106.05194186323563</v>
      </c>
      <c r="N20" s="325" t="s">
        <v>166</v>
      </c>
      <c r="O20" s="326">
        <f>O19/O12*100</f>
        <v>99.020651479667862</v>
      </c>
      <c r="P20" s="325" t="s">
        <v>166</v>
      </c>
      <c r="Q20" s="326">
        <f>Q19/Q12*100</f>
        <v>132.94836956521738</v>
      </c>
      <c r="R20" s="325" t="s">
        <v>166</v>
      </c>
      <c r="S20" s="316"/>
      <c r="T20" s="316"/>
      <c r="U20" s="316"/>
    </row>
    <row r="21" spans="1:21" s="317" customFormat="1" ht="12.75" customHeight="1">
      <c r="A21" s="316"/>
      <c r="B21" s="323" t="s">
        <v>99</v>
      </c>
      <c r="C21" s="10"/>
      <c r="D21" s="10"/>
      <c r="G21" s="324">
        <f>G19/G$33*365</f>
        <v>70.280749999999983</v>
      </c>
      <c r="H21" s="325" t="s">
        <v>247</v>
      </c>
      <c r="I21" s="324">
        <f>I19/I$33*365</f>
        <v>70.410238095238071</v>
      </c>
      <c r="J21" s="325" t="s">
        <v>247</v>
      </c>
      <c r="K21" s="324">
        <f>K19/K$33*365</f>
        <v>70.527954545454534</v>
      </c>
      <c r="L21" s="325" t="s">
        <v>247</v>
      </c>
      <c r="M21" s="324">
        <f>M19/M$33*365</f>
        <v>70.635434782608698</v>
      </c>
      <c r="N21" s="325" t="s">
        <v>247</v>
      </c>
      <c r="O21" s="324">
        <f>O19/O$33*365</f>
        <v>70.733958333333334</v>
      </c>
      <c r="P21" s="325" t="s">
        <v>247</v>
      </c>
      <c r="Q21" s="324">
        <f>Q19/Q$33*365</f>
        <v>85.716600000000014</v>
      </c>
      <c r="R21" s="325" t="s">
        <v>247</v>
      </c>
      <c r="S21" s="316"/>
      <c r="T21" s="316"/>
      <c r="U21" s="316"/>
    </row>
    <row r="22" spans="1:21" s="317" customFormat="1" ht="12.75" customHeight="1">
      <c r="A22" s="316"/>
      <c r="B22" s="323"/>
      <c r="C22" s="10"/>
      <c r="D22" s="10"/>
      <c r="G22" s="329"/>
      <c r="H22" s="325"/>
      <c r="I22" s="329"/>
      <c r="J22" s="325"/>
      <c r="K22" s="329"/>
      <c r="L22" s="325"/>
      <c r="M22" s="329"/>
      <c r="N22" s="325"/>
      <c r="O22" s="329"/>
      <c r="P22" s="325"/>
      <c r="Q22" s="329"/>
      <c r="R22" s="325"/>
      <c r="S22" s="316"/>
      <c r="T22" s="316"/>
      <c r="U22" s="316"/>
    </row>
    <row r="23" spans="1:21" s="317" customFormat="1" ht="12.75" customHeight="1">
      <c r="A23" s="316"/>
      <c r="B23" s="10" t="s">
        <v>100</v>
      </c>
      <c r="C23" s="10"/>
      <c r="D23" s="10"/>
      <c r="G23" s="322">
        <f>'Tar Balance Sheet'!G22</f>
        <v>5.0389999999999997</v>
      </c>
      <c r="H23" s="322"/>
      <c r="I23" s="322">
        <f>'Tar Balance Sheet'!H22</f>
        <v>5.2389999999999999</v>
      </c>
      <c r="J23" s="322"/>
      <c r="K23" s="322">
        <f>'Tar Balance Sheet'!I22</f>
        <v>5.4390000000000001</v>
      </c>
      <c r="L23" s="322"/>
      <c r="M23" s="322">
        <f>'Tar Balance Sheet'!J22</f>
        <v>5.6390000000000002</v>
      </c>
      <c r="N23" s="322"/>
      <c r="O23" s="322">
        <f>'Tar Balance Sheet'!K22</f>
        <v>5.8390000000000004</v>
      </c>
      <c r="P23" s="322"/>
      <c r="Q23" s="322">
        <f>'Tar Balance Sheet'!N22</f>
        <v>6.8950000000000005</v>
      </c>
      <c r="S23" s="316"/>
      <c r="T23" s="316"/>
      <c r="U23" s="316"/>
    </row>
    <row r="24" spans="1:21" s="317" customFormat="1" ht="12.75" customHeight="1">
      <c r="A24" s="316"/>
      <c r="B24" s="323" t="s">
        <v>259</v>
      </c>
      <c r="C24" s="10"/>
      <c r="D24" s="10"/>
      <c r="G24" s="324">
        <f>G23/G$32*100</f>
        <v>12.5975</v>
      </c>
      <c r="H24" s="325" t="s">
        <v>166</v>
      </c>
      <c r="I24" s="324">
        <f>I23/I$32*100</f>
        <v>12.473809523809523</v>
      </c>
      <c r="J24" s="325" t="s">
        <v>166</v>
      </c>
      <c r="K24" s="324">
        <f>K23/K$32*100</f>
        <v>12.361363636363636</v>
      </c>
      <c r="L24" s="325" t="s">
        <v>166</v>
      </c>
      <c r="M24" s="324">
        <f>M23/M$32*100</f>
        <v>12.258695652173914</v>
      </c>
      <c r="N24" s="325" t="s">
        <v>166</v>
      </c>
      <c r="O24" s="324">
        <f>O23/O$32*100</f>
        <v>12.164583333333335</v>
      </c>
      <c r="P24" s="325" t="s">
        <v>166</v>
      </c>
      <c r="Q24" s="324">
        <f>Q23/Q$32*100</f>
        <v>13.790000000000003</v>
      </c>
      <c r="R24" s="325" t="s">
        <v>166</v>
      </c>
      <c r="S24" s="316"/>
      <c r="T24" s="316"/>
      <c r="U24" s="316"/>
    </row>
    <row r="25" spans="1:21" s="317" customFormat="1" ht="12.75" customHeight="1">
      <c r="A25" s="316"/>
      <c r="B25" s="323"/>
      <c r="C25" s="10"/>
      <c r="D25" s="10"/>
      <c r="G25" s="329"/>
      <c r="H25" s="325"/>
      <c r="I25" s="329"/>
      <c r="J25" s="325"/>
      <c r="K25" s="329"/>
      <c r="L25" s="325"/>
      <c r="M25" s="329"/>
      <c r="N25" s="325"/>
      <c r="O25" s="329"/>
      <c r="P25" s="325"/>
      <c r="Q25" s="329"/>
      <c r="R25" s="325"/>
      <c r="S25" s="316"/>
      <c r="T25" s="316"/>
      <c r="U25" s="316"/>
    </row>
    <row r="26" spans="1:21" s="317" customFormat="1" ht="12.75" customHeight="1">
      <c r="A26" s="316"/>
      <c r="B26" s="317" t="s">
        <v>55</v>
      </c>
      <c r="G26" s="322">
        <f>'Tar Balance Sheet'!G31</f>
        <v>1.4010000000000016</v>
      </c>
      <c r="H26" s="322"/>
      <c r="I26" s="322">
        <f>'Tar Balance Sheet'!H31</f>
        <v>1.9969999999999999</v>
      </c>
      <c r="J26" s="322"/>
      <c r="K26" s="322">
        <f>'Tar Balance Sheet'!I31</f>
        <v>3.0969999999999995</v>
      </c>
      <c r="L26" s="322"/>
      <c r="M26" s="322">
        <f>'Tar Balance Sheet'!J31</f>
        <v>4.1970000000000027</v>
      </c>
      <c r="N26" s="322"/>
      <c r="O26" s="322">
        <f>'Tar Balance Sheet'!K31</f>
        <v>5.2969999999999988</v>
      </c>
      <c r="P26" s="322"/>
      <c r="Q26" s="322">
        <f>'Tar Balance Sheet'!N31</f>
        <v>-27.486709375000004</v>
      </c>
      <c r="S26" s="316"/>
      <c r="T26" s="316"/>
      <c r="U26" s="316"/>
    </row>
    <row r="27" spans="1:21" s="317" customFormat="1" ht="12.75" customHeight="1">
      <c r="A27" s="316"/>
      <c r="B27" s="330" t="s">
        <v>256</v>
      </c>
      <c r="C27" s="10"/>
      <c r="G27" s="324">
        <f>G26/G$32*100</f>
        <v>3.5025000000000044</v>
      </c>
      <c r="H27" s="325" t="s">
        <v>166</v>
      </c>
      <c r="I27" s="324">
        <f>I26/I$32*100</f>
        <v>4.7547619047619047</v>
      </c>
      <c r="J27" s="325" t="s">
        <v>166</v>
      </c>
      <c r="K27" s="324">
        <f>K26/K$32*100</f>
        <v>7.0386363636363622</v>
      </c>
      <c r="L27" s="325" t="s">
        <v>166</v>
      </c>
      <c r="M27" s="324">
        <f>M26/M$32*100</f>
        <v>9.1239130434782663</v>
      </c>
      <c r="N27" s="325" t="s">
        <v>166</v>
      </c>
      <c r="O27" s="324">
        <f>O26/O$32*100</f>
        <v>11.035416666666665</v>
      </c>
      <c r="P27" s="325" t="s">
        <v>166</v>
      </c>
      <c r="Q27" s="324">
        <f>Q26/Q$32*100</f>
        <v>-54.97341875</v>
      </c>
      <c r="R27" s="325" t="s">
        <v>166</v>
      </c>
      <c r="S27" s="316"/>
      <c r="T27" s="316"/>
      <c r="U27" s="316"/>
    </row>
    <row r="28" spans="1:21" s="311" customFormat="1">
      <c r="A28" s="312"/>
      <c r="S28" s="312"/>
      <c r="T28" s="312"/>
      <c r="U28" s="312"/>
    </row>
    <row r="29" spans="1:21">
      <c r="B29" s="312"/>
      <c r="C29" s="312"/>
      <c r="D29" s="312"/>
      <c r="E29" s="312"/>
      <c r="F29" s="312"/>
      <c r="G29" s="312"/>
      <c r="H29" s="312"/>
      <c r="I29" s="312"/>
      <c r="J29" s="312"/>
      <c r="K29" s="312"/>
      <c r="L29" s="312"/>
      <c r="M29" s="312"/>
      <c r="N29" s="312"/>
      <c r="O29" s="312"/>
      <c r="P29" s="312"/>
      <c r="Q29" s="312"/>
      <c r="R29" s="312"/>
    </row>
    <row r="30" spans="1:21" ht="13.5">
      <c r="B30" s="331" t="str">
        <f>'Tar Balance Sheet'!B36</f>
        <v>Source: Company's 2018 Form 10-K and Form 10-Q for the period ended March 31, 2019.</v>
      </c>
      <c r="C30" s="332"/>
      <c r="D30" s="332"/>
      <c r="E30" s="332"/>
      <c r="F30" s="332"/>
      <c r="G30" s="332"/>
      <c r="H30" s="332"/>
      <c r="I30" s="332"/>
      <c r="J30" s="332"/>
      <c r="K30" s="332"/>
      <c r="L30" s="332"/>
      <c r="M30" s="332"/>
      <c r="N30" s="332"/>
      <c r="O30" s="332"/>
      <c r="P30" s="332"/>
      <c r="Q30" s="332"/>
      <c r="R30" s="332"/>
    </row>
    <row r="32" spans="1:21" s="311" customFormat="1">
      <c r="A32" s="312"/>
      <c r="B32" s="311" t="s">
        <v>254</v>
      </c>
      <c r="F32" s="333"/>
      <c r="G32" s="334">
        <f>'Tar Income Statement'!H7</f>
        <v>40</v>
      </c>
      <c r="H32" s="334"/>
      <c r="I32" s="334">
        <f>'Tar Income Statement'!I7</f>
        <v>42</v>
      </c>
      <c r="J32" s="334"/>
      <c r="K32" s="334">
        <f>'Tar Income Statement'!J7</f>
        <v>44</v>
      </c>
      <c r="L32" s="334"/>
      <c r="M32" s="334">
        <f>'Tar Income Statement'!K7</f>
        <v>46</v>
      </c>
      <c r="N32" s="334"/>
      <c r="O32" s="334">
        <f>'Tar Income Statement'!L7</f>
        <v>48</v>
      </c>
      <c r="P32" s="334"/>
      <c r="Q32" s="334">
        <f>'Tar Income Statement'!S7</f>
        <v>50</v>
      </c>
      <c r="S32" s="312"/>
      <c r="T32" s="312"/>
      <c r="U32" s="312"/>
    </row>
    <row r="33" spans="1:21" s="311" customFormat="1">
      <c r="A33" s="312"/>
      <c r="B33" s="311" t="s">
        <v>444</v>
      </c>
      <c r="G33" s="334">
        <f>'Tar Income Statement'!H8</f>
        <v>20</v>
      </c>
      <c r="H33" s="334"/>
      <c r="I33" s="334">
        <f>'Tar Income Statement'!I8</f>
        <v>21</v>
      </c>
      <c r="J33" s="334"/>
      <c r="K33" s="334">
        <f>'Tar Income Statement'!J8</f>
        <v>22</v>
      </c>
      <c r="L33" s="334"/>
      <c r="M33" s="334">
        <f>'Tar Income Statement'!K8</f>
        <v>23</v>
      </c>
      <c r="N33" s="334"/>
      <c r="O33" s="334">
        <f>'Tar Income Statement'!L8</f>
        <v>24</v>
      </c>
      <c r="P33" s="334"/>
      <c r="Q33" s="334">
        <f>'Tar Income Statement'!S8</f>
        <v>25</v>
      </c>
      <c r="S33" s="312"/>
      <c r="T33" s="312"/>
      <c r="U33" s="312"/>
    </row>
  </sheetData>
  <customSheetViews>
    <customSheetView guid="{9AE38660-BF5A-49A3-9FC0-AD5890AFC019}" scale="115" showPageBreaks="1" showGridLines="0" printArea="1" view="pageBreakPreview" showRuler="0">
      <selection activeCell="B29" sqref="B29"/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2" type="noConversion"/>
  <printOptions horizontalCentered="1"/>
  <pageMargins left="0.35" right="0.35" top="0.35" bottom="0.35" header="0.15" footer="0.15"/>
  <pageSetup scale="91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indexed="42"/>
  </sheetPr>
  <dimension ref="A1:V45"/>
  <sheetViews>
    <sheetView showGridLines="0" view="pageBreakPreview" zoomScale="85" zoomScaleNormal="100" zoomScaleSheetLayoutView="85" workbookViewId="0"/>
  </sheetViews>
  <sheetFormatPr defaultColWidth="10.33203125" defaultRowHeight="12.75" outlineLevelRow="1"/>
  <cols>
    <col min="1" max="1" width="2.83203125" style="4" customWidth="1"/>
    <col min="2" max="6" width="10.33203125" style="3" customWidth="1"/>
    <col min="7" max="9" width="9.6640625" style="3" customWidth="1"/>
    <col min="10" max="11" width="9.5" style="3" customWidth="1"/>
    <col min="12" max="12" width="2.83203125" style="3" customWidth="1"/>
    <col min="13" max="14" width="9.5" style="3" customWidth="1"/>
    <col min="15" max="15" width="2.83203125" style="3" customWidth="1"/>
    <col min="16" max="16" width="9.5" style="3" customWidth="1"/>
    <col min="17" max="17" width="2.83203125" style="4" customWidth="1"/>
    <col min="18" max="16384" width="10.33203125" style="4"/>
  </cols>
  <sheetData>
    <row r="1" spans="1:22">
      <c r="A1" s="2"/>
    </row>
    <row r="2" spans="1:22" ht="23.25">
      <c r="B2" s="97" t="str">
        <f>proj</f>
        <v>Project MODEL</v>
      </c>
      <c r="C2" s="1301"/>
      <c r="D2" s="130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22" s="276" customFormat="1" ht="20.100000000000001" customHeight="1" thickBot="1">
      <c r="B3" s="98" t="str">
        <f>tar&amp;" - Cash Flow Statement"</f>
        <v>SG ENTERPRISES - Cash Flow Statement</v>
      </c>
      <c r="C3" s="505"/>
      <c r="D3" s="50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P3" s="395"/>
      <c r="Q3" s="278"/>
      <c r="R3" s="278"/>
      <c r="S3" s="278"/>
    </row>
    <row r="4" spans="1:22" s="279" customFormat="1">
      <c r="B4" s="176" t="str">
        <f>'Tar Balance Sheet'!B4</f>
        <v>(Amounts in Millions)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</row>
    <row r="5" spans="1:22" s="279" customFormat="1">
      <c r="B5" s="1302"/>
      <c r="C5" s="8"/>
      <c r="D5" s="8"/>
      <c r="E5" s="8"/>
      <c r="F5" s="8"/>
      <c r="G5" s="280" t="str">
        <f>'Tar Income Statement'!H5</f>
        <v>Fiscal Year Ended December 31,</v>
      </c>
      <c r="H5" s="280"/>
      <c r="I5" s="280"/>
      <c r="J5" s="280"/>
      <c r="K5" s="280"/>
      <c r="L5" s="17"/>
      <c r="M5" s="280" t="str">
        <f>'Tar Income Statement'!O5</f>
        <v>Three Months Ended</v>
      </c>
      <c r="N5" s="280"/>
      <c r="O5" s="179"/>
      <c r="P5" s="280" t="str">
        <f>'Tar Income Statement'!S5</f>
        <v>LTM</v>
      </c>
    </row>
    <row r="6" spans="1:22" ht="12.75" customHeight="1">
      <c r="G6" s="180">
        <f>'Tar Income Statement'!H6</f>
        <v>2014</v>
      </c>
      <c r="H6" s="180">
        <f>'Tar Income Statement'!I6</f>
        <v>2015</v>
      </c>
      <c r="I6" s="180">
        <f>'Tar Income Statement'!J6</f>
        <v>2016</v>
      </c>
      <c r="J6" s="180">
        <f>'Tar Income Statement'!K6</f>
        <v>2017</v>
      </c>
      <c r="K6" s="180">
        <f>'Tar Income Statement'!L6</f>
        <v>2018</v>
      </c>
      <c r="L6" s="109"/>
      <c r="M6" s="181">
        <f>'Tar Income Statement'!O6</f>
        <v>43190</v>
      </c>
      <c r="N6" s="181">
        <f>'Tar Income Statement'!P6</f>
        <v>43555</v>
      </c>
      <c r="O6" s="181"/>
      <c r="P6" s="1303">
        <f>'Tar Income Statement'!S6</f>
        <v>43555</v>
      </c>
    </row>
    <row r="7" spans="1:22" ht="18" customHeight="1">
      <c r="B7" s="205" t="s">
        <v>186</v>
      </c>
      <c r="G7" s="286"/>
      <c r="H7" s="287"/>
      <c r="I7" s="287"/>
      <c r="J7" s="287"/>
      <c r="K7" s="288"/>
      <c r="M7" s="286"/>
      <c r="N7" s="288"/>
    </row>
    <row r="8" spans="1:22" ht="12.75" customHeight="1">
      <c r="B8" s="151" t="s">
        <v>65</v>
      </c>
      <c r="G8" s="113">
        <f>'Tar Income Statement'!H21</f>
        <v>6.5568999999999997</v>
      </c>
      <c r="H8" s="113">
        <f>'Tar Income Statement'!I21</f>
        <v>6.9819000000000004</v>
      </c>
      <c r="I8" s="113">
        <f>'Tar Income Statement'!J21</f>
        <v>7.4068999999999985</v>
      </c>
      <c r="J8" s="113">
        <f>'Tar Income Statement'!K21</f>
        <v>7.8318999999999992</v>
      </c>
      <c r="K8" s="113">
        <f>'Tar Income Statement'!L21</f>
        <v>8.2568999999999999</v>
      </c>
      <c r="L8" s="113"/>
      <c r="M8" s="113">
        <f>'Tar Income Statement'!O21</f>
        <v>2.064225</v>
      </c>
      <c r="N8" s="113">
        <f>'Tar Income Statement'!P21</f>
        <v>2.4229362500000002</v>
      </c>
      <c r="O8" s="153"/>
      <c r="P8" s="153">
        <f>K8-M8+N8</f>
        <v>8.6156112500000006</v>
      </c>
    </row>
    <row r="9" spans="1:22" ht="12.75" customHeight="1">
      <c r="B9" s="145" t="s">
        <v>78</v>
      </c>
      <c r="D9" s="102"/>
      <c r="E9" s="102"/>
      <c r="F9" s="102"/>
      <c r="G9" s="190">
        <v>1.4</v>
      </c>
      <c r="H9" s="190">
        <v>1.5</v>
      </c>
      <c r="I9" s="190">
        <v>1.6</v>
      </c>
      <c r="J9" s="190">
        <v>1.7</v>
      </c>
      <c r="K9" s="190">
        <v>1.9</v>
      </c>
      <c r="L9" s="161"/>
      <c r="M9" s="190">
        <v>0.47499999999999998</v>
      </c>
      <c r="N9" s="190">
        <v>0.5462499999999999</v>
      </c>
      <c r="O9" s="161"/>
      <c r="P9" s="68">
        <f>K9-M9+N9</f>
        <v>1.9712499999999997</v>
      </c>
    </row>
    <row r="10" spans="1:22" ht="12.75" customHeight="1">
      <c r="B10" s="760" t="s">
        <v>665</v>
      </c>
      <c r="D10" s="160"/>
      <c r="E10" s="160"/>
      <c r="F10" s="160"/>
      <c r="G10" s="190">
        <v>0.8</v>
      </c>
      <c r="H10" s="190">
        <v>0.9</v>
      </c>
      <c r="I10" s="190">
        <v>1</v>
      </c>
      <c r="J10" s="190">
        <v>1.1000000000000001</v>
      </c>
      <c r="K10" s="190">
        <v>1.2000000000000002</v>
      </c>
      <c r="L10" s="161"/>
      <c r="M10" s="190">
        <v>0.30000000000000004</v>
      </c>
      <c r="N10" s="190">
        <v>0.33000000000000007</v>
      </c>
      <c r="O10" s="161"/>
      <c r="P10" s="68">
        <f>K10-M10+N10</f>
        <v>1.2300000000000002</v>
      </c>
    </row>
    <row r="11" spans="1:22" ht="12.75" customHeight="1">
      <c r="B11" s="145" t="s">
        <v>187</v>
      </c>
      <c r="D11" s="102"/>
      <c r="E11" s="102"/>
      <c r="F11" s="102"/>
      <c r="G11" s="268">
        <f>+G45</f>
        <v>-0.46487999999999985</v>
      </c>
      <c r="H11" s="268">
        <f t="shared" ref="H11:N11" si="0">+H45</f>
        <v>-0.59599999999999975</v>
      </c>
      <c r="I11" s="268">
        <f t="shared" si="0"/>
        <v>-1.0999999999999996</v>
      </c>
      <c r="J11" s="268">
        <f t="shared" si="0"/>
        <v>-1.0999999999999996</v>
      </c>
      <c r="K11" s="268">
        <f t="shared" si="0"/>
        <v>2.5030000000000006</v>
      </c>
      <c r="L11" s="161"/>
      <c r="M11" s="268">
        <f t="shared" si="0"/>
        <v>-0.39468750000000041</v>
      </c>
      <c r="N11" s="268">
        <f t="shared" si="0"/>
        <v>-0.41442187500000044</v>
      </c>
      <c r="O11" s="161"/>
      <c r="P11" s="268">
        <f>K11-M11+N11</f>
        <v>2.4832656250000005</v>
      </c>
    </row>
    <row r="12" spans="1:22" ht="12.75" customHeight="1">
      <c r="B12" s="102" t="s">
        <v>196</v>
      </c>
      <c r="G12" s="213">
        <f>SUM(G8:G11)</f>
        <v>8.2920200000000008</v>
      </c>
      <c r="H12" s="213">
        <f>SUM(H8:H11)</f>
        <v>8.7858999999999998</v>
      </c>
      <c r="I12" s="213">
        <f>SUM(I8:I11)</f>
        <v>8.9068999999999985</v>
      </c>
      <c r="J12" s="213">
        <f>SUM(J8:J11)</f>
        <v>9.5318999999999985</v>
      </c>
      <c r="K12" s="213">
        <f>SUM(K8:K11)</f>
        <v>13.8599</v>
      </c>
      <c r="L12" s="153"/>
      <c r="M12" s="213">
        <f>SUM(M8:M11)</f>
        <v>2.4445374999999996</v>
      </c>
      <c r="N12" s="213">
        <f>SUM(N8:N11)</f>
        <v>2.8847643749999996</v>
      </c>
      <c r="O12" s="153"/>
      <c r="P12" s="213">
        <f>SUM(P8:P11)</f>
        <v>14.300126875</v>
      </c>
    </row>
    <row r="13" spans="1:22" ht="12.75" customHeight="1">
      <c r="G13" s="310"/>
      <c r="H13" s="310"/>
      <c r="I13" s="310"/>
      <c r="J13" s="310"/>
      <c r="K13" s="310"/>
      <c r="M13" s="310"/>
      <c r="N13" s="310"/>
      <c r="P13" s="310"/>
    </row>
    <row r="14" spans="1:22" ht="12.75" customHeight="1">
      <c r="B14" s="205" t="s">
        <v>188</v>
      </c>
      <c r="G14" s="310"/>
      <c r="H14" s="310"/>
      <c r="I14" s="310"/>
      <c r="J14" s="310"/>
      <c r="K14" s="310"/>
      <c r="M14" s="310"/>
      <c r="N14" s="310"/>
      <c r="P14" s="310"/>
    </row>
    <row r="15" spans="1:22" ht="12.75" customHeight="1">
      <c r="B15" s="145" t="s">
        <v>122</v>
      </c>
      <c r="D15" s="102"/>
      <c r="E15" s="102"/>
      <c r="F15" s="102"/>
      <c r="G15" s="292">
        <v>-1</v>
      </c>
      <c r="H15" s="292">
        <v>-2</v>
      </c>
      <c r="I15" s="292">
        <v>-2.4</v>
      </c>
      <c r="J15" s="292">
        <v>-3.3</v>
      </c>
      <c r="K15" s="292">
        <v>-0.9</v>
      </c>
      <c r="L15" s="153"/>
      <c r="M15" s="292">
        <f>+K15*0.25</f>
        <v>-0.22500000000000001</v>
      </c>
      <c r="N15" s="292">
        <v>-0.27</v>
      </c>
      <c r="O15" s="153"/>
      <c r="P15" s="153">
        <f>K15-M15+N15</f>
        <v>-0.94500000000000006</v>
      </c>
    </row>
    <row r="16" spans="1:22" ht="12.75" customHeight="1">
      <c r="B16" s="760" t="s">
        <v>49</v>
      </c>
      <c r="D16" s="160"/>
      <c r="E16" s="160"/>
      <c r="F16" s="160"/>
      <c r="G16" s="296">
        <v>0</v>
      </c>
      <c r="H16" s="296">
        <v>0</v>
      </c>
      <c r="I16" s="296">
        <v>0</v>
      </c>
      <c r="J16" s="296">
        <v>0</v>
      </c>
      <c r="K16" s="296">
        <v>0</v>
      </c>
      <c r="L16" s="161"/>
      <c r="M16" s="296">
        <v>0</v>
      </c>
      <c r="N16" s="296">
        <v>0</v>
      </c>
      <c r="O16" s="161"/>
      <c r="P16" s="268">
        <f>K16-M16+N16</f>
        <v>0</v>
      </c>
    </row>
    <row r="17" spans="2:19" ht="12.75" customHeight="1">
      <c r="B17" s="102" t="s">
        <v>197</v>
      </c>
      <c r="G17" s="213">
        <f>SUM(G15:G16)</f>
        <v>-1</v>
      </c>
      <c r="H17" s="213">
        <f>SUM(H15:H16)</f>
        <v>-2</v>
      </c>
      <c r="I17" s="213">
        <f>SUM(I15:I16)</f>
        <v>-2.4</v>
      </c>
      <c r="J17" s="213">
        <f>SUM(J15:J16)</f>
        <v>-3.3</v>
      </c>
      <c r="K17" s="213">
        <f>SUM(K15:K16)</f>
        <v>-0.9</v>
      </c>
      <c r="L17" s="153"/>
      <c r="M17" s="213">
        <f>SUM(M15:M16)</f>
        <v>-0.22500000000000001</v>
      </c>
      <c r="N17" s="213">
        <f>SUM(N15:N16)</f>
        <v>-0.27</v>
      </c>
      <c r="O17" s="153"/>
      <c r="P17" s="213">
        <f>SUM(P15:P16)</f>
        <v>-0.94500000000000006</v>
      </c>
    </row>
    <row r="18" spans="2:19" ht="12.75" customHeight="1">
      <c r="G18" s="310"/>
      <c r="H18" s="310"/>
      <c r="I18" s="310"/>
      <c r="J18" s="310"/>
      <c r="K18" s="310"/>
      <c r="M18" s="310"/>
      <c r="N18" s="310"/>
      <c r="P18" s="310"/>
    </row>
    <row r="19" spans="2:19" ht="12.75" customHeight="1">
      <c r="B19" s="205" t="s">
        <v>189</v>
      </c>
      <c r="G19" s="310"/>
      <c r="H19" s="310"/>
      <c r="I19" s="310"/>
      <c r="J19" s="310"/>
      <c r="K19" s="310"/>
      <c r="M19" s="310"/>
      <c r="N19" s="310"/>
      <c r="P19" s="310"/>
    </row>
    <row r="20" spans="2:19" ht="12.75" customHeight="1">
      <c r="B20" s="760" t="s">
        <v>666</v>
      </c>
      <c r="D20" s="160"/>
      <c r="E20" s="160"/>
      <c r="F20" s="160"/>
      <c r="G20" s="292">
        <v>9.34499999999997E-2</v>
      </c>
      <c r="H20" s="292">
        <v>3.1799999999999974E-2</v>
      </c>
      <c r="I20" s="292">
        <v>-1.0800000000000001E-2</v>
      </c>
      <c r="J20" s="292">
        <v>-0.12959999999999999</v>
      </c>
      <c r="K20" s="292">
        <v>-0.1341</v>
      </c>
      <c r="L20" s="292"/>
      <c r="M20" s="292">
        <v>-3.3524999999999999E-2</v>
      </c>
      <c r="N20" s="292">
        <v>-3.3524999999999999E-2</v>
      </c>
      <c r="O20" s="153"/>
      <c r="P20" s="153">
        <f>K20-M20+N20</f>
        <v>-0.1341</v>
      </c>
      <c r="S20" s="653">
        <v>0.9</v>
      </c>
    </row>
    <row r="21" spans="2:19" ht="12.75" customHeight="1">
      <c r="B21" s="760" t="s">
        <v>671</v>
      </c>
      <c r="D21" s="160"/>
      <c r="E21" s="160"/>
      <c r="F21" s="160"/>
      <c r="G21" s="292">
        <v>-0.17999999999999935</v>
      </c>
      <c r="H21" s="292">
        <f>+'Tar Balance Sheet'!H24-'Tar Balance Sheet'!G24+'Tar Balance Sheet'!H20-'Tar Balance Sheet'!G20</f>
        <v>-1</v>
      </c>
      <c r="I21" s="292">
        <f>+'Tar Balance Sheet'!I24-'Tar Balance Sheet'!H24+'Tar Balance Sheet'!I20-'Tar Balance Sheet'!H20</f>
        <v>-1</v>
      </c>
      <c r="J21" s="292">
        <f>+'Tar Balance Sheet'!J24-'Tar Balance Sheet'!I24+'Tar Balance Sheet'!J20-'Tar Balance Sheet'!I20</f>
        <v>0</v>
      </c>
      <c r="K21" s="292">
        <f>+'Tar Balance Sheet'!K24-'Tar Balance Sheet'!J24+'Tar Balance Sheet'!K20-'Tar Balance Sheet'!J20</f>
        <v>1.8200000000000003</v>
      </c>
      <c r="L21" s="292"/>
      <c r="M21" s="292">
        <v>-9.0000000000000008E-4</v>
      </c>
      <c r="N21" s="292">
        <v>-8.9999999999999677E-2</v>
      </c>
      <c r="O21" s="161"/>
      <c r="P21" s="161">
        <f>K21-M21+N21</f>
        <v>1.7309000000000005</v>
      </c>
    </row>
    <row r="22" spans="2:19" ht="12.75" customHeight="1">
      <c r="B22" s="760" t="s">
        <v>667</v>
      </c>
      <c r="G22" s="1304">
        <v>-1.6933499999999999</v>
      </c>
      <c r="H22" s="1304">
        <v>-0.88200000000000001</v>
      </c>
      <c r="I22" s="1304">
        <v>0.18270000000000003</v>
      </c>
      <c r="J22" s="1304">
        <v>0.23400000000000001</v>
      </c>
      <c r="K22" s="1304">
        <v>3.6000000000000004E-2</v>
      </c>
      <c r="L22" s="292"/>
      <c r="M22" s="1304">
        <v>9.0000000000000011E-3</v>
      </c>
      <c r="N22" s="1304">
        <v>9.0000000000000011E-3</v>
      </c>
      <c r="O22" s="161"/>
      <c r="P22" s="268">
        <f>K22-M22+N22</f>
        <v>3.6000000000000004E-2</v>
      </c>
    </row>
    <row r="23" spans="2:19" ht="12.75" customHeight="1">
      <c r="B23" s="102" t="s">
        <v>198</v>
      </c>
      <c r="G23" s="213">
        <f>SUM(G20:G22)</f>
        <v>-1.7798999999999996</v>
      </c>
      <c r="H23" s="213">
        <f>SUM(H20:H22)</f>
        <v>-1.8502000000000001</v>
      </c>
      <c r="I23" s="213">
        <f>SUM(I20:I22)</f>
        <v>-0.82809999999999984</v>
      </c>
      <c r="J23" s="213">
        <f>SUM(J20:J22)</f>
        <v>0.10440000000000002</v>
      </c>
      <c r="K23" s="213">
        <f>SUM(K20:K22)</f>
        <v>1.7219000000000002</v>
      </c>
      <c r="L23" s="153"/>
      <c r="M23" s="213">
        <f>SUM(M20:M22)</f>
        <v>-2.5424999999999996E-2</v>
      </c>
      <c r="N23" s="213">
        <f>SUM(N20:N22)</f>
        <v>-0.11452499999999968</v>
      </c>
      <c r="O23" s="153"/>
      <c r="P23" s="213">
        <f>SUM(P20:P22)</f>
        <v>1.6328000000000005</v>
      </c>
    </row>
    <row r="24" spans="2:19" ht="12.75" customHeight="1">
      <c r="G24" s="310"/>
      <c r="H24" s="310"/>
      <c r="I24" s="310"/>
      <c r="J24" s="310"/>
      <c r="K24" s="310"/>
      <c r="M24" s="310"/>
      <c r="N24" s="310"/>
      <c r="P24" s="310"/>
    </row>
    <row r="25" spans="2:19" ht="12.75" hidden="1" customHeight="1" outlineLevel="1">
      <c r="B25" s="3" t="s">
        <v>410</v>
      </c>
      <c r="G25" s="185">
        <v>0</v>
      </c>
      <c r="H25" s="185">
        <v>0</v>
      </c>
      <c r="I25" s="185">
        <v>0</v>
      </c>
      <c r="J25" s="185">
        <v>0</v>
      </c>
      <c r="K25" s="185">
        <v>0</v>
      </c>
      <c r="L25" s="153"/>
      <c r="M25" s="185">
        <v>0</v>
      </c>
      <c r="N25" s="185">
        <v>0</v>
      </c>
      <c r="O25" s="153"/>
      <c r="P25" s="153">
        <f>K25-M25+N25</f>
        <v>0</v>
      </c>
    </row>
    <row r="26" spans="2:19" ht="12.75" hidden="1" customHeight="1" outlineLevel="1">
      <c r="G26" s="153"/>
      <c r="H26" s="153"/>
      <c r="I26" s="153"/>
      <c r="J26" s="153"/>
      <c r="K26" s="153"/>
      <c r="L26" s="153"/>
      <c r="M26" s="153"/>
      <c r="N26" s="153"/>
      <c r="O26" s="153"/>
      <c r="P26" s="153"/>
    </row>
    <row r="27" spans="2:19" ht="12.75" customHeight="1" collapsed="1">
      <c r="B27" s="102" t="s">
        <v>199</v>
      </c>
      <c r="G27" s="213">
        <f>G12+G17+G23+G25</f>
        <v>5.5121200000000012</v>
      </c>
      <c r="H27" s="213">
        <f>H12+H17+H23+H25</f>
        <v>4.9356999999999998</v>
      </c>
      <c r="I27" s="213">
        <f>I12+I17+I23+I25</f>
        <v>5.6787999999999981</v>
      </c>
      <c r="J27" s="213">
        <f>J12+J17+J23+J25</f>
        <v>6.3362999999999987</v>
      </c>
      <c r="K27" s="213">
        <f>K12+K17+K23+K25</f>
        <v>14.681799999999999</v>
      </c>
      <c r="L27" s="153"/>
      <c r="M27" s="213">
        <f>M12+M17+M23+M25</f>
        <v>2.1941124999999997</v>
      </c>
      <c r="N27" s="213">
        <f>N12+N17+N23+N25</f>
        <v>2.500239375</v>
      </c>
      <c r="O27" s="153"/>
      <c r="P27" s="213">
        <f>P12+P17+P23+P25</f>
        <v>14.987926874999999</v>
      </c>
    </row>
    <row r="28" spans="2:19" ht="12.75" customHeight="1">
      <c r="B28" s="102"/>
      <c r="G28" s="213"/>
      <c r="H28" s="213"/>
      <c r="I28" s="213"/>
      <c r="J28" s="213"/>
      <c r="K28" s="213"/>
      <c r="L28" s="153"/>
      <c r="M28" s="213"/>
      <c r="N28" s="213"/>
      <c r="O28" s="153"/>
      <c r="P28" s="213"/>
    </row>
    <row r="29" spans="2:19" ht="12.75" customHeight="1">
      <c r="B29" s="3" t="s">
        <v>201</v>
      </c>
      <c r="G29" s="1304">
        <v>0</v>
      </c>
      <c r="H29" s="1305">
        <f>G30</f>
        <v>5.5121200000000012</v>
      </c>
      <c r="I29" s="1305">
        <f>H30</f>
        <v>10.44782</v>
      </c>
      <c r="J29" s="1305">
        <f>I30</f>
        <v>16.126619999999999</v>
      </c>
      <c r="K29" s="1305">
        <f>J30</f>
        <v>22.462919999999997</v>
      </c>
      <c r="L29" s="153"/>
      <c r="M29" s="1305">
        <f>+J30</f>
        <v>22.462919999999997</v>
      </c>
      <c r="N29" s="1305">
        <f>+K30</f>
        <v>37.144719999999992</v>
      </c>
      <c r="O29" s="153"/>
      <c r="P29" s="1305">
        <f>+M30</f>
        <v>24.657032499999996</v>
      </c>
    </row>
    <row r="30" spans="2:19" ht="12.75" customHeight="1" thickBot="1">
      <c r="B30" s="3" t="s">
        <v>202</v>
      </c>
      <c r="G30" s="1306">
        <f>G27+G29</f>
        <v>5.5121200000000012</v>
      </c>
      <c r="H30" s="1306">
        <f>H27+H29</f>
        <v>10.44782</v>
      </c>
      <c r="I30" s="1306">
        <f>I27+I29</f>
        <v>16.126619999999999</v>
      </c>
      <c r="J30" s="1306">
        <f>J27+J29</f>
        <v>22.462919999999997</v>
      </c>
      <c r="K30" s="1306">
        <f>K27+K29</f>
        <v>37.144719999999992</v>
      </c>
      <c r="L30" s="153"/>
      <c r="M30" s="1306">
        <f>M27+M29</f>
        <v>24.657032499999996</v>
      </c>
      <c r="N30" s="1306">
        <f>N27+N29</f>
        <v>39.644959374999992</v>
      </c>
      <c r="O30" s="153"/>
      <c r="P30" s="1306">
        <f>P27+P29</f>
        <v>39.644959374999999</v>
      </c>
    </row>
    <row r="31" spans="2:19" ht="12.75" customHeight="1" thickTop="1"/>
    <row r="32" spans="2:19" ht="12.75" customHeight="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2:16" ht="12.75" customHeight="1">
      <c r="B33" s="250" t="str">
        <f>"Source:  Company's "&amp;YEAR(tfye)&amp;" Form 10-K."</f>
        <v>Source:  Company's 2018 Form 10-K.</v>
      </c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</row>
    <row r="34" spans="2:16" ht="12.75" customHeight="1"/>
    <row r="35" spans="2:16" ht="12.75" customHeight="1">
      <c r="B35" s="3" t="s">
        <v>389</v>
      </c>
      <c r="G35" s="113">
        <f>'Tar Balance Sheet'!G8</f>
        <v>5.11212</v>
      </c>
      <c r="H35" s="113">
        <f>'Tar Balance Sheet'!H8</f>
        <v>10.547820000000002</v>
      </c>
      <c r="I35" s="113">
        <f>'Tar Balance Sheet'!I8</f>
        <v>17.026620000000001</v>
      </c>
      <c r="J35" s="113">
        <f>'Tar Balance Sheet'!J8</f>
        <v>24.96292</v>
      </c>
      <c r="K35" s="113">
        <f>'Tar Balance Sheet'!K8</f>
        <v>38.64472</v>
      </c>
      <c r="L35" s="109"/>
      <c r="M35" s="113">
        <f>'Tar Balance Sheet'!M8</f>
        <v>26.9070325</v>
      </c>
      <c r="N35" s="113">
        <f>'Tar Balance Sheet'!N8</f>
        <v>40.868709375000002</v>
      </c>
      <c r="P35" s="153">
        <f>+N35</f>
        <v>40.868709375000002</v>
      </c>
    </row>
    <row r="36" spans="2:16" s="267" customFormat="1" ht="12.75" customHeight="1">
      <c r="B36" s="1051" t="s">
        <v>292</v>
      </c>
      <c r="C36" s="263"/>
      <c r="D36" s="263"/>
      <c r="E36" s="263"/>
      <c r="F36" s="263"/>
      <c r="G36" s="1307">
        <f>G30-G35</f>
        <v>0.40000000000000124</v>
      </c>
      <c r="H36" s="1307">
        <f>H30-H35</f>
        <v>-0.10000000000000142</v>
      </c>
      <c r="I36" s="1307">
        <f>I30-I35</f>
        <v>-0.90000000000000213</v>
      </c>
      <c r="J36" s="1307">
        <f>J30-J35</f>
        <v>-2.5000000000000036</v>
      </c>
      <c r="K36" s="1307">
        <f>K30-K35</f>
        <v>-1.5000000000000071</v>
      </c>
      <c r="L36" s="263"/>
      <c r="M36" s="1307">
        <f>M30-M35</f>
        <v>-2.2500000000000036</v>
      </c>
      <c r="N36" s="1307">
        <f>N30-N35</f>
        <v>-1.2237500000000097</v>
      </c>
      <c r="O36" s="263"/>
      <c r="P36" s="1307">
        <f>P30-P35</f>
        <v>-1.2237500000000026</v>
      </c>
    </row>
    <row r="37" spans="2:16" ht="12.75" customHeight="1">
      <c r="J37" s="1308"/>
      <c r="P37" s="1309"/>
    </row>
    <row r="38" spans="2:16" ht="12.75" customHeight="1">
      <c r="B38" s="1310" t="s">
        <v>187</v>
      </c>
      <c r="G38" s="372"/>
      <c r="H38" s="372"/>
      <c r="I38" s="372"/>
      <c r="J38" s="372"/>
      <c r="K38" s="372"/>
      <c r="M38" s="372"/>
      <c r="N38" s="372"/>
      <c r="P38" s="372"/>
    </row>
    <row r="39" spans="2:16" ht="12.75" customHeight="1">
      <c r="B39" s="1" t="s">
        <v>39</v>
      </c>
      <c r="F39" s="201"/>
      <c r="G39" s="185">
        <f>+H39*0.78</f>
        <v>-0.39</v>
      </c>
      <c r="H39" s="185">
        <f>+'Tar Balance Sheet'!G9-'Tar Balance Sheet'!H9</f>
        <v>-0.5</v>
      </c>
      <c r="I39" s="185">
        <f>+'Tar Balance Sheet'!H9-'Tar Balance Sheet'!I9</f>
        <v>-0.5</v>
      </c>
      <c r="J39" s="185">
        <f>+'Tar Balance Sheet'!I9-'Tar Balance Sheet'!J9</f>
        <v>-0.5</v>
      </c>
      <c r="K39" s="185">
        <f>+'Tar Balance Sheet'!J9-'Tar Balance Sheet'!K9</f>
        <v>-0.5</v>
      </c>
      <c r="L39" s="153"/>
      <c r="M39" s="185">
        <v>-0.71812500000000035</v>
      </c>
      <c r="N39" s="185">
        <v>-0.75403125000000037</v>
      </c>
      <c r="O39" s="153"/>
      <c r="P39" s="153">
        <f>K39-M39+N39</f>
        <v>-0.53590625000000003</v>
      </c>
    </row>
    <row r="40" spans="2:16">
      <c r="B40" s="1" t="s">
        <v>40</v>
      </c>
      <c r="G40" s="201">
        <f t="shared" ref="G40:G44" si="1">+H40*0.78</f>
        <v>-0.39</v>
      </c>
      <c r="H40" s="201">
        <f>+'Tar Balance Sheet'!G10-'Tar Balance Sheet'!H10</f>
        <v>-0.5</v>
      </c>
      <c r="I40" s="201">
        <f>+'Tar Balance Sheet'!H10-'Tar Balance Sheet'!I10</f>
        <v>-0.5</v>
      </c>
      <c r="J40" s="201">
        <f>+'Tar Balance Sheet'!I10-'Tar Balance Sheet'!J10</f>
        <v>-0.5</v>
      </c>
      <c r="K40" s="201">
        <f>+'Tar Balance Sheet'!J10-'Tar Balance Sheet'!K10</f>
        <v>-0.5</v>
      </c>
      <c r="L40" s="161"/>
      <c r="M40" s="201">
        <v>0.27637500000000004</v>
      </c>
      <c r="N40" s="201">
        <v>0.29019375000000003</v>
      </c>
      <c r="O40" s="161"/>
      <c r="P40" s="161">
        <f>K40-M40+N40</f>
        <v>-0.48618125000000001</v>
      </c>
    </row>
    <row r="41" spans="2:16">
      <c r="B41" s="1" t="s">
        <v>246</v>
      </c>
      <c r="G41" s="201">
        <f t="shared" si="1"/>
        <v>3.1199999999999379E-3</v>
      </c>
      <c r="H41" s="201">
        <f>+'Tar Balance Sheet'!G11-'Tar Balance Sheet'!H11</f>
        <v>3.9999999999999203E-3</v>
      </c>
      <c r="I41" s="201">
        <f>+'Tar Balance Sheet'!H11-'Tar Balance Sheet'!I11</f>
        <v>-0.5</v>
      </c>
      <c r="J41" s="201">
        <f>+'Tar Balance Sheet'!I11-'Tar Balance Sheet'!J11</f>
        <v>-0.5</v>
      </c>
      <c r="K41" s="201">
        <f>+'Tar Balance Sheet'!J11-'Tar Balance Sheet'!K11</f>
        <v>-0.5</v>
      </c>
      <c r="L41" s="161"/>
      <c r="M41" s="201">
        <v>0.3045000000000001</v>
      </c>
      <c r="N41" s="201">
        <v>0.31972500000000015</v>
      </c>
      <c r="O41" s="161"/>
      <c r="P41" s="161"/>
    </row>
    <row r="42" spans="2:16">
      <c r="B42" s="1" t="s">
        <v>48</v>
      </c>
      <c r="G42" s="201">
        <f t="shared" si="1"/>
        <v>0.15600000000000014</v>
      </c>
      <c r="H42" s="201">
        <f>+'Tar Balance Sheet'!H21-'Tar Balance Sheet'!G21</f>
        <v>0.20000000000000018</v>
      </c>
      <c r="I42" s="201">
        <f>+'Tar Balance Sheet'!I21-'Tar Balance Sheet'!H21</f>
        <v>0.20000000000000018</v>
      </c>
      <c r="J42" s="201">
        <f>+'Tar Balance Sheet'!J21-'Tar Balance Sheet'!I21</f>
        <v>0.20000000000000018</v>
      </c>
      <c r="K42" s="201">
        <f>+'Tar Balance Sheet'!K21-'Tar Balance Sheet'!J21</f>
        <v>0.20000000000000018</v>
      </c>
      <c r="L42" s="161"/>
      <c r="M42" s="201">
        <v>-0.17418750000000005</v>
      </c>
      <c r="N42" s="201">
        <v>-0.18289687500000007</v>
      </c>
      <c r="O42" s="161"/>
      <c r="P42" s="161">
        <f>K42-M42+N42</f>
        <v>0.19129062500000016</v>
      </c>
    </row>
    <row r="43" spans="2:16">
      <c r="B43" s="1" t="s">
        <v>100</v>
      </c>
      <c r="G43" s="201">
        <f t="shared" si="1"/>
        <v>0.15600000000000014</v>
      </c>
      <c r="H43" s="201">
        <f>+'Tar Balance Sheet'!H22-'Tar Balance Sheet'!G22</f>
        <v>0.20000000000000018</v>
      </c>
      <c r="I43" s="201">
        <f>+'Tar Balance Sheet'!I22-'Tar Balance Sheet'!H22</f>
        <v>0.20000000000000018</v>
      </c>
      <c r="J43" s="201">
        <f>+'Tar Balance Sheet'!J22-'Tar Balance Sheet'!I22</f>
        <v>0.20000000000000018</v>
      </c>
      <c r="K43" s="201">
        <f>+'Tar Balance Sheet'!K22-'Tar Balance Sheet'!J22</f>
        <v>0.20000000000000018</v>
      </c>
      <c r="L43" s="161"/>
      <c r="M43" s="201">
        <v>9.2249999999999832E-2</v>
      </c>
      <c r="N43" s="201">
        <v>9.6862499999999824E-2</v>
      </c>
      <c r="O43" s="161"/>
      <c r="P43" s="161">
        <f>K43-M43+N43</f>
        <v>0.20461250000000017</v>
      </c>
    </row>
    <row r="44" spans="2:16">
      <c r="B44" s="1" t="s">
        <v>233</v>
      </c>
      <c r="G44" s="201">
        <f t="shared" si="1"/>
        <v>0</v>
      </c>
      <c r="H44" s="201">
        <f>+'Tar Balance Sheet'!H25-'Tar Balance Sheet'!G25</f>
        <v>0</v>
      </c>
      <c r="I44" s="201">
        <f>+'Tar Balance Sheet'!I25-'Tar Balance Sheet'!H25</f>
        <v>0</v>
      </c>
      <c r="J44" s="201">
        <f>+'Tar Balance Sheet'!J25-'Tar Balance Sheet'!I25</f>
        <v>0</v>
      </c>
      <c r="K44" s="201">
        <f>+'Tar Balance Sheet'!K25-'Tar Balance Sheet'!J25</f>
        <v>3.6030000000000002</v>
      </c>
      <c r="L44" s="161"/>
      <c r="M44" s="201">
        <v>-0.17549999999999999</v>
      </c>
      <c r="N44" s="201">
        <v>-0.18427499999999999</v>
      </c>
      <c r="O44" s="161"/>
      <c r="P44" s="161">
        <f>K44-M44+N44</f>
        <v>3.5942250000000002</v>
      </c>
    </row>
    <row r="45" spans="2:16">
      <c r="B45" s="145" t="s">
        <v>445</v>
      </c>
      <c r="G45" s="381">
        <f>SUM(G39:G44)</f>
        <v>-0.46487999999999985</v>
      </c>
      <c r="H45" s="381">
        <f t="shared" ref="H45:P45" si="2">SUM(H39:H44)</f>
        <v>-0.59599999999999975</v>
      </c>
      <c r="I45" s="381">
        <f t="shared" si="2"/>
        <v>-1.0999999999999996</v>
      </c>
      <c r="J45" s="381">
        <f t="shared" si="2"/>
        <v>-1.0999999999999996</v>
      </c>
      <c r="K45" s="381">
        <f t="shared" si="2"/>
        <v>2.5030000000000006</v>
      </c>
      <c r="L45" s="153"/>
      <c r="M45" s="381">
        <f t="shared" si="2"/>
        <v>-0.39468750000000041</v>
      </c>
      <c r="N45" s="381">
        <f t="shared" si="2"/>
        <v>-0.41442187500000044</v>
      </c>
      <c r="O45" s="153"/>
      <c r="P45" s="381">
        <f t="shared" si="2"/>
        <v>2.9680406250000004</v>
      </c>
    </row>
  </sheetData>
  <customSheetViews>
    <customSheetView guid="{9AE38660-BF5A-49A3-9FC0-AD5890AFC019}" showPageBreaks="1" showGridLines="0" printArea="1" view="pageBreakPreview" showRuler="0">
      <selection activeCell="B2" sqref="B2"/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>
    <tabColor indexed="42"/>
  </sheetPr>
  <dimension ref="A2:JM77"/>
  <sheetViews>
    <sheetView showGridLines="0" view="pageBreakPreview" zoomScaleNormal="100" zoomScaleSheetLayoutView="100" workbookViewId="0"/>
  </sheetViews>
  <sheetFormatPr defaultRowHeight="12.75" outlineLevelRow="1" outlineLevelCol="2"/>
  <cols>
    <col min="1" max="1" width="2.83203125" style="4" customWidth="1"/>
    <col min="2" max="4" width="10.83203125" style="3" customWidth="1"/>
    <col min="5" max="5" width="2.83203125" style="3" customWidth="1"/>
    <col min="6" max="6" width="10.33203125" style="3" bestFit="1" customWidth="1" outlineLevel="1"/>
    <col min="7" max="7" width="2.83203125" style="3" customWidth="1" outlineLevel="1"/>
    <col min="8" max="8" width="10.33203125" style="3" bestFit="1" customWidth="1" outlineLevel="1"/>
    <col min="9" max="9" width="2.83203125" style="3" customWidth="1" outlineLevel="1"/>
    <col min="10" max="10" width="10.33203125" style="3" bestFit="1" customWidth="1" outlineLevel="1"/>
    <col min="11" max="11" width="2.83203125" style="3" customWidth="1" outlineLevel="1"/>
    <col min="12" max="12" width="10.33203125" style="3" bestFit="1" customWidth="1" outlineLevel="1"/>
    <col min="13" max="13" width="2.83203125" style="3" customWidth="1" outlineLevel="1"/>
    <col min="14" max="14" width="10.33203125" style="3" bestFit="1" customWidth="1" outlineLevel="1"/>
    <col min="15" max="15" width="2.83203125" style="3" customWidth="1" outlineLevel="1"/>
    <col min="16" max="16" width="10.33203125" style="3" customWidth="1" outlineLevel="2"/>
    <col min="17" max="17" width="2.83203125" style="3" customWidth="1" outlineLevel="2"/>
    <col min="18" max="18" width="10.33203125" style="3" customWidth="1" outlineLevel="2"/>
    <col min="19" max="19" width="2.83203125" style="3" customWidth="1" outlineLevel="2"/>
    <col min="20" max="20" width="10.33203125" style="3" bestFit="1" customWidth="1" outlineLevel="1"/>
    <col min="21" max="21" width="2.83203125" style="3" customWidth="1" outlineLevel="1"/>
    <col min="22" max="22" width="12.33203125" style="3" bestFit="1" customWidth="1" outlineLevel="1"/>
    <col min="23" max="23" width="2.83203125" style="4" customWidth="1" outlineLevel="1"/>
    <col min="24" max="24" width="10.33203125" style="3" bestFit="1" customWidth="1"/>
    <col min="25" max="25" width="2.83203125" style="96" customWidth="1"/>
    <col min="26" max="26" width="10.33203125" style="3" bestFit="1" customWidth="1"/>
    <col min="27" max="27" width="2.83203125" style="3" customWidth="1"/>
    <col min="28" max="28" width="10.33203125" style="3" bestFit="1" customWidth="1"/>
    <col min="29" max="29" width="2.83203125" style="3" customWidth="1"/>
    <col min="30" max="30" width="10.33203125" style="3" bestFit="1" customWidth="1"/>
    <col min="31" max="31" width="2.83203125" style="3" customWidth="1"/>
    <col min="32" max="32" width="10.33203125" style="3" bestFit="1" customWidth="1"/>
    <col min="33" max="33" width="2.83203125" style="3" customWidth="1"/>
    <col min="34" max="34" width="10.33203125" style="3" bestFit="1" customWidth="1"/>
    <col min="35" max="35" width="2.83203125" style="3" customWidth="1"/>
    <col min="36" max="36" width="10.33203125" style="3" bestFit="1" customWidth="1"/>
    <col min="37" max="37" width="2.83203125" style="3" customWidth="1"/>
    <col min="38" max="38" width="12.33203125" style="3" bestFit="1" customWidth="1"/>
    <col min="39" max="39" width="2.83203125" style="4" customWidth="1"/>
    <col min="40" max="16384" width="9.33203125" style="4"/>
  </cols>
  <sheetData>
    <row r="2" spans="2:241" ht="23.25">
      <c r="B2" s="97" t="str">
        <f>proj</f>
        <v>Project MODEL</v>
      </c>
      <c r="C2" s="39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4"/>
      <c r="T2" s="7"/>
      <c r="U2" s="4"/>
      <c r="V2" s="4"/>
      <c r="X2" s="7"/>
      <c r="Z2" s="7"/>
      <c r="AA2" s="4"/>
      <c r="AB2" s="7"/>
      <c r="AC2" s="7"/>
      <c r="AD2" s="7"/>
      <c r="AE2" s="7"/>
      <c r="AF2" s="7"/>
      <c r="AG2" s="7"/>
      <c r="AH2" s="7"/>
      <c r="AI2" s="7"/>
      <c r="AJ2" s="7"/>
      <c r="AK2" s="4"/>
      <c r="AL2" s="4"/>
    </row>
    <row r="3" spans="2:241" s="276" customFormat="1" ht="20.100000000000001" customHeight="1">
      <c r="B3" s="384" t="str">
        <f>tar&amp;" - Summary Historical and Projected Financial Performance"</f>
        <v>SG ENTERPRISES - Summary Historical and Projected Financial Performance</v>
      </c>
      <c r="C3" s="384"/>
      <c r="D3" s="393"/>
      <c r="E3" s="393"/>
      <c r="F3" s="393"/>
      <c r="G3" s="393"/>
      <c r="H3" s="393"/>
      <c r="I3" s="393"/>
      <c r="J3" s="393"/>
      <c r="K3" s="393"/>
      <c r="L3" s="393"/>
      <c r="M3" s="393"/>
      <c r="N3" s="393"/>
      <c r="O3" s="393"/>
      <c r="P3" s="393"/>
      <c r="Q3" s="393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  <c r="AD3" s="393"/>
      <c r="AE3" s="393"/>
      <c r="AF3" s="393"/>
      <c r="AG3" s="393"/>
      <c r="AH3" s="393"/>
      <c r="AI3" s="393"/>
      <c r="AJ3" s="393"/>
      <c r="AK3" s="393"/>
      <c r="AL3" s="396" t="str">
        <f>tcname</f>
        <v>Wall street consensus</v>
      </c>
      <c r="AM3" s="1297"/>
    </row>
    <row r="4" spans="2:241">
      <c r="Y4" s="3"/>
    </row>
    <row r="5" spans="2:241">
      <c r="B5" s="1298" t="str">
        <f>tcname</f>
        <v>Wall street consensus</v>
      </c>
      <c r="C5" s="1299"/>
      <c r="D5" s="1300"/>
      <c r="F5" s="1298" t="s">
        <v>495</v>
      </c>
      <c r="G5" s="1299"/>
      <c r="H5" s="1299"/>
      <c r="I5" s="1299"/>
      <c r="J5" s="1299"/>
      <c r="K5" s="1299"/>
      <c r="L5" s="1299"/>
      <c r="M5" s="1299"/>
      <c r="N5" s="1299"/>
      <c r="O5" s="1299"/>
      <c r="P5" s="1299"/>
      <c r="Q5" s="1299"/>
      <c r="R5" s="1299"/>
      <c r="S5" s="1299"/>
      <c r="T5" s="1299"/>
      <c r="U5" s="1299"/>
      <c r="V5" s="1300"/>
      <c r="W5" s="3"/>
      <c r="X5" s="1298" t="s">
        <v>31</v>
      </c>
      <c r="Y5" s="1299"/>
      <c r="Z5" s="1299"/>
      <c r="AA5" s="1299"/>
      <c r="AB5" s="1299"/>
      <c r="AC5" s="1299"/>
      <c r="AD5" s="1299"/>
      <c r="AE5" s="1299"/>
      <c r="AF5" s="1299"/>
      <c r="AG5" s="1299"/>
      <c r="AH5" s="1299"/>
      <c r="AI5" s="1299"/>
      <c r="AJ5" s="1299"/>
      <c r="AK5" s="1299"/>
      <c r="AL5" s="1299"/>
      <c r="AM5" s="96"/>
      <c r="AN5" s="96"/>
      <c r="AO5" s="96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</row>
    <row r="6" spans="2:241">
      <c r="F6" s="7"/>
      <c r="H6" s="7"/>
      <c r="J6" s="7"/>
      <c r="L6" s="7"/>
      <c r="N6" s="7"/>
      <c r="O6" s="7"/>
      <c r="P6" s="7"/>
      <c r="R6" s="7"/>
      <c r="T6" s="7"/>
      <c r="W6" s="3"/>
      <c r="X6" s="7"/>
      <c r="Z6" s="7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</row>
    <row r="7" spans="2:241">
      <c r="B7" s="176" t="str">
        <f>'Tar Proj'!B4</f>
        <v>(Amounts in Millions, Except Per Share Data)</v>
      </c>
      <c r="W7" s="3"/>
      <c r="AM7" s="3"/>
    </row>
    <row r="8" spans="2:241" ht="5.0999999999999996" customHeight="1">
      <c r="B8" s="335"/>
      <c r="W8" s="3"/>
      <c r="AM8" s="3"/>
    </row>
    <row r="9" spans="2:241">
      <c r="F9" s="280" t="str">
        <f>'Tar Income Statement'!H5</f>
        <v>Fiscal Year Ended December 31,</v>
      </c>
      <c r="G9" s="280"/>
      <c r="H9" s="280"/>
      <c r="I9" s="280"/>
      <c r="J9" s="280"/>
      <c r="K9" s="280"/>
      <c r="L9" s="280"/>
      <c r="M9" s="280"/>
      <c r="N9" s="280"/>
      <c r="O9" s="104"/>
      <c r="P9" s="280" t="str">
        <f>'Tar Income Statement'!O5</f>
        <v>Three Months Ended</v>
      </c>
      <c r="Q9" s="280"/>
      <c r="R9" s="280"/>
      <c r="T9" s="280" t="str">
        <f>'Tar Income Statement'!S5</f>
        <v>LTM</v>
      </c>
      <c r="V9" s="280" t="s">
        <v>183</v>
      </c>
      <c r="W9" s="3"/>
      <c r="X9" s="280" t="s">
        <v>320</v>
      </c>
      <c r="Z9" s="280" t="str">
        <f>+T9</f>
        <v>LTM</v>
      </c>
      <c r="AB9" s="280" t="str">
        <f>"Fiscal Year Ending "&amp;TEXT(tfye,"mmmm d,")</f>
        <v>Fiscal Year Ending December 31,</v>
      </c>
      <c r="AC9" s="280"/>
      <c r="AD9" s="280"/>
      <c r="AE9" s="280"/>
      <c r="AF9" s="280"/>
      <c r="AG9" s="280"/>
      <c r="AH9" s="280"/>
      <c r="AI9" s="280"/>
      <c r="AJ9" s="280"/>
      <c r="AL9" s="280" t="str">
        <f>+V9</f>
        <v>CAGR</v>
      </c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</row>
    <row r="10" spans="2:241">
      <c r="B10" s="336" t="s">
        <v>615</v>
      </c>
      <c r="C10" s="4"/>
      <c r="D10" s="4"/>
      <c r="F10" s="337">
        <f>'Tar Income Statement'!H6</f>
        <v>2014</v>
      </c>
      <c r="G10" s="338"/>
      <c r="H10" s="337">
        <f>'Tar Income Statement'!I6</f>
        <v>2015</v>
      </c>
      <c r="I10" s="338"/>
      <c r="J10" s="337">
        <f>'Tar Income Statement'!J6</f>
        <v>2016</v>
      </c>
      <c r="K10" s="338"/>
      <c r="L10" s="337">
        <f>'Tar Income Statement'!K6</f>
        <v>2017</v>
      </c>
      <c r="M10" s="338"/>
      <c r="N10" s="337">
        <f>'Tar Income Statement'!L6</f>
        <v>2018</v>
      </c>
      <c r="O10" s="104"/>
      <c r="P10" s="339">
        <f>'Tar Income Statement'!O6</f>
        <v>43190</v>
      </c>
      <c r="Q10" s="338"/>
      <c r="R10" s="339">
        <f>'Tar Income Statement'!P6</f>
        <v>43555</v>
      </c>
      <c r="T10" s="339">
        <f>'Tar Income Statement'!S6</f>
        <v>43555</v>
      </c>
      <c r="V10" s="340" t="str">
        <f>"FY"&amp;TEXT(F10-2000,"00")&amp;"-FY"&amp;TEXT(N10-2000,"00")</f>
        <v>FY14-FY18</v>
      </c>
      <c r="W10" s="3"/>
      <c r="X10" s="337">
        <f t="shared" ref="X10:X16" si="0">+N10</f>
        <v>2018</v>
      </c>
      <c r="Z10" s="339">
        <f>+T10</f>
        <v>43555</v>
      </c>
      <c r="AB10" s="338">
        <f>'Tar Proj'!L7</f>
        <v>2019</v>
      </c>
      <c r="AC10" s="338"/>
      <c r="AD10" s="341">
        <f>'Tar Proj'!M7</f>
        <v>2020</v>
      </c>
      <c r="AE10" s="341"/>
      <c r="AF10" s="341">
        <f>'Tar Proj'!N7</f>
        <v>2021</v>
      </c>
      <c r="AG10" s="338"/>
      <c r="AH10" s="341">
        <f>'Tar Proj'!O7</f>
        <v>2022</v>
      </c>
      <c r="AI10" s="338"/>
      <c r="AJ10" s="341">
        <f>'Tar Proj'!P7</f>
        <v>2023</v>
      </c>
      <c r="AL10" s="340" t="str">
        <f>"FY"&amp;TEXT(AB10-2000,"00")&amp;"-FY"&amp;TEXT(AJ10-2000,"00")</f>
        <v>FY19-FY23</v>
      </c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</row>
    <row r="11" spans="2:241">
      <c r="B11" s="235" t="str">
        <f>'Tar Income Statement'!B7</f>
        <v>Net Sales</v>
      </c>
      <c r="C11" s="235"/>
      <c r="D11" s="235"/>
      <c r="E11" s="109"/>
      <c r="F11" s="342">
        <f>'Tar Income Statement'!H7</f>
        <v>40</v>
      </c>
      <c r="G11" s="113"/>
      <c r="H11" s="342">
        <f>'Tar Income Statement'!I7</f>
        <v>42</v>
      </c>
      <c r="I11" s="113"/>
      <c r="J11" s="342">
        <f>'Tar Income Statement'!J7</f>
        <v>44</v>
      </c>
      <c r="K11" s="113"/>
      <c r="L11" s="342">
        <f>'Tar Income Statement'!K7</f>
        <v>46</v>
      </c>
      <c r="M11" s="113"/>
      <c r="N11" s="342">
        <f>'Tar Income Statement'!L7</f>
        <v>48</v>
      </c>
      <c r="O11" s="113"/>
      <c r="P11" s="342">
        <f>'Tar Income Statement'!O7</f>
        <v>12</v>
      </c>
      <c r="Q11" s="113"/>
      <c r="R11" s="342">
        <f>'Tar Income Statement'!P7</f>
        <v>14</v>
      </c>
      <c r="S11" s="109"/>
      <c r="T11" s="342">
        <f>'Tar Income Statement'!S7</f>
        <v>50</v>
      </c>
      <c r="V11" s="343">
        <f t="shared" ref="V11:V16" si="1">IF(AND(N11&gt;=0,F11&gt;=0),((N11/F11)^(1/(N$10-F$10))-1)*100,"NM ")</f>
        <v>4.6635139392105618</v>
      </c>
      <c r="W11" s="310" t="s">
        <v>166</v>
      </c>
      <c r="X11" s="344">
        <f t="shared" si="0"/>
        <v>48</v>
      </c>
      <c r="Z11" s="153">
        <f t="shared" ref="Z11:Z16" si="2">+T11</f>
        <v>50</v>
      </c>
      <c r="AB11" s="342">
        <f>'Tar Proj'!L8</f>
        <v>50</v>
      </c>
      <c r="AC11" s="113"/>
      <c r="AD11" s="342">
        <f>'Tar Proj'!M8</f>
        <v>55.000000000000007</v>
      </c>
      <c r="AE11" s="113"/>
      <c r="AF11" s="342">
        <f>'Tar Proj'!N8</f>
        <v>60.500000000000014</v>
      </c>
      <c r="AG11" s="113"/>
      <c r="AH11" s="342">
        <f>'Tar Proj'!O8</f>
        <v>66.550000000000026</v>
      </c>
      <c r="AI11" s="113"/>
      <c r="AJ11" s="342">
        <f>'Tar Proj'!P8</f>
        <v>73.205000000000041</v>
      </c>
      <c r="AL11" s="343">
        <f t="shared" ref="AL11:AL16" si="3">IF(AND(AJ11&gt;=0,AB11&gt;=0),((AJ11/AB11)^(1/(AJ$10-AB$10))-1)*100,"NM ")</f>
        <v>10.000000000000009</v>
      </c>
      <c r="AM11" s="310" t="s">
        <v>166</v>
      </c>
    </row>
    <row r="12" spans="2:241">
      <c r="B12" s="109" t="str">
        <f>tlabel1&amp;'Tar Income Statement'!B9</f>
        <v>Gross Profit</v>
      </c>
      <c r="C12" s="109"/>
      <c r="D12" s="109"/>
      <c r="E12" s="109"/>
      <c r="F12" s="115">
        <f>'Tar Income Statement'!H36</f>
        <v>20</v>
      </c>
      <c r="G12" s="115"/>
      <c r="H12" s="115">
        <f>'Tar Income Statement'!I36</f>
        <v>21</v>
      </c>
      <c r="I12" s="115"/>
      <c r="J12" s="115">
        <f>'Tar Income Statement'!J36</f>
        <v>22</v>
      </c>
      <c r="K12" s="115"/>
      <c r="L12" s="115">
        <f>'Tar Income Statement'!K36</f>
        <v>23</v>
      </c>
      <c r="M12" s="115"/>
      <c r="N12" s="115">
        <f>'Tar Income Statement'!L36</f>
        <v>24</v>
      </c>
      <c r="O12" s="115"/>
      <c r="P12" s="115">
        <f>'Tar Income Statement'!O36</f>
        <v>6</v>
      </c>
      <c r="Q12" s="115"/>
      <c r="R12" s="115">
        <f>'Tar Income Statement'!P36</f>
        <v>7</v>
      </c>
      <c r="S12" s="109"/>
      <c r="T12" s="115">
        <f>'Tar Income Statement'!S36</f>
        <v>25</v>
      </c>
      <c r="V12" s="343">
        <f t="shared" si="1"/>
        <v>4.6635139392105618</v>
      </c>
      <c r="W12" s="3"/>
      <c r="X12" s="161">
        <f t="shared" si="0"/>
        <v>24</v>
      </c>
      <c r="Z12" s="161">
        <f t="shared" si="2"/>
        <v>25</v>
      </c>
      <c r="AB12" s="115">
        <f>'Tar Proj'!L10</f>
        <v>27.500000000000004</v>
      </c>
      <c r="AC12" s="115"/>
      <c r="AD12" s="115">
        <f>'Tar Proj'!M10</f>
        <v>30.250000000000007</v>
      </c>
      <c r="AE12" s="115"/>
      <c r="AF12" s="115">
        <f>'Tar Proj'!N10</f>
        <v>33.275000000000006</v>
      </c>
      <c r="AG12" s="115"/>
      <c r="AH12" s="115">
        <f>'Tar Proj'!O10</f>
        <v>36.60250000000002</v>
      </c>
      <c r="AI12" s="115"/>
      <c r="AJ12" s="115">
        <f>'Tar Proj'!P10</f>
        <v>40.262750000000025</v>
      </c>
      <c r="AL12" s="343">
        <f t="shared" si="3"/>
        <v>10.000000000000009</v>
      </c>
      <c r="AM12" s="3"/>
    </row>
    <row r="13" spans="2:241">
      <c r="B13" s="109" t="str">
        <f>tlabel1&amp;'Tar Income Statement'!B31</f>
        <v>EBITDA</v>
      </c>
      <c r="C13" s="109"/>
      <c r="D13" s="109"/>
      <c r="E13" s="109"/>
      <c r="F13" s="115">
        <f>'Tar Income Statement'!H40</f>
        <v>11.4</v>
      </c>
      <c r="G13" s="115"/>
      <c r="H13" s="115">
        <f>'Tar Income Statement'!I40</f>
        <v>12</v>
      </c>
      <c r="I13" s="115"/>
      <c r="J13" s="115">
        <f>'Tar Income Statement'!J40</f>
        <v>12.6</v>
      </c>
      <c r="K13" s="115"/>
      <c r="L13" s="115">
        <f>'Tar Income Statement'!K40</f>
        <v>13.2</v>
      </c>
      <c r="M13" s="115"/>
      <c r="N13" s="115">
        <f>'Tar Income Statement'!L40</f>
        <v>13.9</v>
      </c>
      <c r="O13" s="115"/>
      <c r="P13" s="115">
        <f>'Tar Income Statement'!O40</f>
        <v>3.4750000000000001</v>
      </c>
      <c r="Q13" s="115"/>
      <c r="R13" s="115">
        <f>'Tar Income Statement'!P40</f>
        <v>4.0462499999999997</v>
      </c>
      <c r="S13" s="109"/>
      <c r="T13" s="115">
        <f>'Tar Income Statement'!S40</f>
        <v>14.471250000000001</v>
      </c>
      <c r="V13" s="343">
        <f t="shared" si="1"/>
        <v>5.0817960799921069</v>
      </c>
      <c r="W13" s="3"/>
      <c r="X13" s="161">
        <f t="shared" si="0"/>
        <v>13.9</v>
      </c>
      <c r="Z13" s="161">
        <f t="shared" si="2"/>
        <v>14.471250000000001</v>
      </c>
      <c r="AB13" s="115">
        <f>'Tar Proj'!L36</f>
        <v>20.000000000000004</v>
      </c>
      <c r="AC13" s="115"/>
      <c r="AD13" s="115">
        <f>'Tar Proj'!M36</f>
        <v>21.500000000000007</v>
      </c>
      <c r="AE13" s="115"/>
      <c r="AF13" s="115">
        <f>'Tar Proj'!N36</f>
        <v>23.650000000000006</v>
      </c>
      <c r="AG13" s="115"/>
      <c r="AH13" s="115">
        <f>'Tar Proj'!O36</f>
        <v>26.015000000000015</v>
      </c>
      <c r="AI13" s="115"/>
      <c r="AJ13" s="115">
        <f>'Tar Proj'!P36</f>
        <v>28.61650000000002</v>
      </c>
      <c r="AL13" s="343">
        <f t="shared" si="3"/>
        <v>9.3696015536874455</v>
      </c>
      <c r="AM13" s="3"/>
    </row>
    <row r="14" spans="2:241">
      <c r="B14" s="109" t="str">
        <f>tlabel1&amp;'Tar Income Statement'!B29</f>
        <v>EBIT</v>
      </c>
      <c r="C14" s="109"/>
      <c r="D14" s="109"/>
      <c r="E14" s="109"/>
      <c r="F14" s="115">
        <f>'Tar Income Statement'!H41</f>
        <v>10</v>
      </c>
      <c r="G14" s="115"/>
      <c r="H14" s="115">
        <f>'Tar Income Statement'!I41</f>
        <v>10.5</v>
      </c>
      <c r="I14" s="115"/>
      <c r="J14" s="115">
        <f>'Tar Income Statement'!J41</f>
        <v>11</v>
      </c>
      <c r="K14" s="115"/>
      <c r="L14" s="115">
        <f>'Tar Income Statement'!K41</f>
        <v>11.5</v>
      </c>
      <c r="M14" s="115"/>
      <c r="N14" s="115">
        <f>'Tar Income Statement'!L41</f>
        <v>12</v>
      </c>
      <c r="O14" s="115"/>
      <c r="P14" s="115">
        <f>'Tar Income Statement'!O41</f>
        <v>3</v>
      </c>
      <c r="Q14" s="115"/>
      <c r="R14" s="115">
        <f>'Tar Income Statement'!P41</f>
        <v>3.5</v>
      </c>
      <c r="S14" s="109"/>
      <c r="T14" s="115">
        <f>'Tar Income Statement'!S41</f>
        <v>12.5</v>
      </c>
      <c r="V14" s="343">
        <f t="shared" si="1"/>
        <v>4.6635139392105618</v>
      </c>
      <c r="W14" s="3"/>
      <c r="X14" s="161">
        <f t="shared" si="0"/>
        <v>12</v>
      </c>
      <c r="Z14" s="161">
        <f t="shared" si="2"/>
        <v>12.5</v>
      </c>
      <c r="AB14" s="115">
        <f>'Tar Proj'!L34</f>
        <v>15.000000000000004</v>
      </c>
      <c r="AC14" s="115"/>
      <c r="AD14" s="115">
        <f>'Tar Proj'!M34</f>
        <v>16.500000000000007</v>
      </c>
      <c r="AE14" s="115"/>
      <c r="AF14" s="115">
        <f>'Tar Proj'!N34</f>
        <v>18.150000000000002</v>
      </c>
      <c r="AG14" s="115"/>
      <c r="AH14" s="115">
        <f>'Tar Proj'!O34</f>
        <v>19.965000000000014</v>
      </c>
      <c r="AI14" s="115"/>
      <c r="AJ14" s="115">
        <f>'Tar Proj'!P34</f>
        <v>21.961500000000015</v>
      </c>
      <c r="AL14" s="343">
        <f t="shared" si="3"/>
        <v>10.000000000000009</v>
      </c>
      <c r="AM14" s="3"/>
    </row>
    <row r="15" spans="2:241">
      <c r="B15" s="109" t="str">
        <f>'Tar Income Statement'!B19&amp;tlabel2</f>
        <v>Net Income</v>
      </c>
      <c r="C15" s="109"/>
      <c r="D15" s="109"/>
      <c r="E15" s="109"/>
      <c r="F15" s="115">
        <f>'Tar Income Statement'!H43</f>
        <v>6.5568999999999997</v>
      </c>
      <c r="G15" s="115"/>
      <c r="H15" s="115">
        <f>'Tar Income Statement'!I43</f>
        <v>6.9819000000000004</v>
      </c>
      <c r="I15" s="115"/>
      <c r="J15" s="115">
        <f>'Tar Income Statement'!J43</f>
        <v>7.4068999999999985</v>
      </c>
      <c r="K15" s="115"/>
      <c r="L15" s="115">
        <f>'Tar Income Statement'!K43</f>
        <v>7.8318999999999992</v>
      </c>
      <c r="M15" s="115"/>
      <c r="N15" s="115">
        <f>'Tar Income Statement'!L43</f>
        <v>8.2568999999999999</v>
      </c>
      <c r="O15" s="115"/>
      <c r="P15" s="115">
        <f>'Tar Income Statement'!O43</f>
        <v>2.064225</v>
      </c>
      <c r="Q15" s="115"/>
      <c r="R15" s="115">
        <f>'Tar Income Statement'!P43</f>
        <v>2.4229362500000002</v>
      </c>
      <c r="S15" s="109"/>
      <c r="T15" s="115">
        <f>'Tar Income Statement'!S43</f>
        <v>8.6156112500000006</v>
      </c>
      <c r="V15" s="343">
        <f t="shared" si="1"/>
        <v>5.9325962081163475</v>
      </c>
      <c r="W15" s="3"/>
      <c r="X15" s="161">
        <f t="shared" si="0"/>
        <v>8.2568999999999999</v>
      </c>
      <c r="Z15" s="161">
        <f t="shared" si="2"/>
        <v>8.6156112500000006</v>
      </c>
      <c r="AB15" s="115">
        <f ca="1">'Tar Proj'!L20</f>
        <v>11.415399782091423</v>
      </c>
      <c r="AC15" s="115"/>
      <c r="AD15" s="115">
        <f ca="1">'Tar Proj'!M20</f>
        <v>12.581984965367914</v>
      </c>
      <c r="AE15" s="115"/>
      <c r="AF15" s="115">
        <f ca="1">'Tar Proj'!N20</f>
        <v>13.863897636809492</v>
      </c>
      <c r="AG15" s="115"/>
      <c r="AH15" s="115">
        <f ca="1">'Tar Proj'!O20</f>
        <v>15.274194254574596</v>
      </c>
      <c r="AI15" s="115"/>
      <c r="AJ15" s="115">
        <f ca="1">'Tar Proj'!P20</f>
        <v>16.825713937199801</v>
      </c>
      <c r="AL15" s="343">
        <f t="shared" ca="1" si="3"/>
        <v>10.184522475845847</v>
      </c>
      <c r="AM15" s="3"/>
    </row>
    <row r="16" spans="2:241">
      <c r="B16" s="109" t="str">
        <f>'Tar Income Statement'!B24&amp;tlabel2</f>
        <v>Diluted EPS</v>
      </c>
      <c r="C16" s="109"/>
      <c r="D16" s="109"/>
      <c r="E16" s="109"/>
      <c r="F16" s="108">
        <f>'Tar Income Statement'!H44</f>
        <v>1.1113389830508476</v>
      </c>
      <c r="G16" s="108"/>
      <c r="H16" s="108">
        <f>'Tar Income Statement'!I44</f>
        <v>1.1445737704918033</v>
      </c>
      <c r="I16" s="108"/>
      <c r="J16" s="108">
        <f>'Tar Income Statement'!J44</f>
        <v>1.1756984126984125</v>
      </c>
      <c r="K16" s="108"/>
      <c r="L16" s="108">
        <f>'Tar Income Statement'!K44</f>
        <v>1.2049076923076922</v>
      </c>
      <c r="M16" s="108"/>
      <c r="N16" s="108">
        <f>'Tar Income Statement'!L44</f>
        <v>1.2323731343283582</v>
      </c>
      <c r="O16" s="108"/>
      <c r="P16" s="108">
        <f>'Tar Income Statement'!O44</f>
        <v>0.31276136363636364</v>
      </c>
      <c r="Q16" s="108"/>
      <c r="R16" s="108">
        <f>'Tar Income Statement'!P44</f>
        <v>0.35115018115942032</v>
      </c>
      <c r="S16" s="109"/>
      <c r="T16" s="108">
        <f>'Tar Income Statement'!S44</f>
        <v>1.2716769372693728</v>
      </c>
      <c r="V16" s="343">
        <f t="shared" si="1"/>
        <v>2.6180879647567767</v>
      </c>
      <c r="W16" s="3"/>
      <c r="X16" s="138">
        <f t="shared" si="0"/>
        <v>1.2323731343283582</v>
      </c>
      <c r="Z16" s="138">
        <f t="shared" si="2"/>
        <v>1.2716769372693728</v>
      </c>
      <c r="AB16" s="108">
        <f ca="1">'Tar Proj'!L26</f>
        <v>1.6513782387494556</v>
      </c>
      <c r="AC16" s="108"/>
      <c r="AD16" s="108">
        <f ca="1">'Tar Proj'!M26</f>
        <v>1.8201391601437822</v>
      </c>
      <c r="AE16" s="108"/>
      <c r="AF16" s="108">
        <f ca="1">'Tar Proj'!N26</f>
        <v>2.0055836237636062</v>
      </c>
      <c r="AG16" s="108"/>
      <c r="AH16" s="108">
        <f ca="1">'Tar Proj'!O26</f>
        <v>2.2096004071628967</v>
      </c>
      <c r="AI16" s="108"/>
      <c r="AJ16" s="108">
        <f ca="1">'Tar Proj'!P26</f>
        <v>2.4340468470412655</v>
      </c>
      <c r="AL16" s="343">
        <f t="shared" ca="1" si="3"/>
        <v>10.184522475845847</v>
      </c>
      <c r="AM16" s="3"/>
    </row>
    <row r="17" spans="2:273" hidden="1" outlineLevel="1">
      <c r="B17" s="415"/>
      <c r="F17" s="164"/>
      <c r="G17" s="164"/>
      <c r="H17" s="164"/>
      <c r="I17" s="164"/>
      <c r="J17" s="164"/>
      <c r="K17" s="164"/>
      <c r="L17" s="164"/>
      <c r="M17" s="164"/>
      <c r="N17" s="164"/>
      <c r="P17" s="123"/>
      <c r="Q17" s="164"/>
      <c r="R17" s="123"/>
      <c r="T17" s="123"/>
      <c r="W17" s="3"/>
      <c r="X17" s="164"/>
      <c r="Z17" s="123"/>
      <c r="AB17" s="164"/>
      <c r="AC17" s="164"/>
      <c r="AD17" s="164"/>
      <c r="AE17" s="164"/>
      <c r="AF17" s="164"/>
      <c r="AG17" s="164"/>
      <c r="AH17" s="164"/>
      <c r="AI17" s="164"/>
      <c r="AJ17" s="164"/>
      <c r="AM17" s="3"/>
    </row>
    <row r="18" spans="2:273" hidden="1" outlineLevel="1">
      <c r="B18" s="109" t="str">
        <f>'Tar Income Statement'!B26</f>
        <v>Number of Stores</v>
      </c>
      <c r="C18" s="109"/>
      <c r="D18" s="109"/>
      <c r="E18" s="109"/>
      <c r="F18" s="346">
        <f>'Tar Income Statement'!H26</f>
        <v>10</v>
      </c>
      <c r="G18" s="346"/>
      <c r="H18" s="346">
        <f>'Tar Income Statement'!I26</f>
        <v>11</v>
      </c>
      <c r="I18" s="346"/>
      <c r="J18" s="346">
        <f>'Tar Income Statement'!J26</f>
        <v>12</v>
      </c>
      <c r="K18" s="346"/>
      <c r="L18" s="346">
        <f>'Tar Income Statement'!K26</f>
        <v>13</v>
      </c>
      <c r="M18" s="346"/>
      <c r="N18" s="346">
        <f>'Tar Income Statement'!L26</f>
        <v>14</v>
      </c>
      <c r="O18" s="346"/>
      <c r="P18" s="346">
        <f>'Tar Income Statement'!O26</f>
        <v>14</v>
      </c>
      <c r="Q18" s="346"/>
      <c r="R18" s="346">
        <f>'Tar Income Statement'!P26</f>
        <v>15</v>
      </c>
      <c r="S18" s="347"/>
      <c r="T18" s="346">
        <f>'Tar Income Statement'!S26</f>
        <v>15</v>
      </c>
      <c r="U18" s="348"/>
      <c r="V18" s="348"/>
      <c r="W18" s="348"/>
      <c r="X18" s="349">
        <f>+N18</f>
        <v>14</v>
      </c>
      <c r="Z18" s="349">
        <f>+T18</f>
        <v>15</v>
      </c>
      <c r="AA18" s="348"/>
      <c r="AB18" s="346">
        <f>'Tar Proj'!L28</f>
        <v>16</v>
      </c>
      <c r="AC18" s="346"/>
      <c r="AD18" s="346">
        <f>'Tar Proj'!M28</f>
        <v>18</v>
      </c>
      <c r="AE18" s="346"/>
      <c r="AF18" s="346">
        <f>'Tar Proj'!N28</f>
        <v>20</v>
      </c>
      <c r="AG18" s="346"/>
      <c r="AH18" s="346">
        <f>'Tar Proj'!O28</f>
        <v>22</v>
      </c>
      <c r="AI18" s="346"/>
      <c r="AJ18" s="346">
        <f>'Tar Proj'!P28</f>
        <v>24</v>
      </c>
      <c r="AK18" s="348"/>
      <c r="AL18" s="348"/>
      <c r="AM18" s="348"/>
      <c r="AN18" s="350"/>
      <c r="AO18" s="350"/>
      <c r="AP18" s="350"/>
      <c r="AQ18" s="350"/>
      <c r="AR18" s="350"/>
      <c r="AS18" s="350"/>
      <c r="AT18" s="350"/>
      <c r="AU18" s="350"/>
      <c r="AV18" s="350"/>
      <c r="AW18" s="350"/>
      <c r="AX18" s="350"/>
      <c r="AY18" s="350"/>
      <c r="AZ18" s="350"/>
      <c r="BA18" s="350"/>
      <c r="BB18" s="350"/>
      <c r="BC18" s="350"/>
      <c r="BD18" s="350"/>
      <c r="BE18" s="350"/>
      <c r="BF18" s="350"/>
      <c r="BG18" s="350"/>
      <c r="BH18" s="350"/>
      <c r="BI18" s="350"/>
      <c r="BJ18" s="350"/>
      <c r="BK18" s="350"/>
      <c r="BL18" s="350"/>
      <c r="BM18" s="350"/>
      <c r="BN18" s="350"/>
      <c r="BO18" s="350"/>
      <c r="BP18" s="350"/>
      <c r="BQ18" s="350"/>
      <c r="BR18" s="350"/>
      <c r="BS18" s="350"/>
      <c r="BT18" s="350"/>
      <c r="BU18" s="350"/>
      <c r="BV18" s="350"/>
      <c r="BW18" s="350"/>
      <c r="BX18" s="350"/>
      <c r="BY18" s="350"/>
      <c r="BZ18" s="350"/>
      <c r="CA18" s="350"/>
      <c r="CB18" s="350"/>
      <c r="CC18" s="350"/>
      <c r="CD18" s="350"/>
      <c r="CE18" s="350"/>
      <c r="CF18" s="350"/>
      <c r="CG18" s="350"/>
      <c r="CH18" s="350"/>
      <c r="CI18" s="350"/>
      <c r="CJ18" s="350"/>
      <c r="CK18" s="350"/>
      <c r="CL18" s="350"/>
      <c r="CM18" s="350"/>
      <c r="CN18" s="350"/>
      <c r="CO18" s="350"/>
      <c r="CP18" s="350"/>
      <c r="CQ18" s="350"/>
      <c r="CR18" s="350"/>
      <c r="CS18" s="350"/>
      <c r="CT18" s="350"/>
      <c r="CU18" s="350"/>
      <c r="CV18" s="350"/>
      <c r="CW18" s="350"/>
      <c r="CX18" s="350"/>
      <c r="CY18" s="350"/>
      <c r="CZ18" s="350"/>
      <c r="DA18" s="350"/>
      <c r="DB18" s="350"/>
      <c r="DC18" s="350"/>
      <c r="DD18" s="350"/>
      <c r="DE18" s="350"/>
      <c r="DF18" s="350"/>
      <c r="DG18" s="350"/>
      <c r="DH18" s="350"/>
      <c r="DI18" s="350"/>
      <c r="DJ18" s="350"/>
      <c r="DK18" s="350"/>
      <c r="DL18" s="350"/>
      <c r="DM18" s="350"/>
      <c r="DN18" s="350"/>
      <c r="DO18" s="350"/>
      <c r="DP18" s="350"/>
      <c r="DQ18" s="350"/>
      <c r="DR18" s="350"/>
      <c r="DS18" s="350"/>
      <c r="DT18" s="350"/>
      <c r="DU18" s="350"/>
      <c r="DV18" s="350"/>
      <c r="DW18" s="350"/>
      <c r="DX18" s="350"/>
      <c r="DY18" s="350"/>
      <c r="DZ18" s="350"/>
      <c r="EA18" s="350"/>
      <c r="EB18" s="350"/>
      <c r="EC18" s="350"/>
      <c r="ED18" s="350"/>
      <c r="EE18" s="350"/>
      <c r="EF18" s="350"/>
      <c r="EG18" s="350"/>
      <c r="EH18" s="350"/>
      <c r="EI18" s="350"/>
      <c r="EJ18" s="350"/>
      <c r="EK18" s="350"/>
      <c r="EL18" s="350"/>
      <c r="EM18" s="350"/>
      <c r="EN18" s="350"/>
      <c r="EO18" s="350"/>
      <c r="EP18" s="350"/>
      <c r="EQ18" s="350"/>
      <c r="ER18" s="350"/>
      <c r="ES18" s="350"/>
      <c r="ET18" s="350"/>
      <c r="EU18" s="350"/>
      <c r="EV18" s="350"/>
      <c r="EW18" s="350"/>
      <c r="EX18" s="350"/>
      <c r="EY18" s="350"/>
      <c r="EZ18" s="350"/>
      <c r="FA18" s="350"/>
      <c r="FB18" s="350"/>
      <c r="FC18" s="350"/>
      <c r="FD18" s="350"/>
      <c r="FE18" s="350"/>
      <c r="FF18" s="350"/>
      <c r="FG18" s="350"/>
      <c r="FH18" s="350"/>
      <c r="FI18" s="350"/>
      <c r="FJ18" s="350"/>
      <c r="FK18" s="350"/>
      <c r="FL18" s="350"/>
      <c r="FM18" s="350"/>
      <c r="FN18" s="350"/>
      <c r="FO18" s="350"/>
      <c r="FP18" s="350"/>
      <c r="FQ18" s="350"/>
      <c r="FR18" s="350"/>
      <c r="FS18" s="350"/>
      <c r="FT18" s="350"/>
      <c r="FU18" s="350"/>
      <c r="FV18" s="350"/>
      <c r="FW18" s="350"/>
      <c r="FX18" s="350"/>
      <c r="FY18" s="350"/>
      <c r="FZ18" s="350"/>
      <c r="GA18" s="350"/>
      <c r="GB18" s="350"/>
      <c r="GC18" s="350"/>
      <c r="GD18" s="350"/>
      <c r="GE18" s="350"/>
      <c r="GF18" s="350"/>
      <c r="GG18" s="350"/>
      <c r="GH18" s="350"/>
      <c r="GI18" s="350"/>
      <c r="GJ18" s="350"/>
      <c r="GK18" s="350"/>
      <c r="GL18" s="350"/>
      <c r="GM18" s="350"/>
      <c r="GN18" s="350"/>
      <c r="GO18" s="350"/>
      <c r="GP18" s="350"/>
      <c r="GQ18" s="350"/>
      <c r="GR18" s="350"/>
      <c r="GS18" s="350"/>
      <c r="GT18" s="350"/>
      <c r="GU18" s="350"/>
      <c r="GV18" s="350"/>
      <c r="GW18" s="350"/>
      <c r="GX18" s="350"/>
      <c r="GY18" s="350"/>
      <c r="GZ18" s="350"/>
      <c r="HA18" s="350"/>
      <c r="HB18" s="350"/>
      <c r="HC18" s="350"/>
      <c r="HD18" s="350"/>
      <c r="HE18" s="350"/>
      <c r="HF18" s="350"/>
      <c r="HG18" s="350"/>
      <c r="HH18" s="350"/>
      <c r="HI18" s="350"/>
      <c r="HJ18" s="350"/>
      <c r="HK18" s="350"/>
      <c r="HL18" s="350"/>
      <c r="HM18" s="350"/>
      <c r="HN18" s="350"/>
      <c r="HO18" s="350"/>
      <c r="HP18" s="350"/>
      <c r="HQ18" s="350"/>
      <c r="HR18" s="350"/>
      <c r="HS18" s="350"/>
      <c r="HT18" s="350"/>
      <c r="HU18" s="350"/>
      <c r="HV18" s="350"/>
      <c r="HW18" s="350"/>
      <c r="HX18" s="350"/>
      <c r="HY18" s="350"/>
      <c r="HZ18" s="350"/>
      <c r="IA18" s="350"/>
      <c r="IB18" s="350"/>
      <c r="IC18" s="350"/>
      <c r="ID18" s="350"/>
      <c r="IE18" s="350"/>
      <c r="IF18" s="350"/>
      <c r="IG18" s="350"/>
      <c r="IH18" s="350"/>
      <c r="II18" s="350"/>
      <c r="IJ18" s="350"/>
      <c r="IK18" s="350"/>
      <c r="IL18" s="350"/>
      <c r="IM18" s="350"/>
      <c r="IN18" s="350"/>
      <c r="IO18" s="350"/>
      <c r="IP18" s="350"/>
      <c r="IQ18" s="350"/>
      <c r="IR18" s="350"/>
      <c r="IS18" s="350"/>
      <c r="IT18" s="350"/>
      <c r="IU18" s="350"/>
      <c r="IV18" s="350"/>
      <c r="IW18" s="350"/>
      <c r="IX18" s="350"/>
      <c r="IY18" s="350"/>
      <c r="IZ18" s="350"/>
      <c r="JA18" s="350"/>
      <c r="JB18" s="350"/>
      <c r="JC18" s="350"/>
      <c r="JD18" s="350"/>
      <c r="JE18" s="350"/>
      <c r="JF18" s="350"/>
      <c r="JG18" s="350"/>
      <c r="JH18" s="350"/>
      <c r="JI18" s="350"/>
      <c r="JJ18" s="350"/>
      <c r="JK18" s="350"/>
      <c r="JL18" s="350"/>
      <c r="JM18" s="350"/>
    </row>
    <row r="19" spans="2:273" collapsed="1">
      <c r="W19" s="3"/>
      <c r="AM19" s="3"/>
    </row>
    <row r="20" spans="2:273">
      <c r="B20" s="139" t="s">
        <v>184</v>
      </c>
      <c r="W20" s="3"/>
      <c r="AM20" s="3"/>
    </row>
    <row r="21" spans="2:273">
      <c r="B21" s="3" t="str">
        <f>tlabel1&amp;"Gross Margin"</f>
        <v>Gross Margin</v>
      </c>
      <c r="C21" s="310"/>
      <c r="D21" s="310"/>
      <c r="E21" s="310"/>
      <c r="F21" s="343">
        <f>(F12/F$11)*100</f>
        <v>50</v>
      </c>
      <c r="G21" s="310" t="s">
        <v>166</v>
      </c>
      <c r="H21" s="343">
        <f>(H12/H$11)*100</f>
        <v>50</v>
      </c>
      <c r="I21" s="310" t="s">
        <v>166</v>
      </c>
      <c r="J21" s="343">
        <f>(J12/J$11)*100</f>
        <v>50</v>
      </c>
      <c r="K21" s="310" t="s">
        <v>166</v>
      </c>
      <c r="L21" s="343">
        <f>(L12/L$11)*100</f>
        <v>50</v>
      </c>
      <c r="M21" s="310" t="s">
        <v>166</v>
      </c>
      <c r="N21" s="343">
        <f>(N12/N$11)*100</f>
        <v>50</v>
      </c>
      <c r="O21" s="310" t="s">
        <v>166</v>
      </c>
      <c r="P21" s="343">
        <f>(P12/P$11)*100</f>
        <v>50</v>
      </c>
      <c r="Q21" s="310" t="s">
        <v>166</v>
      </c>
      <c r="R21" s="343">
        <f>(R12/R$11)*100</f>
        <v>50</v>
      </c>
      <c r="S21" s="310" t="s">
        <v>166</v>
      </c>
      <c r="T21" s="343">
        <f>(T12/T$11)*100</f>
        <v>50</v>
      </c>
      <c r="U21" s="310" t="s">
        <v>166</v>
      </c>
      <c r="V21" s="310"/>
      <c r="W21" s="310"/>
      <c r="X21" s="343">
        <f>(X12/X$11)*100</f>
        <v>50</v>
      </c>
      <c r="Y21" s="351"/>
      <c r="Z21" s="343">
        <f>(Z12/Z$11)*100</f>
        <v>50</v>
      </c>
      <c r="AA21" s="310" t="s">
        <v>166</v>
      </c>
      <c r="AB21" s="343">
        <f>(AB12/AB$11)*100</f>
        <v>55.000000000000007</v>
      </c>
      <c r="AC21" s="310" t="s">
        <v>166</v>
      </c>
      <c r="AD21" s="343">
        <f>(AD12/AD$11)*100</f>
        <v>55.000000000000007</v>
      </c>
      <c r="AE21" s="310" t="s">
        <v>166</v>
      </c>
      <c r="AF21" s="343">
        <f>(AF12/AF$11)*100</f>
        <v>54.999999999999993</v>
      </c>
      <c r="AG21" s="310" t="s">
        <v>166</v>
      </c>
      <c r="AH21" s="343">
        <f>(AH12/AH$11)*100</f>
        <v>55.000000000000007</v>
      </c>
      <c r="AI21" s="310" t="s">
        <v>166</v>
      </c>
      <c r="AJ21" s="343">
        <f>(AJ12/AJ$11)*100</f>
        <v>55.000000000000007</v>
      </c>
      <c r="AK21" s="310" t="s">
        <v>166</v>
      </c>
      <c r="AL21" s="310"/>
      <c r="AM21" s="310"/>
    </row>
    <row r="22" spans="2:273">
      <c r="B22" s="310" t="str">
        <f>+B13</f>
        <v>EBITDA</v>
      </c>
      <c r="C22" s="310"/>
      <c r="D22" s="310"/>
      <c r="E22" s="310"/>
      <c r="F22" s="343">
        <f>(F13/F$11)*100</f>
        <v>28.500000000000004</v>
      </c>
      <c r="G22" s="310"/>
      <c r="H22" s="343">
        <f>(H13/H$11)*100</f>
        <v>28.571428571428569</v>
      </c>
      <c r="I22" s="310"/>
      <c r="J22" s="343">
        <f>(J13/J$11)*100</f>
        <v>28.636363636363637</v>
      </c>
      <c r="K22" s="310"/>
      <c r="L22" s="343">
        <f>(L13/L$11)*100</f>
        <v>28.695652173913043</v>
      </c>
      <c r="M22" s="310"/>
      <c r="N22" s="343">
        <f>(N13/N$11)*100</f>
        <v>28.958333333333336</v>
      </c>
      <c r="O22" s="310"/>
      <c r="P22" s="343">
        <f>(P13/P$11)*100</f>
        <v>28.958333333333336</v>
      </c>
      <c r="Q22" s="310"/>
      <c r="R22" s="343">
        <f>(R13/R$11)*100</f>
        <v>28.901785714285712</v>
      </c>
      <c r="S22" s="310"/>
      <c r="T22" s="343">
        <f>(T13/T$11)*100</f>
        <v>28.942500000000003</v>
      </c>
      <c r="U22" s="310"/>
      <c r="V22" s="310"/>
      <c r="W22" s="310"/>
      <c r="X22" s="343">
        <f>(X13/X$11)*100</f>
        <v>28.958333333333336</v>
      </c>
      <c r="Y22" s="351"/>
      <c r="Z22" s="343">
        <f>(Z13/Z$11)*100</f>
        <v>28.942500000000003</v>
      </c>
      <c r="AA22" s="310"/>
      <c r="AB22" s="343">
        <f>(AB13/AB$11)*100</f>
        <v>40.000000000000007</v>
      </c>
      <c r="AC22" s="310"/>
      <c r="AD22" s="343">
        <f>(AD13/AD$11)*100</f>
        <v>39.090909090909101</v>
      </c>
      <c r="AE22" s="310"/>
      <c r="AF22" s="343">
        <f>(AF13/AF$11)*100</f>
        <v>39.090909090909093</v>
      </c>
      <c r="AG22" s="310"/>
      <c r="AH22" s="343">
        <f>(AH13/AH$11)*100</f>
        <v>39.090909090909101</v>
      </c>
      <c r="AI22" s="310"/>
      <c r="AJ22" s="343">
        <f>(AJ13/AJ$11)*100</f>
        <v>39.090909090909101</v>
      </c>
      <c r="AK22" s="310"/>
      <c r="AL22" s="310"/>
      <c r="AM22" s="310"/>
    </row>
    <row r="23" spans="2:273">
      <c r="B23" s="310" t="str">
        <f>+B14</f>
        <v>EBIT</v>
      </c>
      <c r="C23" s="310"/>
      <c r="D23" s="310"/>
      <c r="E23" s="310"/>
      <c r="F23" s="343">
        <f>(F14/F$11)*100</f>
        <v>25</v>
      </c>
      <c r="G23" s="310"/>
      <c r="H23" s="343">
        <f>(H14/H$11)*100</f>
        <v>25</v>
      </c>
      <c r="I23" s="310"/>
      <c r="J23" s="343">
        <f>(J14/J$11)*100</f>
        <v>25</v>
      </c>
      <c r="K23" s="310"/>
      <c r="L23" s="343">
        <f>(L14/L$11)*100</f>
        <v>25</v>
      </c>
      <c r="M23" s="310"/>
      <c r="N23" s="343">
        <f>(N14/N$11)*100</f>
        <v>25</v>
      </c>
      <c r="O23" s="310"/>
      <c r="P23" s="343">
        <f>(P14/P$11)*100</f>
        <v>25</v>
      </c>
      <c r="Q23" s="310"/>
      <c r="R23" s="343">
        <f>(R14/R$11)*100</f>
        <v>25</v>
      </c>
      <c r="S23" s="310"/>
      <c r="T23" s="343">
        <f>(T14/T$11)*100</f>
        <v>25</v>
      </c>
      <c r="U23" s="310"/>
      <c r="V23" s="310"/>
      <c r="W23" s="310"/>
      <c r="X23" s="343">
        <f>(X14/X$11)*100</f>
        <v>25</v>
      </c>
      <c r="Y23" s="351"/>
      <c r="Z23" s="343">
        <f>(Z14/Z$11)*100</f>
        <v>25</v>
      </c>
      <c r="AA23" s="310"/>
      <c r="AB23" s="343">
        <f>(AB14/AB$11)*100</f>
        <v>30.000000000000004</v>
      </c>
      <c r="AC23" s="310"/>
      <c r="AD23" s="343">
        <f>(AD14/AD$11)*100</f>
        <v>30.000000000000011</v>
      </c>
      <c r="AE23" s="310"/>
      <c r="AF23" s="343">
        <f>(AF14/AF$11)*100</f>
        <v>30</v>
      </c>
      <c r="AG23" s="310"/>
      <c r="AH23" s="343">
        <f>(AH14/AH$11)*100</f>
        <v>30.000000000000011</v>
      </c>
      <c r="AI23" s="310"/>
      <c r="AJ23" s="343">
        <f>(AJ14/AJ$11)*100</f>
        <v>30.000000000000004</v>
      </c>
      <c r="AK23" s="310"/>
      <c r="AL23" s="310"/>
      <c r="AM23" s="310"/>
    </row>
    <row r="24" spans="2:273">
      <c r="B24" s="310" t="str">
        <f>+B15</f>
        <v>Net Income</v>
      </c>
      <c r="C24" s="310"/>
      <c r="D24" s="310"/>
      <c r="E24" s="310"/>
      <c r="F24" s="343">
        <f>(F15/F$11)*100</f>
        <v>16.392250000000001</v>
      </c>
      <c r="G24" s="310"/>
      <c r="H24" s="343">
        <f>(H15/H$11)*100</f>
        <v>16.623571428571431</v>
      </c>
      <c r="I24" s="310"/>
      <c r="J24" s="343">
        <f>(J15/J$11)*100</f>
        <v>16.833863636363631</v>
      </c>
      <c r="K24" s="310"/>
      <c r="L24" s="343">
        <f>(L15/L$11)*100</f>
        <v>17.025869565217388</v>
      </c>
      <c r="M24" s="310"/>
      <c r="N24" s="343">
        <f>(N15/N$11)*100</f>
        <v>17.201875000000001</v>
      </c>
      <c r="O24" s="310"/>
      <c r="P24" s="343">
        <f>(P15/P$11)*100</f>
        <v>17.201875000000001</v>
      </c>
      <c r="Q24" s="310"/>
      <c r="R24" s="343">
        <f>(R15/R$11)*100</f>
        <v>17.306687500000002</v>
      </c>
      <c r="S24" s="310"/>
      <c r="T24" s="343">
        <f>(T15/T$11)*100</f>
        <v>17.231222500000001</v>
      </c>
      <c r="U24" s="310"/>
      <c r="V24" s="310"/>
      <c r="W24" s="310"/>
      <c r="X24" s="343">
        <f>(X15/X$11)*100</f>
        <v>17.201875000000001</v>
      </c>
      <c r="Y24" s="351"/>
      <c r="Z24" s="343">
        <f>(Z15/Z$11)*100</f>
        <v>17.231222500000001</v>
      </c>
      <c r="AA24" s="310"/>
      <c r="AB24" s="343">
        <f ca="1">(AB15/AB$11)*100</f>
        <v>22.830799564182847</v>
      </c>
      <c r="AC24" s="310"/>
      <c r="AD24" s="343">
        <f ca="1">(AD15/AD$11)*100</f>
        <v>22.876336300668932</v>
      </c>
      <c r="AE24" s="310"/>
      <c r="AF24" s="343">
        <f ca="1">(AF15/AF$11)*100</f>
        <v>22.915533283982626</v>
      </c>
      <c r="AG24" s="310"/>
      <c r="AH24" s="343">
        <f ca="1">(AH15/AH$11)*100</f>
        <v>22.951456430615462</v>
      </c>
      <c r="AI24" s="310"/>
      <c r="AJ24" s="343">
        <f ca="1">(AJ15/AJ$11)*100</f>
        <v>22.984378030462118</v>
      </c>
      <c r="AK24" s="310"/>
      <c r="AL24" s="310"/>
      <c r="AM24" s="310"/>
    </row>
    <row r="25" spans="2:273">
      <c r="W25" s="3"/>
      <c r="AM25" s="3"/>
    </row>
    <row r="26" spans="2:273">
      <c r="B26" s="139" t="str">
        <f>'Tar Proj'!B47</f>
        <v>Growth Rates</v>
      </c>
      <c r="W26" s="3"/>
      <c r="AM26" s="3"/>
    </row>
    <row r="27" spans="2:273">
      <c r="B27" s="109" t="str">
        <f>'Tar Income Statement'!B58</f>
        <v>Same Store Sales</v>
      </c>
      <c r="C27" s="109"/>
      <c r="D27" s="109"/>
      <c r="E27" s="109"/>
      <c r="F27" s="103">
        <f>'Tar Income Statement'!H58*100</f>
        <v>6</v>
      </c>
      <c r="G27" s="109" t="str">
        <f>IF(F27=0,"","%")</f>
        <v>%</v>
      </c>
      <c r="H27" s="103">
        <f>'Tar Income Statement'!I58</f>
        <v>0.04</v>
      </c>
      <c r="I27" s="109" t="str">
        <f>IF(H27=0,"","%")</f>
        <v>%</v>
      </c>
      <c r="J27" s="103">
        <f>'Tar Income Statement'!J58</f>
        <v>1.7999999999999999E-2</v>
      </c>
      <c r="K27" s="109" t="str">
        <f>IF(J27=0,"","%")</f>
        <v>%</v>
      </c>
      <c r="L27" s="103">
        <f>'Tar Income Statement'!K58</f>
        <v>0.02</v>
      </c>
      <c r="M27" s="109" t="str">
        <f>IF(L27=0,"","%")</f>
        <v>%</v>
      </c>
      <c r="N27" s="103">
        <f>'Tar Income Statement'!L58</f>
        <v>0.03</v>
      </c>
      <c r="O27" s="109" t="str">
        <f>IF(N27=0,"","%")</f>
        <v>%</v>
      </c>
      <c r="P27" s="103">
        <f>'Tar Income Statement'!O58*100</f>
        <v>2.4</v>
      </c>
      <c r="Q27" s="109" t="str">
        <f>IF(P27=0,"","%")</f>
        <v>%</v>
      </c>
      <c r="R27" s="103">
        <f>'Tar Income Statement'!P58</f>
        <v>2.8000000000000001E-2</v>
      </c>
      <c r="S27" s="109" t="str">
        <f>IF(R27=0,"","%")</f>
        <v>%</v>
      </c>
      <c r="T27" s="103">
        <f>'Tar Income Statement'!S58*100</f>
        <v>2.9000000000000004</v>
      </c>
      <c r="U27" s="3" t="str">
        <f>IF(T27=0,"","%")</f>
        <v>%</v>
      </c>
      <c r="W27" s="3"/>
      <c r="X27" s="343">
        <f t="shared" ref="X27:X32" si="4">+N27</f>
        <v>0.03</v>
      </c>
      <c r="Y27" s="3" t="str">
        <f>IF(X27=0,"","%")</f>
        <v>%</v>
      </c>
      <c r="Z27" s="343">
        <f t="shared" ref="Z27:Z32" si="5">+T27</f>
        <v>2.9000000000000004</v>
      </c>
      <c r="AA27" s="3" t="str">
        <f>IF(Z27=0,"","%")</f>
        <v>%</v>
      </c>
      <c r="AB27" s="103">
        <f>IF(ISERROR('Tar Proj'!L48*100),"NM",'Tar Proj'!L48*100)</f>
        <v>3.1</v>
      </c>
      <c r="AC27" s="109" t="str">
        <f>IF(AB27=0,"","%")</f>
        <v>%</v>
      </c>
      <c r="AD27" s="103">
        <f>IF(ISERROR('Tar Proj'!M48*100),"NM",'Tar Proj'!M48*100)</f>
        <v>3.2</v>
      </c>
      <c r="AE27" s="109" t="str">
        <f>IF(AD27=0,"","%")</f>
        <v>%</v>
      </c>
      <c r="AF27" s="103">
        <f>IF(ISERROR('Tar Proj'!N48*100),"NM",'Tar Proj'!N48*100)</f>
        <v>3.3000000000000003</v>
      </c>
      <c r="AG27" s="109" t="str">
        <f>IF(AF27=0,"","%")</f>
        <v>%</v>
      </c>
      <c r="AH27" s="103">
        <f>IF(ISERROR('Tar Proj'!O48*100),"NM",'Tar Proj'!O48*100)</f>
        <v>3.4000000000000004</v>
      </c>
      <c r="AI27" s="109" t="str">
        <f>IF(AH27=0,"","%")</f>
        <v>%</v>
      </c>
      <c r="AJ27" s="103">
        <f>IF(ISERROR('Tar Proj'!P48*100),"NM",'Tar Proj'!P48*100)</f>
        <v>3.5000000000000004</v>
      </c>
      <c r="AK27" s="3" t="str">
        <f>IF(AJ27=0,"","%")</f>
        <v>%</v>
      </c>
      <c r="AM27" s="3"/>
    </row>
    <row r="28" spans="2:273">
      <c r="B28" s="3" t="str">
        <f>+B11</f>
        <v>Net Sales</v>
      </c>
      <c r="F28" s="103">
        <f>'Tar Income Statement'!H59*100</f>
        <v>5.2631578947368363</v>
      </c>
      <c r="G28" s="3" t="str">
        <f>IF(F27=0,"%","")</f>
        <v/>
      </c>
      <c r="H28" s="343">
        <f>IF(AND(H11&gt;=0,F11&gt;=0),(H11/F11-1)*100,"NM")</f>
        <v>5.0000000000000044</v>
      </c>
      <c r="I28" s="3" t="str">
        <f>IF(H27=0,"%","")</f>
        <v/>
      </c>
      <c r="J28" s="343">
        <f>IF(AND(J11&gt;=0,H11&gt;=0),(J11/H11-1)*100,"NM")</f>
        <v>4.7619047619047672</v>
      </c>
      <c r="K28" s="3" t="str">
        <f>IF(J27=0,"%","")</f>
        <v/>
      </c>
      <c r="L28" s="343">
        <f>IF(AND(L11&gt;=0,J11&gt;=0),(L11/J11-1)*100,"NM")</f>
        <v>4.5454545454545414</v>
      </c>
      <c r="M28" s="3" t="str">
        <f>IF(L27=0,"%","")</f>
        <v/>
      </c>
      <c r="N28" s="343">
        <f>IF(AND(N11&gt;=0,L11&gt;=0),(N11/L11-1)*100,"NM")</f>
        <v>4.3478260869565188</v>
      </c>
      <c r="O28" s="3" t="str">
        <f>IF(N27=0,"%","")</f>
        <v/>
      </c>
      <c r="P28" s="103">
        <f>'Tar Income Statement'!O59*100</f>
        <v>4.3478260869565188</v>
      </c>
      <c r="Q28" s="3" t="str">
        <f>IF(P27=0,"%","")</f>
        <v/>
      </c>
      <c r="R28" s="343">
        <f>IF(AND(R11&gt;=0,P11&gt;=0),(R11/P11-1)*100,"NM")</f>
        <v>16.666666666666675</v>
      </c>
      <c r="S28" s="3" t="str">
        <f>IF(R27=0,"%","")</f>
        <v/>
      </c>
      <c r="T28" s="103">
        <f>'Tar Income Statement'!S59*100</f>
        <v>7.5268817204301008</v>
      </c>
      <c r="U28" s="3" t="str">
        <f>IF(T27=0,"%","")</f>
        <v/>
      </c>
      <c r="W28" s="3"/>
      <c r="X28" s="343">
        <f t="shared" si="4"/>
        <v>4.3478260869565188</v>
      </c>
      <c r="Y28" s="3" t="str">
        <f>IF(X27=0,"%","")</f>
        <v/>
      </c>
      <c r="Z28" s="343">
        <f t="shared" si="5"/>
        <v>7.5268817204301008</v>
      </c>
      <c r="AA28" s="3" t="str">
        <f>IF(Z27=0,"%","")</f>
        <v/>
      </c>
      <c r="AB28" s="343">
        <f>IF(AND(AB11&gt;=0,N11&gt;=0),(AB11/N11-1)*100,"NM")</f>
        <v>4.1666666666666741</v>
      </c>
      <c r="AC28" s="3" t="str">
        <f>IF(AB27=0,"%","")</f>
        <v/>
      </c>
      <c r="AD28" s="343">
        <f>IF(AND(AD11&gt;=0,AB11&gt;=0),(AD11/AB11-1)*100,"NM")</f>
        <v>10.000000000000009</v>
      </c>
      <c r="AE28" s="3" t="str">
        <f>IF(AD27=0,"%","")</f>
        <v/>
      </c>
      <c r="AF28" s="343">
        <f>IF(AND(AF11&gt;=0,AD11&gt;=0),(AF11/AD11-1)*100,"NM")</f>
        <v>10.000000000000009</v>
      </c>
      <c r="AG28" s="3" t="str">
        <f>IF(AF27=0,"%","")</f>
        <v/>
      </c>
      <c r="AH28" s="343">
        <f>IF(AND(AH11&gt;=0,AF11&gt;=0),(AH11/AF11-1)*100,"NM")</f>
        <v>10.000000000000009</v>
      </c>
      <c r="AI28" s="3" t="str">
        <f>IF(AH27=0,"%","")</f>
        <v/>
      </c>
      <c r="AJ28" s="343">
        <f>IF(AND(AJ11&gt;=0,AH11&gt;=0),(AJ11/AH11-1)*100,"NM")</f>
        <v>10.000000000000009</v>
      </c>
      <c r="AK28" s="3" t="str">
        <f>IF(AJ27=0,"%","")</f>
        <v/>
      </c>
      <c r="AM28" s="3"/>
    </row>
    <row r="29" spans="2:273">
      <c r="B29" s="3" t="str">
        <f>+B13</f>
        <v>EBITDA</v>
      </c>
      <c r="F29" s="103">
        <f>'Tar Income Statement'!H60*100</f>
        <v>19.999999999999996</v>
      </c>
      <c r="H29" s="343">
        <f>IF(AND(H13&gt;=0,F13&gt;=0),(H13/F13-1)*100,"NM")</f>
        <v>5.2631578947368363</v>
      </c>
      <c r="J29" s="343">
        <f>IF(AND(J13&gt;=0,H13&gt;=0),(J13/H13-1)*100,"NM")</f>
        <v>5.0000000000000044</v>
      </c>
      <c r="L29" s="343">
        <f>IF(AND(L13&gt;=0,J13&gt;=0),(L13/J13-1)*100,"NM")</f>
        <v>4.7619047619047672</v>
      </c>
      <c r="N29" s="343">
        <f>IF(AND(N13&gt;=0,L13&gt;=0),(N13/L13-1)*100,"NM")</f>
        <v>5.3030303030303205</v>
      </c>
      <c r="P29" s="103">
        <f>'Tar Income Statement'!O60*100</f>
        <v>20.869565217391319</v>
      </c>
      <c r="R29" s="343">
        <f>IF(AND(R13&gt;=0,P13&gt;=0),(R13/P13-1)*100,"NM")</f>
        <v>16.438848920863293</v>
      </c>
      <c r="T29" s="103">
        <f>'Tar Income Statement'!S60*100</f>
        <v>4.8641304347826209</v>
      </c>
      <c r="W29" s="3"/>
      <c r="X29" s="343">
        <f t="shared" si="4"/>
        <v>5.3030303030303205</v>
      </c>
      <c r="Z29" s="343">
        <f t="shared" si="5"/>
        <v>4.8641304347826209</v>
      </c>
      <c r="AA29" s="96"/>
      <c r="AB29" s="343">
        <f>IF(AND(AB13&gt;=0,N13&gt;=0),(AB13/N13-1)*100,"NM")</f>
        <v>43.88489208633095</v>
      </c>
      <c r="AD29" s="343">
        <f>IF(AND(AD13&gt;=0,AB13&gt;=0),(AD13/AB13-1)*100,"NM")</f>
        <v>7.5000000000000178</v>
      </c>
      <c r="AF29" s="343">
        <f>IF(AND(AF13&gt;=0,AD13&gt;=0),(AF13/AD13-1)*100,"NM")</f>
        <v>9.9999999999999858</v>
      </c>
      <c r="AH29" s="343">
        <f>IF(AND(AH13&gt;=0,AF13&gt;=0),(AH13/AF13-1)*100,"NM")</f>
        <v>10.000000000000032</v>
      </c>
      <c r="AJ29" s="343">
        <f>IF(AND(AJ13&gt;=0,AH13&gt;=0),(AJ13/AH13-1)*100,"NM")</f>
        <v>10.000000000000009</v>
      </c>
      <c r="AM29" s="3"/>
    </row>
    <row r="30" spans="2:273">
      <c r="B30" s="3" t="str">
        <f>+B14</f>
        <v>EBIT</v>
      </c>
      <c r="F30" s="103">
        <f>'Tar Income Statement'!H61*100</f>
        <v>5.2631578947368363</v>
      </c>
      <c r="H30" s="343">
        <f>IF(AND(H14&gt;=0,F14&gt;=0),(H14/F14-1)*100,"NM")</f>
        <v>5.0000000000000044</v>
      </c>
      <c r="J30" s="343">
        <f>IF(AND(J14&gt;=0,H14&gt;=0),(J14/H14-1)*100,"NM")</f>
        <v>4.7619047619047672</v>
      </c>
      <c r="L30" s="343">
        <f>IF(AND(L14&gt;=0,J14&gt;=0),(L14/J14-1)*100,"NM")</f>
        <v>4.5454545454545414</v>
      </c>
      <c r="N30" s="343">
        <f>IF(AND(N14&gt;=0,L14&gt;=0),(N14/L14-1)*100,"NM")</f>
        <v>4.3478260869565188</v>
      </c>
      <c r="P30" s="103">
        <f>'Tar Income Statement'!O61*100</f>
        <v>4.3478260869565188</v>
      </c>
      <c r="R30" s="343">
        <f>IF(AND(R14&gt;=0,P14&gt;=0),(R14/P14-1)*100,"NM")</f>
        <v>16.666666666666675</v>
      </c>
      <c r="T30" s="103">
        <f>'Tar Income Statement'!S61*100</f>
        <v>7.5268817204301008</v>
      </c>
      <c r="W30" s="3"/>
      <c r="X30" s="343">
        <f t="shared" si="4"/>
        <v>4.3478260869565188</v>
      </c>
      <c r="Z30" s="343">
        <f t="shared" si="5"/>
        <v>7.5268817204301008</v>
      </c>
      <c r="AA30" s="96"/>
      <c r="AB30" s="343">
        <f>IF(AND(AB14&gt;=0,N14&gt;=0),(AB14/N14-1)*100,"NM")</f>
        <v>25.000000000000021</v>
      </c>
      <c r="AD30" s="343">
        <f>IF(AND(AD14&gt;=0,AB14&gt;=0),(AD14/AB14-1)*100,"NM")</f>
        <v>10.000000000000032</v>
      </c>
      <c r="AF30" s="343">
        <f>IF(AND(AF14&gt;=0,AD14&gt;=0),(AF14/AD14-1)*100,"NM")</f>
        <v>9.9999999999999645</v>
      </c>
      <c r="AH30" s="343">
        <f>IF(AND(AH14&gt;=0,AF14&gt;=0),(AH14/AF14-1)*100,"NM")</f>
        <v>10.000000000000075</v>
      </c>
      <c r="AJ30" s="343">
        <f>IF(AND(AJ14&gt;=0,AH14&gt;=0),(AJ14/AH14-1)*100,"NM")</f>
        <v>10.000000000000009</v>
      </c>
      <c r="AM30" s="3"/>
    </row>
    <row r="31" spans="2:273">
      <c r="B31" s="3" t="str">
        <f>+B15</f>
        <v>Net Income</v>
      </c>
      <c r="F31" s="103">
        <f>'Tar Income Statement'!H62*100</f>
        <v>-0.10754941434357734</v>
      </c>
      <c r="H31" s="343">
        <f>IF(AND(H15&gt;=0,F15&gt;=0),(H15/F15-1)*100,"NM")</f>
        <v>6.4817215452424248</v>
      </c>
      <c r="J31" s="343">
        <f>IF(AND(J15&gt;=0,H15&gt;=0),(J15/H15-1)*100,"NM")</f>
        <v>6.0871682493303769</v>
      </c>
      <c r="L31" s="343">
        <f>IF(AND(L15&gt;=0,J15&gt;=0),(L15/J15-1)*100,"NM")</f>
        <v>5.7378930456736477</v>
      </c>
      <c r="N31" s="343">
        <f>IF(AND(N15&gt;=0,L15&gt;=0),(N15/L15-1)*100,"NM")</f>
        <v>5.4265248534838495</v>
      </c>
      <c r="P31" s="103">
        <f>'Tar Income Statement'!O62*100</f>
        <v>5.4265248534838495</v>
      </c>
      <c r="R31" s="343">
        <f>IF(AND(R15&gt;=0,P15&gt;=0),(R15/P15-1)*100,"NM")</f>
        <v>17.377526674659993</v>
      </c>
      <c r="T31" s="103">
        <f>'Tar Income Statement'!S62*100</f>
        <v>8.5342460144996135</v>
      </c>
      <c r="W31" s="3"/>
      <c r="X31" s="343">
        <f t="shared" si="4"/>
        <v>5.4265248534838495</v>
      </c>
      <c r="Z31" s="343">
        <f t="shared" si="5"/>
        <v>8.5342460144996135</v>
      </c>
      <c r="AA31" s="96"/>
      <c r="AB31" s="343">
        <f ca="1">IF(AND(AB15&gt;=0,N15&gt;=0),(AB15/N15-1)*100,"NM")</f>
        <v>38.252852548673523</v>
      </c>
      <c r="AD31" s="343">
        <f ca="1">IF(AND(AD15&gt;=0,AB15&gt;=0),(AD15/AB15-1)*100,"NM")</f>
        <v>10.219398405184531</v>
      </c>
      <c r="AF31" s="343">
        <f ca="1">IF(AND(AF15&gt;=0,AD15&gt;=0),(AF15/AD15-1)*100,"NM")</f>
        <v>10.188477215400127</v>
      </c>
      <c r="AH31" s="343">
        <f ca="1">IF(AND(AH15&gt;=0,AF15&gt;=0),(AH15/AF15-1)*100,"NM")</f>
        <v>10.172439632132591</v>
      </c>
      <c r="AJ31" s="343">
        <f ca="1">IF(AND(AJ15&gt;=0,AH15&gt;=0),(AJ15/AH15-1)*100,"NM")</f>
        <v>10.15778414734072</v>
      </c>
      <c r="AM31" s="3"/>
    </row>
    <row r="32" spans="2:273">
      <c r="B32" s="3" t="str">
        <f>+B16</f>
        <v>Diluted EPS</v>
      </c>
      <c r="F32" s="103">
        <f>'Tar Income Statement'!H63*100</f>
        <v>-0.10754941434357734</v>
      </c>
      <c r="H32" s="343">
        <f>IF(AND(H16&gt;=0,F16&gt;=0),(H16/F16-1)*100,"NM")</f>
        <v>2.9905175601524947</v>
      </c>
      <c r="I32" s="310"/>
      <c r="J32" s="343">
        <f>IF(AND(J16&gt;=0,H16&gt;=0),(J16/H16-1)*100,"NM")</f>
        <v>2.719321638240535</v>
      </c>
      <c r="K32" s="310"/>
      <c r="L32" s="343">
        <f>IF(AND(L16&gt;=0,J16&gt;=0),(L16/J16-1)*100,"NM")</f>
        <v>2.4844194134990616</v>
      </c>
      <c r="M32" s="310"/>
      <c r="N32" s="343">
        <f>IF(AND(N16&gt;=0,L16&gt;=0),(N16/L16-1)*100,"NM")</f>
        <v>2.2794644100962547</v>
      </c>
      <c r="O32" s="310"/>
      <c r="P32" s="103">
        <f>'Tar Income Statement'!O63*100</f>
        <v>0.95388440515422612</v>
      </c>
      <c r="R32" s="343">
        <f>IF(AND(R16&gt;=0,P16&gt;=0),(R16/P16-1)*100,"NM")</f>
        <v>12.274155949674782</v>
      </c>
      <c r="S32" s="310"/>
      <c r="T32" s="103">
        <f>'Tar Income Statement'!S63*100</f>
        <v>5.2501839579723208</v>
      </c>
      <c r="W32" s="3"/>
      <c r="X32" s="343">
        <f t="shared" si="4"/>
        <v>2.2794644100962547</v>
      </c>
      <c r="Z32" s="343">
        <f t="shared" si="5"/>
        <v>5.2501839579723208</v>
      </c>
      <c r="AA32" s="96"/>
      <c r="AB32" s="343">
        <f ca="1">IF(AND(AB16&gt;=0,N16&gt;=0),(AB16/N16-1)*100,"NM")</f>
        <v>33.99985708463651</v>
      </c>
      <c r="AD32" s="343">
        <f ca="1">IF(AND(AD16&gt;=0,AB16&gt;=0),(AD16/AB16-1)*100,"NM")</f>
        <v>10.219398405184554</v>
      </c>
      <c r="AE32" s="310"/>
      <c r="AF32" s="343">
        <f ca="1">IF(AND(AF16&gt;=0,AD16&gt;=0),(AF16/AD16-1)*100,"NM")</f>
        <v>10.188477215400106</v>
      </c>
      <c r="AG32" s="310"/>
      <c r="AH32" s="343">
        <f ca="1">IF(AND(AH16&gt;=0,AF16&gt;=0),(AH16/AF16-1)*100,"NM")</f>
        <v>10.172439632132612</v>
      </c>
      <c r="AI32" s="310"/>
      <c r="AJ32" s="343">
        <f ca="1">IF(AND(AJ16&gt;=0,AH16&gt;=0),(AJ16/AH16-1)*100,"NM")</f>
        <v>10.15778414734072</v>
      </c>
      <c r="AM32" s="3"/>
    </row>
    <row r="33" spans="1:39">
      <c r="W33" s="3"/>
      <c r="AM33" s="3"/>
    </row>
    <row r="34" spans="1:39">
      <c r="B34" s="139" t="s">
        <v>287</v>
      </c>
      <c r="W34" s="3"/>
      <c r="AM34" s="3"/>
    </row>
    <row r="35" spans="1:39" s="299" customFormat="1">
      <c r="B35" s="298" t="s">
        <v>38</v>
      </c>
      <c r="C35" s="298"/>
      <c r="D35" s="298"/>
      <c r="E35" s="298"/>
      <c r="F35" s="352">
        <f>'Tar Balance Sheet'!G8</f>
        <v>5.11212</v>
      </c>
      <c r="G35" s="352"/>
      <c r="H35" s="352">
        <f>'Tar Balance Sheet'!H8</f>
        <v>10.547820000000002</v>
      </c>
      <c r="I35" s="352"/>
      <c r="J35" s="352">
        <f>'Tar Balance Sheet'!I8</f>
        <v>17.026620000000001</v>
      </c>
      <c r="K35" s="352"/>
      <c r="L35" s="352">
        <f>'Tar Balance Sheet'!J8</f>
        <v>24.96292</v>
      </c>
      <c r="M35" s="352"/>
      <c r="N35" s="352">
        <f>'Tar Balance Sheet'!K8</f>
        <v>38.64472</v>
      </c>
      <c r="O35" s="352"/>
      <c r="P35" s="352">
        <f>'Tar Balance Sheet'!M8</f>
        <v>26.9070325</v>
      </c>
      <c r="Q35" s="352"/>
      <c r="R35" s="352">
        <f>'Tar Balance Sheet'!N8</f>
        <v>40.868709375000002</v>
      </c>
      <c r="S35" s="113"/>
      <c r="T35" s="353">
        <f>+R35</f>
        <v>40.868709375000002</v>
      </c>
      <c r="U35" s="153"/>
      <c r="V35" s="153"/>
      <c r="W35" s="153"/>
      <c r="X35" s="353">
        <f t="shared" ref="X35:X40" si="6">+N35</f>
        <v>38.64472</v>
      </c>
      <c r="Y35" s="153"/>
      <c r="Z35" s="353">
        <f t="shared" ref="Z35:Z40" si="7">+T35</f>
        <v>40.868709375000002</v>
      </c>
      <c r="AA35" s="153"/>
      <c r="AB35" s="352">
        <f ca="1">'Tar Proj'!L58</f>
        <v>49.568497115424755</v>
      </c>
      <c r="AC35" s="352"/>
      <c r="AD35" s="352">
        <f ca="1">'Tar Proj'!M58</f>
        <v>60.823484414126007</v>
      </c>
      <c r="AE35" s="352"/>
      <c r="AF35" s="352">
        <f ca="1">'Tar Proj'!N58</f>
        <v>73.255255217602169</v>
      </c>
      <c r="AG35" s="352"/>
      <c r="AH35" s="352">
        <f ca="1">'Tar Proj'!O58</f>
        <v>86.981680555510096</v>
      </c>
      <c r="AI35" s="352"/>
      <c r="AJ35" s="352">
        <f ca="1">'Tar Proj'!P58</f>
        <v>102.13241928437657</v>
      </c>
      <c r="AK35" s="298"/>
      <c r="AL35" s="298"/>
      <c r="AM35" s="298"/>
    </row>
    <row r="36" spans="1:39">
      <c r="B36" s="310" t="s">
        <v>87</v>
      </c>
      <c r="C36" s="310"/>
      <c r="D36" s="310"/>
      <c r="E36" s="310"/>
      <c r="F36" s="103">
        <f>'Tar Balance Sheet'!G33</f>
        <v>13.385</v>
      </c>
      <c r="G36" s="103"/>
      <c r="H36" s="103">
        <f>'Tar Balance Sheet'!H33</f>
        <v>12.385</v>
      </c>
      <c r="I36" s="103"/>
      <c r="J36" s="103">
        <f>'Tar Balance Sheet'!I33</f>
        <v>11.385</v>
      </c>
      <c r="K36" s="103"/>
      <c r="L36" s="103">
        <f>'Tar Balance Sheet'!J33</f>
        <v>11.385</v>
      </c>
      <c r="M36" s="103"/>
      <c r="N36" s="103">
        <f>'Tar Balance Sheet'!K33</f>
        <v>13.205</v>
      </c>
      <c r="O36" s="103"/>
      <c r="P36" s="103">
        <f>'Tar Balance Sheet'!M33</f>
        <v>9.8208000000000002</v>
      </c>
      <c r="Q36" s="103"/>
      <c r="R36" s="103">
        <f>'Tar Balance Sheet'!N33</f>
        <v>10.911999999999999</v>
      </c>
      <c r="S36" s="115"/>
      <c r="T36" s="343">
        <f>+R36</f>
        <v>10.911999999999999</v>
      </c>
      <c r="U36" s="161"/>
      <c r="V36" s="161"/>
      <c r="W36" s="161"/>
      <c r="X36" s="343">
        <f t="shared" si="6"/>
        <v>13.205</v>
      </c>
      <c r="Y36" s="68"/>
      <c r="Z36" s="343">
        <f t="shared" si="7"/>
        <v>10.911999999999999</v>
      </c>
      <c r="AA36" s="161"/>
      <c r="AB36" s="103">
        <f ca="1">'Tar Proj'!L132</f>
        <v>0</v>
      </c>
      <c r="AC36" s="103"/>
      <c r="AD36" s="103">
        <f ca="1">'Tar Proj'!M132</f>
        <v>0</v>
      </c>
      <c r="AE36" s="103"/>
      <c r="AF36" s="103">
        <f ca="1">'Tar Proj'!N132</f>
        <v>0</v>
      </c>
      <c r="AG36" s="103"/>
      <c r="AH36" s="103">
        <f ca="1">'Tar Proj'!O132</f>
        <v>0</v>
      </c>
      <c r="AI36" s="103"/>
      <c r="AJ36" s="103">
        <f ca="1">'Tar Proj'!P132</f>
        <v>0</v>
      </c>
      <c r="AK36" s="310"/>
      <c r="AL36" s="310"/>
      <c r="AM36" s="310"/>
    </row>
    <row r="37" spans="1:39">
      <c r="B37" s="310" t="s">
        <v>78</v>
      </c>
      <c r="C37" s="310"/>
      <c r="D37" s="310"/>
      <c r="E37" s="310"/>
      <c r="F37" s="103">
        <f>'Tar Cash Flow'!G9</f>
        <v>1.4</v>
      </c>
      <c r="G37" s="103"/>
      <c r="H37" s="103">
        <f>'Tar Cash Flow'!H9</f>
        <v>1.5</v>
      </c>
      <c r="I37" s="103"/>
      <c r="J37" s="103">
        <f>'Tar Cash Flow'!I9</f>
        <v>1.6</v>
      </c>
      <c r="K37" s="103"/>
      <c r="L37" s="103">
        <f>'Tar Cash Flow'!J9</f>
        <v>1.7</v>
      </c>
      <c r="M37" s="103"/>
      <c r="N37" s="103">
        <f>'Tar Cash Flow'!K9</f>
        <v>1.9</v>
      </c>
      <c r="O37" s="103"/>
      <c r="P37" s="103">
        <f>'Tar Cash Flow'!M9</f>
        <v>0.47499999999999998</v>
      </c>
      <c r="Q37" s="103"/>
      <c r="R37" s="103">
        <f>'Tar Cash Flow'!N9</f>
        <v>0.5462499999999999</v>
      </c>
      <c r="S37" s="115"/>
      <c r="T37" s="103">
        <f>'Tar Cash Flow'!P9</f>
        <v>1.9712499999999997</v>
      </c>
      <c r="U37" s="161"/>
      <c r="V37" s="161"/>
      <c r="W37" s="161"/>
      <c r="X37" s="343">
        <f t="shared" si="6"/>
        <v>1.9</v>
      </c>
      <c r="Y37" s="68"/>
      <c r="Z37" s="356">
        <f t="shared" si="7"/>
        <v>1.9712499999999997</v>
      </c>
      <c r="AA37" s="161"/>
      <c r="AB37" s="103">
        <f>'Tar Proj'!L35</f>
        <v>5</v>
      </c>
      <c r="AC37" s="103"/>
      <c r="AD37" s="103">
        <f>'Tar Proj'!M35</f>
        <v>5.0000000000000009</v>
      </c>
      <c r="AE37" s="103"/>
      <c r="AF37" s="103">
        <f>'Tar Proj'!N35</f>
        <v>5.5000000000000018</v>
      </c>
      <c r="AG37" s="103"/>
      <c r="AH37" s="103">
        <f>'Tar Proj'!O35</f>
        <v>6.0500000000000025</v>
      </c>
      <c r="AI37" s="103"/>
      <c r="AJ37" s="103">
        <f>'Tar Proj'!P35</f>
        <v>6.6550000000000038</v>
      </c>
      <c r="AK37" s="310"/>
      <c r="AL37" s="310"/>
      <c r="AM37" s="310"/>
    </row>
    <row r="38" spans="1:39">
      <c r="B38" s="310" t="s">
        <v>122</v>
      </c>
      <c r="C38" s="310"/>
      <c r="D38" s="310"/>
      <c r="E38" s="310"/>
      <c r="F38" s="103">
        <f>'Tar Cash Flow'!G15</f>
        <v>-1</v>
      </c>
      <c r="G38" s="103"/>
      <c r="H38" s="103">
        <f>'Tar Cash Flow'!H15</f>
        <v>-2</v>
      </c>
      <c r="I38" s="103"/>
      <c r="J38" s="103">
        <f>'Tar Cash Flow'!I15</f>
        <v>-2.4</v>
      </c>
      <c r="K38" s="103"/>
      <c r="L38" s="103">
        <f>'Tar Cash Flow'!J15</f>
        <v>-3.3</v>
      </c>
      <c r="M38" s="103"/>
      <c r="N38" s="103">
        <f>'Tar Cash Flow'!K15</f>
        <v>-0.9</v>
      </c>
      <c r="O38" s="103"/>
      <c r="P38" s="103">
        <f>'Tar Cash Flow'!M15</f>
        <v>-0.22500000000000001</v>
      </c>
      <c r="Q38" s="103"/>
      <c r="R38" s="103">
        <f>'Tar Cash Flow'!N15</f>
        <v>-0.27</v>
      </c>
      <c r="S38" s="115"/>
      <c r="T38" s="103">
        <f>'Tar Cash Flow'!P15</f>
        <v>-0.94500000000000006</v>
      </c>
      <c r="U38" s="161"/>
      <c r="V38" s="161"/>
      <c r="W38" s="161"/>
      <c r="X38" s="343">
        <f t="shared" si="6"/>
        <v>-0.9</v>
      </c>
      <c r="Y38" s="68"/>
      <c r="Z38" s="356">
        <f t="shared" si="7"/>
        <v>-0.94500000000000006</v>
      </c>
      <c r="AA38" s="161"/>
      <c r="AB38" s="103">
        <f>-'Tar Proj'!L217</f>
        <v>-5</v>
      </c>
      <c r="AC38" s="103"/>
      <c r="AD38" s="103">
        <f>-'Tar Proj'!M217</f>
        <v>-5.5000000000000009</v>
      </c>
      <c r="AE38" s="103"/>
      <c r="AF38" s="103">
        <f>-'Tar Proj'!N217</f>
        <v>-6.0500000000000016</v>
      </c>
      <c r="AG38" s="103"/>
      <c r="AH38" s="103">
        <f>-'Tar Proj'!O217</f>
        <v>-6.6550000000000029</v>
      </c>
      <c r="AI38" s="103"/>
      <c r="AJ38" s="103">
        <f>-'Tar Proj'!P217</f>
        <v>-7.3205000000000044</v>
      </c>
      <c r="AK38" s="310"/>
      <c r="AL38" s="310"/>
      <c r="AM38" s="310"/>
    </row>
    <row r="39" spans="1:39">
      <c r="B39" s="310" t="s">
        <v>286</v>
      </c>
      <c r="C39" s="310"/>
      <c r="D39" s="310"/>
      <c r="E39" s="310"/>
      <c r="F39" s="103">
        <f>'Tar Cash Flow'!G11</f>
        <v>-0.46487999999999985</v>
      </c>
      <c r="G39" s="103"/>
      <c r="H39" s="103">
        <f>'Tar Cash Flow'!H11</f>
        <v>-0.59599999999999975</v>
      </c>
      <c r="I39" s="103"/>
      <c r="J39" s="103">
        <f>'Tar Cash Flow'!I11</f>
        <v>-1.0999999999999996</v>
      </c>
      <c r="K39" s="103"/>
      <c r="L39" s="103">
        <f>'Tar Cash Flow'!J11</f>
        <v>-1.0999999999999996</v>
      </c>
      <c r="M39" s="103"/>
      <c r="N39" s="103">
        <f>'Tar Cash Flow'!K11</f>
        <v>2.5030000000000006</v>
      </c>
      <c r="O39" s="103"/>
      <c r="P39" s="103">
        <f>'Tar Cash Flow'!M11</f>
        <v>-0.39468750000000041</v>
      </c>
      <c r="Q39" s="103"/>
      <c r="R39" s="103">
        <f>'Tar Cash Flow'!N11</f>
        <v>-0.41442187500000044</v>
      </c>
      <c r="S39" s="115"/>
      <c r="T39" s="103">
        <f>'Tar Cash Flow'!P11</f>
        <v>2.4832656250000005</v>
      </c>
      <c r="U39" s="161"/>
      <c r="V39" s="161"/>
      <c r="W39" s="161"/>
      <c r="X39" s="343">
        <f t="shared" si="6"/>
        <v>2.5030000000000006</v>
      </c>
      <c r="Y39" s="68"/>
      <c r="Z39" s="356">
        <f t="shared" si="7"/>
        <v>2.4832656250000005</v>
      </c>
      <c r="AA39" s="161"/>
      <c r="AB39" s="103">
        <f>'Tar Proj'!L95</f>
        <v>-0.21591666666666853</v>
      </c>
      <c r="AC39" s="103"/>
      <c r="AD39" s="103">
        <f>'Tar Proj'!M95</f>
        <v>-0.55129166666666585</v>
      </c>
      <c r="AE39" s="103"/>
      <c r="AF39" s="103">
        <f>'Tar Proj'!N95</f>
        <v>-0.60642083333333474</v>
      </c>
      <c r="AG39" s="103"/>
      <c r="AH39" s="103">
        <f>'Tar Proj'!O95</f>
        <v>-0.66706291666667106</v>
      </c>
      <c r="AI39" s="103"/>
      <c r="AJ39" s="103">
        <f>'Tar Proj'!P95</f>
        <v>-0.73376920833332981</v>
      </c>
      <c r="AK39" s="310"/>
      <c r="AL39" s="310"/>
      <c r="AM39" s="310"/>
    </row>
    <row r="40" spans="1:39">
      <c r="B40" s="310" t="s">
        <v>616</v>
      </c>
      <c r="C40" s="310"/>
      <c r="D40" s="310"/>
      <c r="E40" s="310"/>
      <c r="F40" s="343">
        <f>+F63</f>
        <v>7.2920200000000008</v>
      </c>
      <c r="G40" s="343"/>
      <c r="H40" s="343">
        <f>+H63</f>
        <v>6.7858999999999998</v>
      </c>
      <c r="I40" s="343"/>
      <c r="J40" s="343">
        <f>+J63</f>
        <v>6.5068999999999981</v>
      </c>
      <c r="K40" s="343"/>
      <c r="L40" s="343">
        <f>+L63</f>
        <v>6.2318999999999987</v>
      </c>
      <c r="M40" s="343"/>
      <c r="N40" s="343">
        <f>+N63</f>
        <v>12.959899999999999</v>
      </c>
      <c r="O40" s="357"/>
      <c r="P40" s="343">
        <f>+P63</f>
        <v>2.2195374999999995</v>
      </c>
      <c r="Q40" s="343"/>
      <c r="R40" s="343">
        <f>+R63</f>
        <v>2.6147643749999996</v>
      </c>
      <c r="S40" s="161"/>
      <c r="T40" s="343">
        <f>+T63</f>
        <v>13.355126875</v>
      </c>
      <c r="U40" s="161"/>
      <c r="V40" s="161"/>
      <c r="W40" s="161"/>
      <c r="X40" s="343">
        <f t="shared" si="6"/>
        <v>12.959899999999999</v>
      </c>
      <c r="Y40" s="68"/>
      <c r="Z40" s="356">
        <f t="shared" si="7"/>
        <v>13.355126875</v>
      </c>
      <c r="AA40" s="161"/>
      <c r="AB40" s="343">
        <f ca="1">+AB63</f>
        <v>11.199483115424755</v>
      </c>
      <c r="AC40" s="343"/>
      <c r="AD40" s="343">
        <f ca="1">+AD63</f>
        <v>11.530693298701252</v>
      </c>
      <c r="AE40" s="357"/>
      <c r="AF40" s="343">
        <f ca="1">+AF63</f>
        <v>12.707476803476158</v>
      </c>
      <c r="AG40" s="357"/>
      <c r="AH40" s="343">
        <f ca="1">+AH63</f>
        <v>14.002131337907924</v>
      </c>
      <c r="AI40" s="357"/>
      <c r="AJ40" s="343">
        <f ca="1">+AJ63</f>
        <v>15.426444728866469</v>
      </c>
      <c r="AK40" s="310"/>
      <c r="AL40" s="310"/>
      <c r="AM40" s="310"/>
    </row>
    <row r="41" spans="1:39">
      <c r="F41" s="161"/>
      <c r="W41" s="3"/>
      <c r="AM41" s="3"/>
    </row>
    <row r="42" spans="1:39">
      <c r="B42" s="139" t="s">
        <v>288</v>
      </c>
      <c r="W42" s="3"/>
      <c r="AM42" s="3"/>
    </row>
    <row r="43" spans="1:39" s="351" customFormat="1">
      <c r="A43" s="351" t="str">
        <f>"Adjusted Debt / " &amp;tlabel3&amp;"EBITDAR"</f>
        <v>Adjusted Debt / EBITDAR</v>
      </c>
      <c r="B43" s="310" t="str">
        <f>+A43&amp;" (c)"</f>
        <v>Adjusted Debt / EBITDAR (c)</v>
      </c>
      <c r="C43" s="310"/>
      <c r="D43" s="310"/>
      <c r="E43" s="310"/>
      <c r="F43" s="103">
        <f>'Tar Balance Sheet'!G54</f>
        <v>1.5713740458015266</v>
      </c>
      <c r="G43" s="343" t="s">
        <v>167</v>
      </c>
      <c r="H43" s="103">
        <f>'Tar Balance Sheet'!H54</f>
        <v>1.4665467625899278</v>
      </c>
      <c r="I43" s="343" t="s">
        <v>167</v>
      </c>
      <c r="J43" s="103">
        <f>'Tar Balance Sheet'!I54</f>
        <v>1.3731292517006806</v>
      </c>
      <c r="K43" s="343" t="s">
        <v>167</v>
      </c>
      <c r="L43" s="103">
        <f>'Tar Balance Sheet'!J54</f>
        <v>1.3538709677419356</v>
      </c>
      <c r="M43" s="343" t="s">
        <v>167</v>
      </c>
      <c r="N43" s="103">
        <f>'Tar Balance Sheet'!K54</f>
        <v>1.4393292682926828</v>
      </c>
      <c r="O43" s="358" t="s">
        <v>167</v>
      </c>
      <c r="P43" s="103">
        <f>'Tar Balance Sheet'!M54</f>
        <v>1.3166397608370706</v>
      </c>
      <c r="Q43" s="358" t="s">
        <v>167</v>
      </c>
      <c r="R43" s="103">
        <f>'Tar Balance Sheet'!N54</f>
        <v>1.2696508636530686</v>
      </c>
      <c r="S43" s="358" t="s">
        <v>167</v>
      </c>
      <c r="T43" s="343">
        <f>+R43</f>
        <v>1.2696508636530686</v>
      </c>
      <c r="U43" s="161" t="s">
        <v>167</v>
      </c>
      <c r="V43" s="161"/>
      <c r="W43" s="161"/>
      <c r="X43" s="343">
        <f>+N43</f>
        <v>1.4393292682926828</v>
      </c>
      <c r="Y43" s="161" t="s">
        <v>167</v>
      </c>
      <c r="Z43" s="343">
        <f>+T43</f>
        <v>1.2696508636530686</v>
      </c>
      <c r="AA43" s="161" t="s">
        <v>167</v>
      </c>
      <c r="AB43" s="103">
        <f ca="1">'Tar Proj'!L186</f>
        <v>0.5073170731707316</v>
      </c>
      <c r="AC43" s="343" t="s">
        <v>167</v>
      </c>
      <c r="AD43" s="103">
        <f ca="1">'Tar Proj'!M186</f>
        <v>0.51835070231082914</v>
      </c>
      <c r="AE43" s="343" t="s">
        <v>167</v>
      </c>
      <c r="AF43" s="103">
        <f ca="1">'Tar Proj'!N186</f>
        <v>0.51835070231082914</v>
      </c>
      <c r="AG43" s="343" t="s">
        <v>167</v>
      </c>
      <c r="AH43" s="103">
        <f ca="1">'Tar Proj'!O186</f>
        <v>0.51835070231082914</v>
      </c>
      <c r="AI43" s="343" t="s">
        <v>167</v>
      </c>
      <c r="AJ43" s="103">
        <f ca="1">'Tar Proj'!P186</f>
        <v>0.51835070231082914</v>
      </c>
      <c r="AK43" s="161" t="s">
        <v>167</v>
      </c>
      <c r="AL43" s="310"/>
      <c r="AM43" s="310"/>
    </row>
    <row r="44" spans="1:39" s="351" customFormat="1">
      <c r="B44" s="310" t="str">
        <f>"Total Debt / " &amp;tlabel3&amp;"EBITDA"</f>
        <v>Total Debt / EBITDA</v>
      </c>
      <c r="C44" s="310"/>
      <c r="D44" s="310"/>
      <c r="E44" s="310"/>
      <c r="F44" s="103">
        <f>'Tar Balance Sheet'!G48</f>
        <v>1.0971311475409835</v>
      </c>
      <c r="G44" s="343"/>
      <c r="H44" s="103">
        <f>'Tar Balance Sheet'!H48</f>
        <v>0.96007751937984487</v>
      </c>
      <c r="I44" s="343"/>
      <c r="J44" s="103">
        <f>'Tar Balance Sheet'!I48</f>
        <v>0.83713235294117649</v>
      </c>
      <c r="K44" s="343"/>
      <c r="L44" s="103">
        <f>'Tar Balance Sheet'!J48</f>
        <v>0.79615384615384621</v>
      </c>
      <c r="M44" s="343"/>
      <c r="N44" s="103">
        <f>'Tar Balance Sheet'!K48</f>
        <v>0.87450331125827807</v>
      </c>
      <c r="O44" s="103"/>
      <c r="P44" s="103">
        <f>'Tar Balance Sheet'!M48</f>
        <v>0.64610526315789474</v>
      </c>
      <c r="Q44" s="103"/>
      <c r="R44" s="103">
        <f>'Tar Balance Sheet'!N48</f>
        <v>0.69630693148281075</v>
      </c>
      <c r="S44" s="103"/>
      <c r="T44" s="343">
        <f>+R44</f>
        <v>0.69630693148281075</v>
      </c>
      <c r="U44" s="161"/>
      <c r="V44" s="161"/>
      <c r="W44" s="161"/>
      <c r="X44" s="343">
        <f>+N44</f>
        <v>0.87450331125827807</v>
      </c>
      <c r="Y44" s="161"/>
      <c r="Z44" s="343">
        <f>+T44</f>
        <v>0.69630693148281075</v>
      </c>
      <c r="AA44" s="161"/>
      <c r="AB44" s="103" t="str">
        <f ca="1">'Tar Proj'!L187</f>
        <v>NM</v>
      </c>
      <c r="AC44" s="343"/>
      <c r="AD44" s="103" t="str">
        <f ca="1">'Tar Proj'!M187</f>
        <v>NM</v>
      </c>
      <c r="AE44" s="343"/>
      <c r="AF44" s="103" t="str">
        <f ca="1">'Tar Proj'!N187</f>
        <v>NM</v>
      </c>
      <c r="AG44" s="343"/>
      <c r="AH44" s="103" t="str">
        <f ca="1">'Tar Proj'!O187</f>
        <v>NM</v>
      </c>
      <c r="AI44" s="343"/>
      <c r="AJ44" s="103" t="str">
        <f ca="1">'Tar Proj'!P187</f>
        <v>NM</v>
      </c>
      <c r="AK44" s="161"/>
      <c r="AL44" s="310"/>
      <c r="AM44" s="310"/>
    </row>
    <row r="45" spans="1:39" s="351" customFormat="1">
      <c r="B45" s="310" t="str">
        <f>"Net Debt / " &amp;tlabel3&amp;"EBITDA"</f>
        <v>Net Debt / EBITDA</v>
      </c>
      <c r="C45" s="310"/>
      <c r="D45" s="310"/>
      <c r="E45" s="310"/>
      <c r="F45" s="103">
        <f>'Tar Balance Sheet'!G49</f>
        <v>0.67810491803278683</v>
      </c>
      <c r="G45" s="343"/>
      <c r="H45" s="103">
        <f>'Tar Balance Sheet'!H49</f>
        <v>0.14241705426356574</v>
      </c>
      <c r="I45" s="343"/>
      <c r="J45" s="103" t="str">
        <f>'Tar Balance Sheet'!I49</f>
        <v>NM</v>
      </c>
      <c r="K45" s="343"/>
      <c r="L45" s="103" t="str">
        <f>'Tar Balance Sheet'!J49</f>
        <v>NM</v>
      </c>
      <c r="M45" s="343"/>
      <c r="N45" s="103" t="str">
        <f>'Tar Balance Sheet'!K49</f>
        <v>NM</v>
      </c>
      <c r="O45" s="103"/>
      <c r="P45" s="103" t="str">
        <f>'Tar Balance Sheet'!M49</f>
        <v>NM</v>
      </c>
      <c r="Q45" s="103"/>
      <c r="R45" s="103" t="str">
        <f>'Tar Balance Sheet'!N49</f>
        <v>NM</v>
      </c>
      <c r="S45" s="103"/>
      <c r="T45" s="343" t="str">
        <f>+R45</f>
        <v>NM</v>
      </c>
      <c r="U45" s="161"/>
      <c r="V45" s="161"/>
      <c r="W45" s="161"/>
      <c r="X45" s="343" t="str">
        <f>+N45</f>
        <v>NM</v>
      </c>
      <c r="Y45" s="161"/>
      <c r="Z45" s="343" t="str">
        <f>+T45</f>
        <v>NM</v>
      </c>
      <c r="AA45" s="161"/>
      <c r="AB45" s="103" t="str">
        <f ca="1">'Tar Proj'!L188</f>
        <v>NM</v>
      </c>
      <c r="AC45" s="343"/>
      <c r="AD45" s="103" t="str">
        <f ca="1">'Tar Proj'!M188</f>
        <v>NM</v>
      </c>
      <c r="AE45" s="343"/>
      <c r="AF45" s="103" t="str">
        <f ca="1">'Tar Proj'!N188</f>
        <v>NM</v>
      </c>
      <c r="AG45" s="343"/>
      <c r="AH45" s="103" t="str">
        <f ca="1">'Tar Proj'!O188</f>
        <v>NM</v>
      </c>
      <c r="AI45" s="343"/>
      <c r="AJ45" s="103" t="str">
        <f ca="1">'Tar Proj'!P188</f>
        <v>NM</v>
      </c>
      <c r="AK45" s="161"/>
      <c r="AL45" s="310"/>
      <c r="AM45" s="310"/>
    </row>
    <row r="46" spans="1:39" s="351" customFormat="1">
      <c r="B46" s="310" t="str">
        <f>tlabel3&amp;"EBITDA / Interest, Net"</f>
        <v>EBITDA / Interest, Net</v>
      </c>
      <c r="C46" s="310"/>
      <c r="D46" s="310"/>
      <c r="E46" s="310"/>
      <c r="F46" s="103">
        <f>'Tar Balance Sheet'!G59</f>
        <v>16.417709594940117</v>
      </c>
      <c r="G46" s="343"/>
      <c r="H46" s="103">
        <f>'Tar Balance Sheet'!H59</f>
        <v>18.884497145366712</v>
      </c>
      <c r="I46" s="343"/>
      <c r="J46" s="103">
        <f>'Tar Balance Sheet'!I59</f>
        <v>21.826352110415662</v>
      </c>
      <c r="K46" s="343"/>
      <c r="L46" s="103">
        <f>'Tar Balance Sheet'!J59</f>
        <v>25.395134079204404</v>
      </c>
      <c r="M46" s="343"/>
      <c r="N46" s="103">
        <f>'Tar Balance Sheet'!K59</f>
        <v>30.013913734843971</v>
      </c>
      <c r="O46" s="103"/>
      <c r="P46" s="103">
        <f>'Tar Balance Sheet'!M59</f>
        <v>27.732165663200149</v>
      </c>
      <c r="Q46" s="103"/>
      <c r="R46" s="103">
        <f>'Tar Balance Sheet'!N59</f>
        <v>30.764813710550143</v>
      </c>
      <c r="S46" s="103"/>
      <c r="T46" s="343">
        <f>+R46</f>
        <v>30.764813710550143</v>
      </c>
      <c r="U46" s="161"/>
      <c r="V46" s="161"/>
      <c r="W46" s="161"/>
      <c r="X46" s="343">
        <f>+N46</f>
        <v>30.013913734843971</v>
      </c>
      <c r="Y46" s="161"/>
      <c r="Z46" s="343">
        <f>+T46</f>
        <v>30.764813710550143</v>
      </c>
      <c r="AA46" s="161"/>
      <c r="AB46" s="103" t="str">
        <f ca="1">'Tar Proj'!L191</f>
        <v>NM</v>
      </c>
      <c r="AC46" s="343"/>
      <c r="AD46" s="103" t="str">
        <f ca="1">'Tar Proj'!M191</f>
        <v>NM</v>
      </c>
      <c r="AE46" s="343"/>
      <c r="AF46" s="103" t="str">
        <f ca="1">'Tar Proj'!N191</f>
        <v>NM</v>
      </c>
      <c r="AG46" s="343"/>
      <c r="AH46" s="103" t="str">
        <f ca="1">'Tar Proj'!O191</f>
        <v>NM</v>
      </c>
      <c r="AI46" s="343"/>
      <c r="AJ46" s="103" t="str">
        <f ca="1">'Tar Proj'!P191</f>
        <v>NM</v>
      </c>
      <c r="AK46" s="161"/>
      <c r="AL46" s="310"/>
      <c r="AM46" s="310"/>
    </row>
    <row r="47" spans="1:39" s="351" customFormat="1">
      <c r="B47" s="310" t="str">
        <f>"("&amp;tlabel3&amp;"EBITDA - Capex) / Interest, Net"</f>
        <v>(EBITDA - Capex) / Interest, Net</v>
      </c>
      <c r="C47" s="310"/>
      <c r="D47" s="310"/>
      <c r="E47" s="310"/>
      <c r="F47" s="103">
        <f>'Tar Balance Sheet'!G60</f>
        <v>15.071995693715518</v>
      </c>
      <c r="G47" s="343"/>
      <c r="H47" s="103">
        <f>'Tar Balance Sheet'!H60</f>
        <v>15.956668130581177</v>
      </c>
      <c r="I47" s="343"/>
      <c r="J47" s="103">
        <f>'Tar Balance Sheet'!I60</f>
        <v>17.974642914459956</v>
      </c>
      <c r="K47" s="343"/>
      <c r="L47" s="103">
        <f>'Tar Balance Sheet'!J60</f>
        <v>19.534718522464928</v>
      </c>
      <c r="M47" s="343"/>
      <c r="N47" s="103">
        <f>'Tar Balance Sheet'!K60</f>
        <v>28.225004969191019</v>
      </c>
      <c r="O47" s="103"/>
      <c r="P47" s="103">
        <f>'Tar Balance Sheet'!M60</f>
        <v>27.732165663200149</v>
      </c>
      <c r="Q47" s="103"/>
      <c r="R47" s="103">
        <f>'Tar Balance Sheet'!N60</f>
        <v>28.909649064687823</v>
      </c>
      <c r="S47" s="103"/>
      <c r="T47" s="343">
        <f>+R47</f>
        <v>28.909649064687823</v>
      </c>
      <c r="U47" s="161"/>
      <c r="V47" s="161"/>
      <c r="W47" s="161"/>
      <c r="X47" s="343">
        <f>+N47</f>
        <v>28.225004969191019</v>
      </c>
      <c r="Y47" s="161"/>
      <c r="Z47" s="343">
        <f>+T47</f>
        <v>28.909649064687823</v>
      </c>
      <c r="AA47" s="161"/>
      <c r="AB47" s="103" t="str">
        <f ca="1">'Tar Proj'!L192</f>
        <v>NM</v>
      </c>
      <c r="AC47" s="343"/>
      <c r="AD47" s="103" t="str">
        <f ca="1">'Tar Proj'!M192</f>
        <v>NM</v>
      </c>
      <c r="AE47" s="343"/>
      <c r="AF47" s="103" t="str">
        <f ca="1">'Tar Proj'!N192</f>
        <v>NM</v>
      </c>
      <c r="AG47" s="343"/>
      <c r="AH47" s="103" t="str">
        <f ca="1">'Tar Proj'!O192</f>
        <v>NM</v>
      </c>
      <c r="AI47" s="343"/>
      <c r="AJ47" s="103" t="str">
        <f ca="1">'Tar Proj'!P192</f>
        <v>NM</v>
      </c>
      <c r="AK47" s="161"/>
      <c r="AL47" s="310"/>
      <c r="AM47" s="310"/>
    </row>
    <row r="48" spans="1:39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2:240" ht="13.5">
      <c r="B49" s="359" t="s">
        <v>614</v>
      </c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</row>
    <row r="50" spans="2:240" ht="13.5">
      <c r="B50" s="360" t="str">
        <f>"(b) "&amp;CHOOSE(tfcf,C65,C70)</f>
        <v>(b) Defined as Cash Flow from Operating Activities less Capital Expenditures.</v>
      </c>
      <c r="W50" s="3"/>
      <c r="AM50" s="3"/>
    </row>
    <row r="51" spans="2:240" ht="13.5">
      <c r="B51" s="361" t="str">
        <f>"(c) Assumes "&amp;TEXT('Tar Balance Sheet'!D52,"0.0 x")&amp;" rent methodology."</f>
        <v>(c) Assumes 8.0 x rent methodology.</v>
      </c>
      <c r="W51" s="3"/>
      <c r="AM51" s="3"/>
    </row>
    <row r="52" spans="2:240">
      <c r="W52" s="3"/>
      <c r="AM52" s="3"/>
    </row>
    <row r="53" spans="2:240">
      <c r="B53" s="362" t="s">
        <v>506</v>
      </c>
      <c r="W53" s="3"/>
      <c r="AM53" s="3"/>
    </row>
    <row r="54" spans="2:240">
      <c r="B54" s="362"/>
      <c r="W54" s="3"/>
      <c r="AM54" s="3"/>
    </row>
    <row r="55" spans="2:240">
      <c r="B55" s="362"/>
      <c r="C55" s="4"/>
      <c r="D55" s="363" t="s">
        <v>617</v>
      </c>
      <c r="E55" s="363"/>
      <c r="F55" s="363"/>
      <c r="G55" s="363"/>
      <c r="H55" s="363"/>
      <c r="I55" s="363"/>
      <c r="J55" s="363"/>
      <c r="L55" s="364" t="s">
        <v>561</v>
      </c>
      <c r="W55" s="3"/>
      <c r="AM55" s="3"/>
    </row>
    <row r="56" spans="2:240">
      <c r="B56" s="4"/>
      <c r="C56" s="4"/>
      <c r="D56" s="3" t="s">
        <v>63</v>
      </c>
      <c r="E56" s="4"/>
      <c r="F56" s="3" t="s">
        <v>618</v>
      </c>
      <c r="J56" s="4"/>
      <c r="L56" s="4"/>
      <c r="W56" s="3"/>
      <c r="AM56" s="3"/>
    </row>
    <row r="57" spans="2:240">
      <c r="C57" s="365">
        <v>0</v>
      </c>
      <c r="D57" s="366" t="str">
        <f>INDEX(D58:D59,tlabelswitch+1)</f>
        <v/>
      </c>
      <c r="E57" s="4"/>
      <c r="F57" s="367" t="str">
        <f>INDEX(F58:F59,tlabelswitch+1)</f>
        <v/>
      </c>
      <c r="G57" s="368"/>
      <c r="H57" s="368"/>
      <c r="I57" s="368"/>
      <c r="J57" s="369"/>
      <c r="K57" s="4"/>
      <c r="L57" s="370" t="str">
        <f>INDEX(L58:L59,tlabelswitch+1)</f>
        <v/>
      </c>
      <c r="W57" s="3"/>
      <c r="AM57" s="3"/>
    </row>
    <row r="58" spans="2:240" ht="13.5">
      <c r="C58" s="371" t="s">
        <v>508</v>
      </c>
      <c r="D58" s="372" t="str">
        <f>""</f>
        <v/>
      </c>
      <c r="E58" s="4"/>
      <c r="F58" s="372" t="str">
        <f>""</f>
        <v/>
      </c>
      <c r="G58" s="141"/>
      <c r="H58" s="141"/>
      <c r="I58" s="141"/>
      <c r="J58" s="4"/>
      <c r="L58" s="372" t="str">
        <f>""</f>
        <v/>
      </c>
      <c r="W58" s="3"/>
      <c r="AM58" s="3"/>
    </row>
    <row r="59" spans="2:240" ht="13.5">
      <c r="C59" s="373" t="s">
        <v>509</v>
      </c>
      <c r="D59" s="372" t="str">
        <f>""</f>
        <v/>
      </c>
      <c r="E59" s="4"/>
      <c r="F59" s="372" t="s">
        <v>507</v>
      </c>
      <c r="G59" s="141"/>
      <c r="H59" s="141"/>
      <c r="I59" s="141"/>
      <c r="J59" s="4"/>
      <c r="L59" s="372" t="s">
        <v>619</v>
      </c>
      <c r="W59" s="3"/>
      <c r="AM59" s="3"/>
    </row>
    <row r="60" spans="2:240">
      <c r="W60" s="3"/>
      <c r="AM60" s="3"/>
    </row>
    <row r="61" spans="2:240">
      <c r="B61" s="362" t="s">
        <v>626</v>
      </c>
      <c r="W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</row>
    <row r="62" spans="2:240">
      <c r="B62" s="362"/>
      <c r="W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</row>
    <row r="63" spans="2:240">
      <c r="C63" s="365">
        <v>1</v>
      </c>
      <c r="D63" s="4"/>
      <c r="F63" s="374">
        <f>CHOOSE(tfcf,F68,F77)</f>
        <v>7.2920200000000008</v>
      </c>
      <c r="G63" s="375"/>
      <c r="H63" s="376">
        <f>CHOOSE(tfcf,H68,H77)</f>
        <v>6.7858999999999998</v>
      </c>
      <c r="I63" s="375"/>
      <c r="J63" s="376">
        <f>CHOOSE(tfcf,J68,J77)</f>
        <v>6.5068999999999981</v>
      </c>
      <c r="K63" s="375"/>
      <c r="L63" s="376">
        <f>CHOOSE(tfcf,L68,L77)</f>
        <v>6.2318999999999987</v>
      </c>
      <c r="M63" s="375"/>
      <c r="N63" s="376">
        <f>CHOOSE(tfcf,N68,N77)</f>
        <v>12.959899999999999</v>
      </c>
      <c r="O63" s="375"/>
      <c r="P63" s="376">
        <f>CHOOSE(tfcf,P68,P77)</f>
        <v>2.2195374999999995</v>
      </c>
      <c r="Q63" s="375"/>
      <c r="R63" s="376">
        <f>CHOOSE(tfcf,R68,R77)</f>
        <v>2.6147643749999996</v>
      </c>
      <c r="S63" s="375"/>
      <c r="T63" s="376">
        <f>CHOOSE(tfcf,T68,T77)</f>
        <v>13.355126875</v>
      </c>
      <c r="U63" s="375"/>
      <c r="V63" s="375"/>
      <c r="W63" s="375"/>
      <c r="X63" s="375"/>
      <c r="Y63" s="377"/>
      <c r="Z63" s="375"/>
      <c r="AA63" s="375"/>
      <c r="AB63" s="376">
        <f ca="1">CHOOSE(tfcf,AB68,AB77)</f>
        <v>11.199483115424755</v>
      </c>
      <c r="AC63" s="375"/>
      <c r="AD63" s="376">
        <f ca="1">CHOOSE(tfcf,AD68,AD77)</f>
        <v>11.530693298701252</v>
      </c>
      <c r="AE63" s="375"/>
      <c r="AF63" s="376">
        <f ca="1">CHOOSE(tfcf,AF68,AF77)</f>
        <v>12.707476803476158</v>
      </c>
      <c r="AG63" s="375"/>
      <c r="AH63" s="376">
        <f ca="1">CHOOSE(tfcf,AH68,AH77)</f>
        <v>14.002131337907924</v>
      </c>
      <c r="AI63" s="375"/>
      <c r="AJ63" s="378">
        <f ca="1">CHOOSE(tfcf,AJ68,AJ77)</f>
        <v>15.426444728866469</v>
      </c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</row>
    <row r="64" spans="2:240" ht="13.5">
      <c r="C64" s="373"/>
      <c r="D64" s="372"/>
      <c r="W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</row>
    <row r="65" spans="2:240">
      <c r="B65" s="379" t="s">
        <v>627</v>
      </c>
      <c r="C65" s="1" t="s">
        <v>628</v>
      </c>
      <c r="W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</row>
    <row r="66" spans="2:240">
      <c r="B66" s="3" t="s">
        <v>629</v>
      </c>
      <c r="F66" s="113">
        <f>'Tar Cash Flow'!G12</f>
        <v>8.2920200000000008</v>
      </c>
      <c r="G66" s="235"/>
      <c r="H66" s="113">
        <f>'Tar Cash Flow'!H12</f>
        <v>8.7858999999999998</v>
      </c>
      <c r="I66" s="235"/>
      <c r="J66" s="113">
        <f>'Tar Cash Flow'!I12</f>
        <v>8.9068999999999985</v>
      </c>
      <c r="K66" s="235"/>
      <c r="L66" s="113">
        <f>'Tar Cash Flow'!J12</f>
        <v>9.5318999999999985</v>
      </c>
      <c r="M66" s="235"/>
      <c r="N66" s="113">
        <f>'Tar Cash Flow'!K12</f>
        <v>13.8599</v>
      </c>
      <c r="O66" s="109"/>
      <c r="P66" s="113">
        <f>'Tar Cash Flow'!M12</f>
        <v>2.4445374999999996</v>
      </c>
      <c r="Q66" s="235"/>
      <c r="R66" s="113">
        <f>'Tar Cash Flow'!N12</f>
        <v>2.8847643749999996</v>
      </c>
      <c r="S66" s="109"/>
      <c r="T66" s="113">
        <f>'Tar Cash Flow'!P12</f>
        <v>14.300126875</v>
      </c>
      <c r="W66" s="3"/>
      <c r="AB66" s="113">
        <f ca="1">'Tar Proj'!L96</f>
        <v>16.199483115424755</v>
      </c>
      <c r="AC66" s="235"/>
      <c r="AD66" s="113">
        <f ca="1">'Tar Proj'!M96</f>
        <v>17.030693298701252</v>
      </c>
      <c r="AE66" s="235"/>
      <c r="AF66" s="113">
        <f ca="1">'Tar Proj'!N96</f>
        <v>18.757476803476159</v>
      </c>
      <c r="AG66" s="235"/>
      <c r="AH66" s="113">
        <f ca="1">'Tar Proj'!O96</f>
        <v>20.657131337907927</v>
      </c>
      <c r="AI66" s="235"/>
      <c r="AJ66" s="113">
        <f ca="1">'Tar Proj'!P96</f>
        <v>22.746944728866474</v>
      </c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</row>
    <row r="67" spans="2:240">
      <c r="B67" s="3" t="s">
        <v>122</v>
      </c>
      <c r="F67" s="161">
        <f>+F38</f>
        <v>-1</v>
      </c>
      <c r="G67" s="4"/>
      <c r="H67" s="161">
        <f>+H38</f>
        <v>-2</v>
      </c>
      <c r="I67" s="4"/>
      <c r="J67" s="161">
        <f>+J38</f>
        <v>-2.4</v>
      </c>
      <c r="K67" s="4"/>
      <c r="L67" s="161">
        <f>+L38</f>
        <v>-3.3</v>
      </c>
      <c r="M67" s="4"/>
      <c r="N67" s="161">
        <f>+N38</f>
        <v>-0.9</v>
      </c>
      <c r="P67" s="161">
        <f>+P38</f>
        <v>-0.22500000000000001</v>
      </c>
      <c r="Q67" s="4"/>
      <c r="R67" s="161">
        <f>+R38</f>
        <v>-0.27</v>
      </c>
      <c r="T67" s="161">
        <f>+T38</f>
        <v>-0.94500000000000006</v>
      </c>
      <c r="W67" s="3"/>
      <c r="AB67" s="161">
        <f>+AB38</f>
        <v>-5</v>
      </c>
      <c r="AC67" s="4"/>
      <c r="AD67" s="161">
        <f>+AD38</f>
        <v>-5.5000000000000009</v>
      </c>
      <c r="AE67" s="4"/>
      <c r="AF67" s="161">
        <f>+AF38</f>
        <v>-6.0500000000000016</v>
      </c>
      <c r="AG67" s="4"/>
      <c r="AH67" s="161">
        <f>+AH38</f>
        <v>-6.6550000000000029</v>
      </c>
      <c r="AI67" s="4"/>
      <c r="AJ67" s="161">
        <f>+AJ38</f>
        <v>-7.3205000000000044</v>
      </c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</row>
    <row r="68" spans="2:240">
      <c r="B68" s="380" t="s">
        <v>630</v>
      </c>
      <c r="F68" s="381">
        <f>SUM(F66:F67)</f>
        <v>7.2920200000000008</v>
      </c>
      <c r="G68" s="4"/>
      <c r="H68" s="381">
        <f>SUM(H66:H67)</f>
        <v>6.7858999999999998</v>
      </c>
      <c r="I68" s="4"/>
      <c r="J68" s="381">
        <f>SUM(J66:J67)</f>
        <v>6.5068999999999981</v>
      </c>
      <c r="K68" s="4"/>
      <c r="L68" s="381">
        <f>SUM(L66:L67)</f>
        <v>6.2318999999999987</v>
      </c>
      <c r="M68" s="4"/>
      <c r="N68" s="381">
        <f>SUM(N66:N67)</f>
        <v>12.959899999999999</v>
      </c>
      <c r="P68" s="381">
        <f>SUM(P66:P67)</f>
        <v>2.2195374999999995</v>
      </c>
      <c r="Q68" s="4"/>
      <c r="R68" s="381">
        <f>SUM(R66:R67)</f>
        <v>2.6147643749999996</v>
      </c>
      <c r="T68" s="381">
        <f>SUM(T66:T67)</f>
        <v>13.355126875</v>
      </c>
      <c r="W68" s="3"/>
      <c r="AB68" s="381">
        <f ca="1">SUM(AB66:AB67)</f>
        <v>11.199483115424755</v>
      </c>
      <c r="AC68" s="4"/>
      <c r="AD68" s="381">
        <f ca="1">SUM(AD66:AD67)</f>
        <v>11.530693298701252</v>
      </c>
      <c r="AE68" s="4"/>
      <c r="AF68" s="381">
        <f ca="1">SUM(AF66:AF67)</f>
        <v>12.707476803476158</v>
      </c>
      <c r="AG68" s="4"/>
      <c r="AH68" s="381">
        <f ca="1">SUM(AH66:AH67)</f>
        <v>14.002131337907924</v>
      </c>
      <c r="AI68" s="4"/>
      <c r="AJ68" s="381">
        <f ca="1">SUM(AJ66:AJ67)</f>
        <v>15.426444728866469</v>
      </c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</row>
    <row r="69" spans="2:240">
      <c r="G69" s="4"/>
      <c r="I69" s="4"/>
      <c r="K69" s="4"/>
      <c r="M69" s="4"/>
      <c r="Q69" s="4"/>
      <c r="T69" s="382"/>
      <c r="W69" s="3"/>
      <c r="AB69" s="382"/>
      <c r="AC69" s="4"/>
      <c r="AD69" s="382"/>
      <c r="AE69" s="4"/>
      <c r="AF69" s="382"/>
      <c r="AG69" s="4"/>
      <c r="AH69" s="382"/>
      <c r="AI69" s="4"/>
      <c r="AJ69" s="382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</row>
    <row r="70" spans="2:240">
      <c r="B70" s="379" t="s">
        <v>631</v>
      </c>
      <c r="C70" s="1" t="s">
        <v>632</v>
      </c>
      <c r="G70" s="4"/>
      <c r="I70" s="4"/>
      <c r="K70" s="4"/>
      <c r="M70" s="4"/>
      <c r="Q70" s="4"/>
      <c r="W70" s="3"/>
      <c r="AC70" s="4"/>
      <c r="AE70" s="4"/>
      <c r="AG70" s="4"/>
      <c r="AI70" s="4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</row>
    <row r="71" spans="2:240">
      <c r="B71" s="3" t="s">
        <v>633</v>
      </c>
      <c r="F71" s="113">
        <f>'Tar Income Statement'!H12</f>
        <v>10</v>
      </c>
      <c r="G71" s="235"/>
      <c r="H71" s="113">
        <f>'Tar Income Statement'!I12</f>
        <v>10.5</v>
      </c>
      <c r="I71" s="235"/>
      <c r="J71" s="113">
        <f>'Tar Income Statement'!J12</f>
        <v>11</v>
      </c>
      <c r="K71" s="235"/>
      <c r="L71" s="113">
        <f>'Tar Income Statement'!K12</f>
        <v>11.5</v>
      </c>
      <c r="M71" s="235"/>
      <c r="N71" s="113">
        <f>'Tar Income Statement'!L12</f>
        <v>12</v>
      </c>
      <c r="O71" s="109"/>
      <c r="P71" s="113">
        <f>'Tar Income Statement'!O12</f>
        <v>3</v>
      </c>
      <c r="Q71" s="235"/>
      <c r="R71" s="113">
        <f>'Tar Income Statement'!P12</f>
        <v>3.5</v>
      </c>
      <c r="S71" s="109"/>
      <c r="T71" s="113">
        <f>'Tar Income Statement'!S12</f>
        <v>12.5</v>
      </c>
      <c r="W71" s="3"/>
      <c r="AB71" s="113">
        <f>'Tar Proj'!L13</f>
        <v>15.000000000000004</v>
      </c>
      <c r="AC71" s="235"/>
      <c r="AD71" s="113">
        <f>'Tar Proj'!M13</f>
        <v>16.500000000000007</v>
      </c>
      <c r="AE71" s="235"/>
      <c r="AF71" s="113">
        <f>'Tar Proj'!N13</f>
        <v>18.150000000000002</v>
      </c>
      <c r="AG71" s="235"/>
      <c r="AH71" s="113">
        <f>'Tar Proj'!O13</f>
        <v>19.965000000000014</v>
      </c>
      <c r="AI71" s="235"/>
      <c r="AJ71" s="113">
        <f>'Tar Proj'!P13</f>
        <v>21.961500000000015</v>
      </c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</row>
    <row r="72" spans="2:240">
      <c r="B72" s="3" t="s">
        <v>169</v>
      </c>
      <c r="F72" s="383">
        <f>'Tar Income Statement'!H16/'Tar Income Statement'!H15</f>
        <v>0.29167431861638349</v>
      </c>
      <c r="G72" s="235"/>
      <c r="H72" s="383">
        <f>'Tar Income Statement'!I16/'Tar Income Statement'!I15</f>
        <v>0.28878770283898175</v>
      </c>
      <c r="I72" s="235"/>
      <c r="J72" s="383">
        <f>'Tar Income Statement'!J16/'Tar Income Statement'!J15</f>
        <v>0.28621264539506025</v>
      </c>
      <c r="K72" s="235"/>
      <c r="L72" s="383">
        <f>'Tar Income Statement'!K16/'Tar Income Statement'!K15</f>
        <v>0.28390128829924388</v>
      </c>
      <c r="M72" s="235"/>
      <c r="N72" s="383">
        <f>'Tar Income Statement'!L16/'Tar Income Statement'!L15</f>
        <v>0.28181509798293453</v>
      </c>
      <c r="O72" s="109"/>
      <c r="P72" s="383">
        <f>'Tar Income Statement'!O16/'Tar Income Statement'!O15</f>
        <v>0.28181509798293453</v>
      </c>
      <c r="Q72" s="235"/>
      <c r="R72" s="383">
        <f>'Tar Income Statement'!P16/'Tar Income Statement'!P15</f>
        <v>0.28058725874042301</v>
      </c>
      <c r="S72" s="109"/>
      <c r="T72" s="383">
        <f>'Tar Income Statement'!S16/'Tar Income Statement'!S15</f>
        <v>0.28147022112821812</v>
      </c>
      <c r="W72" s="3"/>
      <c r="AB72" s="383">
        <f>'Tar Proj'!L31</f>
        <v>0.25</v>
      </c>
      <c r="AC72" s="235"/>
      <c r="AD72" s="383">
        <f>'Tar Proj'!M31</f>
        <v>0.25</v>
      </c>
      <c r="AE72" s="235"/>
      <c r="AF72" s="383">
        <f>'Tar Proj'!N31</f>
        <v>0.25</v>
      </c>
      <c r="AG72" s="235"/>
      <c r="AH72" s="383">
        <f>'Tar Proj'!O31</f>
        <v>0.25</v>
      </c>
      <c r="AI72" s="235"/>
      <c r="AJ72" s="383">
        <f>'Tar Proj'!P31</f>
        <v>0.25</v>
      </c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</row>
    <row r="73" spans="2:240">
      <c r="B73" s="151" t="s">
        <v>634</v>
      </c>
      <c r="F73" s="381">
        <f>F71*(1-F72)</f>
        <v>7.0832568138361651</v>
      </c>
      <c r="G73" s="4"/>
      <c r="H73" s="381">
        <f>H71*(1-H72)</f>
        <v>7.4677291201906915</v>
      </c>
      <c r="I73" s="4"/>
      <c r="J73" s="381">
        <f>J71*(1-J72)</f>
        <v>7.8516609006543376</v>
      </c>
      <c r="K73" s="4"/>
      <c r="L73" s="381">
        <f>L71*(1-L72)</f>
        <v>8.2351351845586951</v>
      </c>
      <c r="M73" s="4"/>
      <c r="N73" s="381">
        <f>N71*(1-N72)</f>
        <v>8.618218824204785</v>
      </c>
      <c r="P73" s="381">
        <f>P71*(1-P72)</f>
        <v>2.1545547060511963</v>
      </c>
      <c r="Q73" s="4"/>
      <c r="R73" s="381">
        <f>R71*(1-R72)</f>
        <v>2.5179445944085197</v>
      </c>
      <c r="T73" s="381">
        <f>T71*(1-T72)</f>
        <v>8.9816222358972748</v>
      </c>
      <c r="W73" s="3"/>
      <c r="AB73" s="381">
        <f>AB71*(1-AB72)</f>
        <v>11.250000000000004</v>
      </c>
      <c r="AC73" s="4"/>
      <c r="AD73" s="381">
        <f>AD71*(1-AD72)</f>
        <v>12.375000000000005</v>
      </c>
      <c r="AE73" s="4"/>
      <c r="AF73" s="381">
        <f>AF71*(1-AF72)</f>
        <v>13.612500000000001</v>
      </c>
      <c r="AG73" s="4"/>
      <c r="AH73" s="381">
        <f>AH71*(1-AH72)</f>
        <v>14.97375000000001</v>
      </c>
      <c r="AI73" s="4"/>
      <c r="AJ73" s="381">
        <f>AJ71*(1-AJ72)</f>
        <v>16.471125000000011</v>
      </c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</row>
    <row r="74" spans="2:240">
      <c r="B74" s="3" t="s">
        <v>399</v>
      </c>
      <c r="F74" s="68">
        <f>+F37</f>
        <v>1.4</v>
      </c>
      <c r="G74" s="4"/>
      <c r="H74" s="68">
        <f>+H37</f>
        <v>1.5</v>
      </c>
      <c r="I74" s="4"/>
      <c r="J74" s="68">
        <f>+J37</f>
        <v>1.6</v>
      </c>
      <c r="K74" s="4"/>
      <c r="L74" s="68">
        <f>+L37</f>
        <v>1.7</v>
      </c>
      <c r="M74" s="4"/>
      <c r="N74" s="68">
        <f>+N37</f>
        <v>1.9</v>
      </c>
      <c r="P74" s="68">
        <f>+P37</f>
        <v>0.47499999999999998</v>
      </c>
      <c r="Q74" s="4"/>
      <c r="R74" s="68">
        <f>+R37</f>
        <v>0.5462499999999999</v>
      </c>
      <c r="T74" s="68">
        <f>+T37</f>
        <v>1.9712499999999997</v>
      </c>
      <c r="W74" s="3"/>
      <c r="AB74" s="68">
        <f>+AB37</f>
        <v>5</v>
      </c>
      <c r="AC74" s="4"/>
      <c r="AD74" s="68">
        <f>+AD37</f>
        <v>5.0000000000000009</v>
      </c>
      <c r="AE74" s="4"/>
      <c r="AF74" s="68">
        <f>+AF37</f>
        <v>5.5000000000000018</v>
      </c>
      <c r="AG74" s="4"/>
      <c r="AH74" s="68">
        <f>+AH37</f>
        <v>6.0500000000000025</v>
      </c>
      <c r="AI74" s="4"/>
      <c r="AJ74" s="68">
        <f>+AJ37</f>
        <v>6.6550000000000038</v>
      </c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</row>
    <row r="75" spans="2:240">
      <c r="B75" s="3" t="s">
        <v>635</v>
      </c>
      <c r="F75" s="161">
        <f>+F39</f>
        <v>-0.46487999999999985</v>
      </c>
      <c r="G75" s="4"/>
      <c r="H75" s="161">
        <f>+H39</f>
        <v>-0.59599999999999975</v>
      </c>
      <c r="I75" s="4"/>
      <c r="J75" s="161">
        <f>+J39</f>
        <v>-1.0999999999999996</v>
      </c>
      <c r="K75" s="4"/>
      <c r="L75" s="161">
        <f>+L39</f>
        <v>-1.0999999999999996</v>
      </c>
      <c r="M75" s="4"/>
      <c r="N75" s="161">
        <f>+N39</f>
        <v>2.5030000000000006</v>
      </c>
      <c r="P75" s="161">
        <f>+P39</f>
        <v>-0.39468750000000041</v>
      </c>
      <c r="Q75" s="4"/>
      <c r="R75" s="161">
        <f>+R39</f>
        <v>-0.41442187500000044</v>
      </c>
      <c r="T75" s="161">
        <f>+T39</f>
        <v>2.4832656250000005</v>
      </c>
      <c r="W75" s="3"/>
      <c r="AB75" s="161">
        <f>+AB39</f>
        <v>-0.21591666666666853</v>
      </c>
      <c r="AC75" s="4"/>
      <c r="AD75" s="161">
        <f>+AD39</f>
        <v>-0.55129166666666585</v>
      </c>
      <c r="AE75" s="4"/>
      <c r="AF75" s="161">
        <f>+AF39</f>
        <v>-0.60642083333333474</v>
      </c>
      <c r="AG75" s="4"/>
      <c r="AH75" s="161">
        <f>+AH39</f>
        <v>-0.66706291666667106</v>
      </c>
      <c r="AI75" s="4"/>
      <c r="AJ75" s="161">
        <f>+AJ39</f>
        <v>-0.73376920833332981</v>
      </c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</row>
    <row r="76" spans="2:240">
      <c r="B76" s="3" t="s">
        <v>122</v>
      </c>
      <c r="F76" s="161">
        <f>+F38</f>
        <v>-1</v>
      </c>
      <c r="G76" s="4"/>
      <c r="H76" s="161">
        <f>+H38</f>
        <v>-2</v>
      </c>
      <c r="I76" s="4"/>
      <c r="J76" s="161">
        <f>+J38</f>
        <v>-2.4</v>
      </c>
      <c r="K76" s="4"/>
      <c r="L76" s="161">
        <f>+L38</f>
        <v>-3.3</v>
      </c>
      <c r="M76" s="4"/>
      <c r="N76" s="161">
        <f>+N38</f>
        <v>-0.9</v>
      </c>
      <c r="P76" s="161">
        <f>+P38</f>
        <v>-0.22500000000000001</v>
      </c>
      <c r="Q76" s="4"/>
      <c r="R76" s="161">
        <f>+R38</f>
        <v>-0.27</v>
      </c>
      <c r="T76" s="161">
        <f>+T38</f>
        <v>-0.94500000000000006</v>
      </c>
      <c r="W76" s="3"/>
      <c r="AB76" s="161">
        <f>+AB38</f>
        <v>-5</v>
      </c>
      <c r="AC76" s="4"/>
      <c r="AD76" s="161">
        <f>+AD38</f>
        <v>-5.5000000000000009</v>
      </c>
      <c r="AE76" s="4"/>
      <c r="AF76" s="161">
        <f>+AF38</f>
        <v>-6.0500000000000016</v>
      </c>
      <c r="AG76" s="4"/>
      <c r="AH76" s="161">
        <f>+AH38</f>
        <v>-6.6550000000000029</v>
      </c>
      <c r="AI76" s="4"/>
      <c r="AJ76" s="161">
        <f>+AJ38</f>
        <v>-7.3205000000000044</v>
      </c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</row>
    <row r="77" spans="2:240">
      <c r="B77" s="380" t="s">
        <v>630</v>
      </c>
      <c r="F77" s="381">
        <f>SUM(F73:F76)</f>
        <v>7.0183768138361664</v>
      </c>
      <c r="G77" s="4"/>
      <c r="H77" s="381">
        <f>SUM(H73:H76)</f>
        <v>6.3717291201906914</v>
      </c>
      <c r="I77" s="4"/>
      <c r="J77" s="381">
        <f>SUM(J73:J76)</f>
        <v>5.9516609006543373</v>
      </c>
      <c r="K77" s="4"/>
      <c r="L77" s="381">
        <f>SUM(L73:L76)</f>
        <v>5.5351351845586949</v>
      </c>
      <c r="M77" s="4"/>
      <c r="N77" s="381">
        <f>SUM(N73:N76)</f>
        <v>12.121218824204785</v>
      </c>
      <c r="P77" s="381">
        <f>SUM(P73:P76)</f>
        <v>2.009867206051196</v>
      </c>
      <c r="Q77" s="4"/>
      <c r="R77" s="381">
        <f>SUM(R73:R76)</f>
        <v>2.379772719408519</v>
      </c>
      <c r="T77" s="381">
        <f>SUM(T73:T76)</f>
        <v>12.491137860897275</v>
      </c>
      <c r="W77" s="3"/>
      <c r="AB77" s="381">
        <f>SUM(AB73:AB76)</f>
        <v>11.034083333333335</v>
      </c>
      <c r="AC77" s="4"/>
      <c r="AD77" s="381">
        <f>SUM(AD73:AD76)</f>
        <v>11.323708333333343</v>
      </c>
      <c r="AE77" s="4"/>
      <c r="AF77" s="381">
        <f>SUM(AF73:AF76)</f>
        <v>12.456079166666669</v>
      </c>
      <c r="AG77" s="4"/>
      <c r="AH77" s="381">
        <f>SUM(AH73:AH76)</f>
        <v>13.701687083333338</v>
      </c>
      <c r="AI77" s="4"/>
      <c r="AJ77" s="381">
        <f>SUM(AJ73:AJ76)</f>
        <v>15.071855791666684</v>
      </c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</row>
  </sheetData>
  <customSheetViews>
    <customSheetView guid="{9AE38660-BF5A-49A3-9FC0-AD5890AFC019}" showPageBreaks="1" showGridLines="0" printArea="1" hiddenRows="1" view="pageBreakPreview" showRuler="0">
      <selection activeCell="U3" sqref="U3"/>
      <pageMargins left="0.35" right="0.35" top="0.35" bottom="0.35" header="0.15" footer="0.15"/>
      <printOptions horizontalCentered="1"/>
      <pageSetup scale="81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6" type="noConversion"/>
  <printOptions horizontalCentered="1"/>
  <pageMargins left="0.35" right="0.35" top="0.35" bottom="0.35" header="0.15" footer="0.15"/>
  <pageSetup scale="50" orientation="landscape" r:id="rId2"/>
  <headerFooter alignWithMargins="0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indexed="42"/>
  </sheetPr>
  <dimension ref="A1:U43"/>
  <sheetViews>
    <sheetView showGridLines="0" view="pageBreakPreview" zoomScale="85" zoomScaleNormal="100" zoomScaleSheetLayoutView="85" workbookViewId="0"/>
  </sheetViews>
  <sheetFormatPr defaultColWidth="10.33203125" defaultRowHeight="12.75"/>
  <cols>
    <col min="1" max="1" width="2.83203125" style="4" customWidth="1"/>
    <col min="2" max="5" width="10.33203125" style="3" customWidth="1"/>
    <col min="6" max="6" width="2.83203125" style="3" customWidth="1"/>
    <col min="7" max="7" width="13.6640625" style="3" customWidth="1"/>
    <col min="8" max="8" width="2.83203125" style="3" customWidth="1"/>
    <col min="9" max="9" width="10.33203125" style="3" customWidth="1"/>
    <col min="10" max="10" width="2.83203125" style="3" customWidth="1"/>
    <col min="11" max="11" width="10.33203125" style="3" customWidth="1"/>
    <col min="12" max="12" width="2.83203125" style="3" customWidth="1"/>
    <col min="13" max="16384" width="10.33203125" style="4"/>
  </cols>
  <sheetData>
    <row r="1" spans="1:21">
      <c r="A1" s="2"/>
    </row>
    <row r="2" spans="1:21" ht="23.25">
      <c r="B2" s="97" t="str">
        <f>proj</f>
        <v>Project MODEL</v>
      </c>
      <c r="C2" s="1230"/>
      <c r="D2" s="1230"/>
      <c r="E2" s="54"/>
      <c r="F2" s="54"/>
      <c r="G2" s="54"/>
      <c r="H2" s="54"/>
      <c r="I2" s="54"/>
      <c r="J2" s="54"/>
      <c r="K2" s="54"/>
      <c r="L2" s="54"/>
      <c r="M2" s="7"/>
      <c r="N2" s="7"/>
      <c r="O2" s="7"/>
      <c r="P2" s="7"/>
      <c r="Q2" s="7"/>
      <c r="R2" s="7"/>
      <c r="S2" s="7"/>
      <c r="T2" s="7"/>
      <c r="U2" s="7"/>
    </row>
    <row r="3" spans="1:21" s="276" customFormat="1" ht="20.100000000000001" customHeight="1" thickBot="1">
      <c r="B3" s="384" t="str">
        <f>tar&amp;" - Capitalization Summary"</f>
        <v>SG ENTERPRISES - Capitalization Summary</v>
      </c>
      <c r="C3" s="392"/>
      <c r="D3" s="392"/>
      <c r="E3" s="393"/>
      <c r="F3" s="393"/>
      <c r="G3" s="393"/>
      <c r="H3" s="393"/>
      <c r="I3" s="393"/>
      <c r="J3" s="393"/>
      <c r="K3" s="393"/>
      <c r="L3" s="1234"/>
      <c r="M3" s="278"/>
      <c r="N3" s="278"/>
      <c r="O3" s="278"/>
      <c r="P3" s="278"/>
      <c r="Q3" s="278"/>
      <c r="R3" s="278"/>
    </row>
    <row r="4" spans="1:21" s="279" customFormat="1">
      <c r="B4" s="1235" t="str">
        <f>'Tar Balance Sheet'!B4</f>
        <v>(Amounts in Millions)</v>
      </c>
      <c r="C4" s="421"/>
      <c r="D4" s="421"/>
      <c r="E4" s="421"/>
      <c r="F4" s="421"/>
      <c r="G4" s="421"/>
      <c r="H4" s="421"/>
      <c r="I4" s="421"/>
      <c r="J4" s="421"/>
      <c r="K4" s="421"/>
      <c r="L4" s="421"/>
      <c r="M4" s="4"/>
    </row>
    <row r="5" spans="1:21" s="1229" customFormat="1" ht="15.75">
      <c r="B5" s="1236"/>
      <c r="C5" s="1236"/>
      <c r="D5" s="1236"/>
      <c r="E5" s="1236"/>
      <c r="F5" s="1236"/>
      <c r="G5" s="1236"/>
      <c r="H5" s="1236"/>
      <c r="I5" s="1237"/>
      <c r="J5" s="1237"/>
      <c r="K5" s="1236"/>
      <c r="L5" s="1236"/>
    </row>
    <row r="6" spans="1:21" s="1229" customFormat="1" ht="15.75">
      <c r="B6" s="1238"/>
      <c r="C6" s="1236"/>
      <c r="D6" s="1236"/>
      <c r="E6" s="1236"/>
      <c r="F6" s="1236"/>
      <c r="G6" s="1236"/>
      <c r="H6" s="1236"/>
      <c r="I6" s="1237"/>
      <c r="J6" s="1237"/>
      <c r="K6" s="1239" t="s">
        <v>220</v>
      </c>
      <c r="L6" s="1240"/>
    </row>
    <row r="7" spans="1:21">
      <c r="B7" s="1241"/>
      <c r="C7" s="10"/>
      <c r="D7" s="10"/>
      <c r="E7" s="10"/>
      <c r="F7" s="10"/>
      <c r="G7" s="10"/>
      <c r="H7" s="1242"/>
      <c r="I7" s="421" t="str">
        <f>IF(tquarter&lt;&gt;4,"Estimated","")</f>
        <v>Estimated</v>
      </c>
      <c r="J7" s="10"/>
      <c r="K7" s="1243" t="s">
        <v>221</v>
      </c>
      <c r="L7" s="1244"/>
    </row>
    <row r="8" spans="1:21">
      <c r="B8" s="488"/>
      <c r="C8" s="10"/>
      <c r="D8" s="10"/>
      <c r="E8" s="168"/>
      <c r="F8" s="168"/>
      <c r="G8" s="168"/>
      <c r="H8" s="168"/>
      <c r="I8" s="1329" t="s">
        <v>185</v>
      </c>
      <c r="J8" s="1330"/>
      <c r="K8" s="1331" t="s">
        <v>136</v>
      </c>
      <c r="L8" s="10"/>
    </row>
    <row r="9" spans="1:21">
      <c r="B9" s="10"/>
      <c r="C9" s="10"/>
      <c r="D9" s="10"/>
      <c r="E9" s="1332" t="s">
        <v>333</v>
      </c>
      <c r="F9" s="168"/>
      <c r="G9" s="1332" t="s">
        <v>334</v>
      </c>
      <c r="H9" s="168"/>
      <c r="I9" s="1333">
        <f>tltmdate</f>
        <v>43555</v>
      </c>
      <c r="J9" s="1334"/>
      <c r="K9" s="1335" t="s">
        <v>67</v>
      </c>
      <c r="L9" s="10"/>
    </row>
    <row r="10" spans="1:21" ht="12.75" customHeight="1">
      <c r="B10" s="23" t="s">
        <v>86</v>
      </c>
      <c r="C10" s="23"/>
      <c r="D10" s="23"/>
      <c r="E10" s="1245">
        <v>45657</v>
      </c>
      <c r="F10" s="23"/>
      <c r="G10" s="1246">
        <v>5.5E-2</v>
      </c>
      <c r="H10" s="1247"/>
      <c r="I10" s="1248">
        <f>+'Tar Balance Sheet'!N20+'Tar Balance Sheet'!N24</f>
        <v>10.911999999999999</v>
      </c>
      <c r="J10" s="1249"/>
      <c r="K10" s="19">
        <f>I10/I$18*100</f>
        <v>20.839142142352422</v>
      </c>
      <c r="L10" s="17" t="s">
        <v>166</v>
      </c>
    </row>
    <row r="11" spans="1:21" ht="12.75" customHeight="1">
      <c r="B11" s="23" t="s">
        <v>131</v>
      </c>
      <c r="C11" s="23"/>
      <c r="D11" s="23"/>
      <c r="E11" s="1250"/>
      <c r="F11" s="23"/>
      <c r="G11" s="1251"/>
      <c r="H11" s="1247"/>
      <c r="I11" s="1252">
        <v>0</v>
      </c>
      <c r="J11" s="1253"/>
      <c r="K11" s="19">
        <f>I11/I$18*100</f>
        <v>0</v>
      </c>
      <c r="L11" s="17"/>
    </row>
    <row r="12" spans="1:21" ht="12.75" customHeight="1">
      <c r="B12" s="23" t="s">
        <v>132</v>
      </c>
      <c r="C12" s="1247"/>
      <c r="D12" s="1247"/>
      <c r="E12" s="1250"/>
      <c r="F12" s="23"/>
      <c r="G12" s="1251"/>
      <c r="H12" s="1247"/>
      <c r="I12" s="912">
        <v>0</v>
      </c>
      <c r="J12" s="1254"/>
      <c r="K12" s="755">
        <f>I12/I$18*100</f>
        <v>0</v>
      </c>
      <c r="L12" s="10"/>
    </row>
    <row r="13" spans="1:21" ht="12.75" customHeight="1">
      <c r="B13" s="1255" t="s">
        <v>87</v>
      </c>
      <c r="C13" s="1247"/>
      <c r="D13" s="1247"/>
      <c r="E13" s="1247"/>
      <c r="F13" s="1247"/>
      <c r="G13" s="1247"/>
      <c r="H13" s="10"/>
      <c r="I13" s="1233">
        <f>SUM(I10:I12)</f>
        <v>10.911999999999999</v>
      </c>
      <c r="J13" s="1256"/>
      <c r="K13" s="19">
        <f>SUM(K10:K12)</f>
        <v>20.839142142352422</v>
      </c>
      <c r="L13" s="10"/>
    </row>
    <row r="14" spans="1:21" ht="6" customHeight="1">
      <c r="B14" s="1257"/>
      <c r="C14" s="1247"/>
      <c r="D14" s="1247"/>
      <c r="E14" s="1247"/>
      <c r="F14" s="1247"/>
      <c r="G14" s="1247"/>
      <c r="H14" s="10"/>
      <c r="I14" s="1233"/>
      <c r="J14" s="1256"/>
      <c r="K14" s="19"/>
      <c r="L14" s="10"/>
    </row>
    <row r="15" spans="1:21" ht="12.75" customHeight="1">
      <c r="B15" s="1257" t="s">
        <v>52</v>
      </c>
      <c r="C15" s="1247"/>
      <c r="D15" s="1247"/>
      <c r="E15" s="1247"/>
      <c r="F15" s="1247"/>
      <c r="G15" s="1247"/>
      <c r="H15" s="10"/>
      <c r="I15" s="435">
        <f>IF(tquarter&lt;&gt;4,'Tar Balance Sheet'!N26,'Tar Balance Sheet'!K26)</f>
        <v>0.16</v>
      </c>
      <c r="J15" s="1256"/>
      <c r="K15" s="19">
        <f>I15/I$18*100</f>
        <v>0.30555926894944901</v>
      </c>
      <c r="L15" s="10"/>
    </row>
    <row r="16" spans="1:21" ht="12.75" customHeight="1">
      <c r="B16" s="1257" t="s">
        <v>53</v>
      </c>
      <c r="C16" s="1247"/>
      <c r="D16" s="1247"/>
      <c r="E16" s="1247"/>
      <c r="F16" s="1247"/>
      <c r="G16" s="1247"/>
      <c r="H16" s="10"/>
      <c r="I16" s="435">
        <f>IF(tquarter&lt;&gt;4,'Tar Balance Sheet'!N27,'Tar Balance Sheet'!K27)</f>
        <v>0</v>
      </c>
      <c r="J16" s="1256"/>
      <c r="K16" s="19">
        <f>I16/I$18*100</f>
        <v>0</v>
      </c>
      <c r="L16" s="10"/>
    </row>
    <row r="17" spans="2:12" ht="12.75" customHeight="1">
      <c r="B17" s="1257" t="s">
        <v>150</v>
      </c>
      <c r="C17" s="1247"/>
      <c r="D17" s="1247"/>
      <c r="E17" s="1247"/>
      <c r="F17" s="1247"/>
      <c r="G17" s="1247"/>
      <c r="H17" s="10"/>
      <c r="I17" s="434">
        <f>IF(tquarter&lt;&gt;4,'Tar Balance Sheet'!N28,'Tar Balance Sheet'!K28)</f>
        <v>41.290999999999997</v>
      </c>
      <c r="J17" s="1254"/>
      <c r="K17" s="755">
        <f>I17/I$18*100</f>
        <v>78.855298588698119</v>
      </c>
      <c r="L17" s="10"/>
    </row>
    <row r="18" spans="2:12" ht="12.75" customHeight="1" thickBot="1">
      <c r="B18" s="323" t="s">
        <v>88</v>
      </c>
      <c r="C18" s="10"/>
      <c r="D18" s="10"/>
      <c r="E18" s="10"/>
      <c r="F18" s="10"/>
      <c r="G18" s="10"/>
      <c r="H18" s="10"/>
      <c r="I18" s="1258">
        <f>SUM(I13:I17)</f>
        <v>52.363</v>
      </c>
      <c r="J18" s="1259"/>
      <c r="K18" s="1260">
        <f>SUM(K13:K17)</f>
        <v>99.999999999999986</v>
      </c>
      <c r="L18" s="10" t="s">
        <v>166</v>
      </c>
    </row>
    <row r="19" spans="2:12" s="1229" customFormat="1" ht="16.5" thickTop="1">
      <c r="B19" s="1261"/>
      <c r="C19" s="1236"/>
      <c r="D19" s="1236"/>
      <c r="E19" s="1262"/>
      <c r="F19" s="1263"/>
      <c r="G19" s="1263"/>
      <c r="H19" s="1262"/>
      <c r="I19" s="1236"/>
      <c r="J19" s="1262"/>
      <c r="K19" s="1239"/>
      <c r="L19" s="1264"/>
    </row>
    <row r="20" spans="2:12" s="1229" customFormat="1" ht="15.75">
      <c r="B20" s="1261"/>
      <c r="C20" s="1236"/>
      <c r="D20" s="1236"/>
      <c r="E20" s="1262"/>
      <c r="F20" s="1263"/>
      <c r="G20" s="1263"/>
      <c r="H20" s="1262"/>
      <c r="I20" s="1236"/>
      <c r="J20" s="1262"/>
      <c r="K20" s="1239"/>
      <c r="L20" s="1264"/>
    </row>
    <row r="21" spans="2:12" s="1229" customFormat="1" ht="15.75">
      <c r="B21" s="1262"/>
      <c r="C21" s="1262"/>
      <c r="D21" s="1262"/>
      <c r="E21" s="1262"/>
      <c r="F21" s="1263"/>
      <c r="G21" s="1263"/>
      <c r="H21" s="1262"/>
      <c r="I21" s="1262"/>
      <c r="J21" s="1262"/>
      <c r="K21" s="1265"/>
      <c r="L21" s="1266"/>
    </row>
    <row r="22" spans="2:12" s="1272" customFormat="1" ht="13.5">
      <c r="B22" s="1267" t="str">
        <f>'Tar Income Statement'!B65</f>
        <v>Source: Company's 2018 Form 10-K and Form 10-Q for the period ended March 31, 2019.</v>
      </c>
      <c r="C22" s="1268"/>
      <c r="D22" s="1268"/>
      <c r="E22" s="1268"/>
      <c r="F22" s="1268"/>
      <c r="G22" s="1269"/>
      <c r="H22" s="1268"/>
      <c r="I22" s="1268"/>
      <c r="J22" s="1268"/>
      <c r="K22" s="1270"/>
      <c r="L22" s="1271"/>
    </row>
    <row r="23" spans="2:12">
      <c r="B23" s="234"/>
      <c r="G23" s="948"/>
      <c r="H23" s="4"/>
      <c r="K23" s="1273"/>
      <c r="L23" s="1274"/>
    </row>
    <row r="25" spans="2:12" ht="15.75">
      <c r="B25" s="1275"/>
      <c r="C25" s="1229"/>
      <c r="D25" s="1229"/>
      <c r="E25" s="1229"/>
      <c r="F25" s="1229"/>
      <c r="G25" s="1229"/>
      <c r="H25" s="1229"/>
      <c r="I25" s="1276"/>
      <c r="J25" s="1276"/>
      <c r="K25" s="1277"/>
      <c r="L25" s="1278"/>
    </row>
    <row r="26" spans="2:12">
      <c r="B26" s="1279"/>
      <c r="C26" s="4"/>
      <c r="D26" s="4"/>
      <c r="E26" s="4"/>
      <c r="F26" s="4"/>
      <c r="G26" s="4"/>
      <c r="H26" s="1280"/>
      <c r="I26" s="7"/>
      <c r="J26" s="4"/>
      <c r="K26" s="1281"/>
      <c r="L26" s="1282"/>
    </row>
    <row r="27" spans="2:12">
      <c r="B27" s="1283"/>
      <c r="C27" s="4"/>
      <c r="D27" s="4"/>
      <c r="E27" s="4"/>
      <c r="F27" s="4"/>
      <c r="G27" s="4"/>
      <c r="H27" s="4"/>
      <c r="I27" s="1284"/>
      <c r="J27" s="1284"/>
      <c r="K27" s="1285"/>
      <c r="L27" s="4"/>
    </row>
    <row r="28" spans="2:12">
      <c r="B28" s="4"/>
      <c r="C28" s="4"/>
      <c r="D28" s="4"/>
      <c r="E28" s="142"/>
      <c r="F28" s="4"/>
      <c r="G28" s="142"/>
      <c r="H28" s="4"/>
      <c r="I28" s="1286"/>
      <c r="J28" s="1287"/>
      <c r="K28" s="1285"/>
      <c r="L28" s="4"/>
    </row>
    <row r="29" spans="2:12">
      <c r="B29" s="926"/>
      <c r="C29" s="926"/>
      <c r="D29" s="926"/>
      <c r="E29" s="1288"/>
      <c r="F29" s="926"/>
      <c r="G29" s="1289"/>
      <c r="H29" s="926"/>
      <c r="I29" s="1290"/>
      <c r="J29" s="1291"/>
      <c r="K29" s="68"/>
      <c r="L29" s="4"/>
    </row>
    <row r="30" spans="2:12">
      <c r="B30" s="926"/>
      <c r="C30" s="926"/>
      <c r="D30" s="926"/>
      <c r="E30" s="1288"/>
      <c r="F30" s="926"/>
      <c r="G30" s="1289"/>
      <c r="H30" s="926"/>
      <c r="I30" s="1292"/>
      <c r="J30" s="1293"/>
      <c r="K30" s="68"/>
      <c r="L30" s="4"/>
    </row>
    <row r="31" spans="2:12">
      <c r="B31" s="926"/>
      <c r="C31" s="926"/>
      <c r="D31" s="926"/>
      <c r="E31" s="1288"/>
      <c r="F31" s="926"/>
      <c r="G31" s="1289"/>
      <c r="H31" s="926"/>
      <c r="I31" s="190"/>
      <c r="J31" s="192"/>
      <c r="K31" s="68"/>
      <c r="L31" s="4"/>
    </row>
    <row r="32" spans="2:12">
      <c r="B32" s="1294"/>
      <c r="C32" s="926"/>
      <c r="D32" s="926"/>
      <c r="E32" s="926"/>
      <c r="F32" s="926"/>
      <c r="G32" s="926"/>
      <c r="H32" s="4"/>
      <c r="I32" s="191"/>
      <c r="J32" s="202"/>
      <c r="K32" s="68"/>
      <c r="L32" s="4"/>
    </row>
    <row r="33" spans="2:12">
      <c r="B33" s="1295"/>
      <c r="C33" s="926"/>
      <c r="D33" s="926"/>
      <c r="E33" s="926"/>
      <c r="F33" s="926"/>
      <c r="G33" s="926"/>
      <c r="H33" s="4"/>
      <c r="I33" s="191"/>
      <c r="J33" s="202"/>
      <c r="K33" s="68"/>
      <c r="L33" s="4"/>
    </row>
    <row r="34" spans="2:12">
      <c r="B34" s="1295"/>
      <c r="C34" s="926"/>
      <c r="D34" s="926"/>
      <c r="E34" s="926"/>
      <c r="F34" s="926"/>
      <c r="G34" s="926"/>
      <c r="H34" s="4"/>
      <c r="I34" s="147"/>
      <c r="J34" s="202"/>
      <c r="K34" s="68"/>
      <c r="L34" s="4"/>
    </row>
    <row r="35" spans="2:12">
      <c r="B35" s="1295"/>
      <c r="C35" s="926"/>
      <c r="D35" s="926"/>
      <c r="E35" s="926"/>
      <c r="F35" s="926"/>
      <c r="G35" s="926"/>
      <c r="H35" s="4"/>
      <c r="I35" s="147"/>
      <c r="J35" s="202"/>
      <c r="K35" s="68"/>
      <c r="L35" s="4"/>
    </row>
    <row r="36" spans="2:12">
      <c r="B36" s="1295"/>
      <c r="C36" s="926"/>
      <c r="D36" s="926"/>
      <c r="E36" s="926"/>
      <c r="F36" s="926"/>
      <c r="G36" s="926"/>
      <c r="H36" s="4"/>
      <c r="I36" s="147"/>
      <c r="J36" s="192"/>
      <c r="K36" s="68"/>
      <c r="L36" s="4"/>
    </row>
    <row r="37" spans="2:12">
      <c r="B37" s="831"/>
      <c r="C37" s="4"/>
      <c r="D37" s="4"/>
      <c r="E37" s="4"/>
      <c r="F37" s="4"/>
      <c r="G37" s="4"/>
      <c r="H37" s="4"/>
      <c r="I37" s="212"/>
      <c r="J37" s="1296"/>
      <c r="K37" s="191"/>
      <c r="L37" s="4"/>
    </row>
    <row r="38" spans="2:1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2:1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</row>
    <row r="40" spans="2:1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  <row r="41" spans="2:1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2:1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spans="2:1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</sheetData>
  <customSheetViews>
    <customSheetView guid="{9AE38660-BF5A-49A3-9FC0-AD5890AFC019}" scale="115" showPageBreaks="1" showGridLines="0" printArea="1" view="pageBreakPreview" showRuler="0">
      <selection activeCell="B2" sqref="B2"/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indexed="42"/>
  </sheetPr>
  <dimension ref="A1:V98"/>
  <sheetViews>
    <sheetView showGridLines="0" view="pageBreakPreview" zoomScale="85" zoomScaleNormal="100" workbookViewId="0"/>
  </sheetViews>
  <sheetFormatPr defaultColWidth="8.83203125" defaultRowHeight="15" outlineLevelRow="1"/>
  <cols>
    <col min="1" max="1" width="2.83203125" style="1360" customWidth="1"/>
    <col min="2" max="2" width="12.83203125" style="1360" customWidth="1"/>
    <col min="3" max="3" width="10.83203125" style="1360" customWidth="1"/>
    <col min="4" max="4" width="5.83203125" style="1360" customWidth="1"/>
    <col min="5" max="6" width="8.83203125" style="1360"/>
    <col min="7" max="15" width="11.33203125" style="1360" customWidth="1"/>
    <col min="16" max="18" width="11.33203125" style="1363" customWidth="1"/>
    <col min="19" max="19" width="10.6640625" style="1363" bestFit="1" customWidth="1"/>
    <col min="20" max="21" width="8.83203125" style="1363"/>
    <col min="22" max="22" width="11.33203125" style="1363" customWidth="1"/>
    <col min="23" max="16384" width="8.83203125" style="1363"/>
  </cols>
  <sheetData>
    <row r="1" spans="1:22">
      <c r="A1" s="1359"/>
      <c r="J1" s="1361"/>
      <c r="K1" s="1362"/>
      <c r="L1" s="1362"/>
      <c r="M1" s="1362"/>
      <c r="N1" s="1362"/>
    </row>
    <row r="2" spans="1:22" s="1364" customFormat="1" ht="23.25">
      <c r="B2" s="1465" t="str">
        <f>+proj</f>
        <v>Project MODEL</v>
      </c>
      <c r="C2" s="1365"/>
      <c r="D2" s="1366"/>
      <c r="E2" s="1366"/>
      <c r="F2" s="1366"/>
      <c r="G2" s="1366"/>
      <c r="H2" s="1366"/>
      <c r="I2" s="1366"/>
      <c r="J2" s="1366"/>
      <c r="K2" s="1366"/>
      <c r="L2" s="1366"/>
      <c r="M2" s="1366"/>
      <c r="N2" s="1366"/>
      <c r="O2" s="1366"/>
      <c r="P2" s="1366"/>
      <c r="Q2" s="1366"/>
      <c r="R2" s="1366"/>
      <c r="S2" s="1366"/>
    </row>
    <row r="3" spans="1:22" s="1367" customFormat="1" ht="20.100000000000001" customHeight="1" thickBot="1">
      <c r="B3" s="1368" t="str">
        <f>tar&amp;" - Discounted Cash Flow Analysis"</f>
        <v>SG ENTERPRISES - Discounted Cash Flow Analysis</v>
      </c>
      <c r="C3" s="1368"/>
      <c r="D3" s="1369"/>
      <c r="E3" s="1369"/>
      <c r="F3" s="1369"/>
      <c r="G3" s="1369"/>
      <c r="H3" s="1369"/>
      <c r="I3" s="1369"/>
      <c r="J3" s="1369"/>
      <c r="K3" s="1369"/>
      <c r="L3" s="1369"/>
      <c r="M3" s="1369"/>
      <c r="N3" s="1369"/>
      <c r="O3" s="1468" t="str">
        <f>tcname</f>
        <v>Wall street consensus</v>
      </c>
      <c r="P3" s="1370"/>
      <c r="Q3" s="1370"/>
      <c r="R3" s="1370"/>
      <c r="S3" s="1370"/>
      <c r="T3" s="1370"/>
      <c r="U3" s="1371"/>
      <c r="V3" s="1371"/>
    </row>
    <row r="4" spans="1:22" s="1364" customFormat="1" ht="12.75" customHeight="1">
      <c r="A4" s="1372"/>
      <c r="B4" s="1466" t="str">
        <f>+'Tar Spread Cover'!B4</f>
        <v>(Amounts in Millions, Except Per Share Data)</v>
      </c>
      <c r="C4" s="1373"/>
      <c r="D4" s="1373"/>
      <c r="E4" s="1373"/>
      <c r="F4" s="1373"/>
      <c r="G4" s="1373"/>
      <c r="H4" s="1373"/>
      <c r="I4" s="1373"/>
      <c r="J4" s="1373"/>
      <c r="K4" s="1373"/>
      <c r="L4" s="1373"/>
      <c r="M4" s="1373"/>
      <c r="N4" s="1373"/>
      <c r="O4" s="1373"/>
    </row>
    <row r="5" spans="1:22" s="1364" customFormat="1" ht="12.75" customHeight="1">
      <c r="A5" s="1372"/>
      <c r="B5" s="1372"/>
      <c r="C5" s="1372"/>
      <c r="D5" s="1372"/>
      <c r="E5" s="1372"/>
      <c r="F5" s="1372"/>
      <c r="G5" s="1372"/>
      <c r="H5" s="1372"/>
      <c r="I5" s="1372"/>
      <c r="J5" s="1372"/>
      <c r="K5" s="1372"/>
      <c r="L5" s="1372"/>
      <c r="M5" s="1372"/>
      <c r="N5" s="1372"/>
      <c r="O5" s="1372"/>
      <c r="R5" s="1374" t="s">
        <v>675</v>
      </c>
      <c r="S5" s="1374" t="s">
        <v>168</v>
      </c>
    </row>
    <row r="6" spans="1:22" s="1364" customFormat="1" ht="12.75" customHeight="1">
      <c r="A6" s="1372"/>
      <c r="B6" s="1467" t="str">
        <f>tcname</f>
        <v>Wall street consensus</v>
      </c>
      <c r="C6" s="1375"/>
      <c r="D6" s="1375"/>
      <c r="E6" s="1376"/>
      <c r="F6" s="1372"/>
      <c r="G6" s="1372"/>
      <c r="H6" s="1372"/>
      <c r="I6" s="1372"/>
      <c r="J6" s="1377" t="str">
        <f>'Tar Proj'!B7</f>
        <v>Fiscal Year Ended December 31,</v>
      </c>
      <c r="K6" s="1377"/>
      <c r="L6" s="1377"/>
      <c r="M6" s="1377"/>
      <c r="N6" s="1377"/>
      <c r="O6" s="1372"/>
      <c r="P6" s="1372"/>
      <c r="Q6" s="1372" t="s">
        <v>676</v>
      </c>
      <c r="R6" s="1378">
        <v>9</v>
      </c>
      <c r="S6" s="1378">
        <v>1</v>
      </c>
    </row>
    <row r="7" spans="1:22" s="1364" customFormat="1" ht="12.75" customHeight="1">
      <c r="A7" s="1372"/>
      <c r="B7" s="1372"/>
      <c r="C7" s="1372"/>
      <c r="D7" s="1372"/>
      <c r="E7" s="1372"/>
      <c r="F7" s="1372"/>
      <c r="G7" s="1372"/>
      <c r="H7" s="1372"/>
      <c r="J7" s="1379">
        <f>'Tar Proj'!M7</f>
        <v>2020</v>
      </c>
      <c r="K7" s="1379">
        <f>'Tar Proj'!N7</f>
        <v>2021</v>
      </c>
      <c r="L7" s="1379">
        <f>'Tar Proj'!O7</f>
        <v>2022</v>
      </c>
      <c r="M7" s="1379">
        <f>'Tar Proj'!P7</f>
        <v>2023</v>
      </c>
      <c r="N7" s="1379">
        <f>'Tar Proj'!Q7</f>
        <v>2024</v>
      </c>
      <c r="O7" s="1372"/>
      <c r="P7" s="1372"/>
      <c r="Q7" s="1364" t="s">
        <v>677</v>
      </c>
      <c r="R7" s="1380">
        <v>0.1</v>
      </c>
      <c r="S7" s="1380">
        <v>0.02</v>
      </c>
      <c r="V7" s="1379">
        <f>'Tar Proj'!L7</f>
        <v>2019</v>
      </c>
    </row>
    <row r="8" spans="1:22" s="1364" customFormat="1" ht="15" customHeight="1">
      <c r="A8" s="1372"/>
      <c r="B8" s="1478" t="str">
        <f>'Tar Sum Financials'!B11</f>
        <v>Net Sales</v>
      </c>
      <c r="C8" s="1372"/>
      <c r="D8" s="1372"/>
      <c r="E8" s="1372"/>
      <c r="F8" s="1372"/>
      <c r="G8" s="1372"/>
      <c r="H8" s="1372"/>
      <c r="J8" s="1474">
        <f>'Tar Proj'!M8</f>
        <v>55.000000000000007</v>
      </c>
      <c r="K8" s="1475">
        <f>'Tar Proj'!N8</f>
        <v>60.500000000000014</v>
      </c>
      <c r="L8" s="1475">
        <f>'Tar Proj'!O8</f>
        <v>66.550000000000026</v>
      </c>
      <c r="M8" s="1476">
        <f>'Tar Proj'!P8</f>
        <v>73.205000000000041</v>
      </c>
      <c r="N8" s="1476">
        <f>'Tar Proj'!Q8</f>
        <v>80.525500000000051</v>
      </c>
      <c r="O8" s="1372"/>
      <c r="P8" s="1372"/>
      <c r="Q8" s="1364" t="s">
        <v>678</v>
      </c>
      <c r="R8" s="1380">
        <v>0.02</v>
      </c>
      <c r="S8" s="1380">
        <v>5.0000000000000001E-3</v>
      </c>
      <c r="V8" s="1469">
        <f>'Tar Proj'!L8</f>
        <v>50</v>
      </c>
    </row>
    <row r="9" spans="1:22" s="1364" customFormat="1" ht="12.75" customHeight="1">
      <c r="A9" s="1372"/>
      <c r="B9" s="1381" t="s">
        <v>679</v>
      </c>
      <c r="C9" s="1382"/>
      <c r="D9" s="1382"/>
      <c r="E9" s="1382"/>
      <c r="F9" s="1382"/>
      <c r="G9" s="1382"/>
      <c r="H9" s="1382"/>
      <c r="J9" s="1477">
        <f>J8/'Tar Proj'!L8-1</f>
        <v>0.10000000000000009</v>
      </c>
      <c r="K9" s="1383">
        <f>K8/J8-1</f>
        <v>0.10000000000000009</v>
      </c>
      <c r="L9" s="1383">
        <f>L8/K8-1</f>
        <v>0.10000000000000009</v>
      </c>
      <c r="M9" s="1383">
        <f>M8/L8-1</f>
        <v>0.10000000000000009</v>
      </c>
      <c r="N9" s="1383">
        <f>N8/M8-1</f>
        <v>0.10000000000000009</v>
      </c>
      <c r="O9" s="1372"/>
      <c r="P9" s="1372"/>
      <c r="V9" s="1470">
        <f>V8/'Tar Proj'!K8-1</f>
        <v>4.1666666666666741E-2</v>
      </c>
    </row>
    <row r="10" spans="1:22" s="1364" customFormat="1" ht="12.75" customHeight="1">
      <c r="A10" s="1372"/>
      <c r="B10" s="1478" t="str">
        <f>'Tar Sum Financials'!B13</f>
        <v>EBITDA</v>
      </c>
      <c r="C10" s="1372"/>
      <c r="D10" s="1372"/>
      <c r="E10" s="1372"/>
      <c r="F10" s="1372"/>
      <c r="G10" s="1372"/>
      <c r="H10" s="1372"/>
      <c r="J10" s="1472">
        <f>'Tar Proj'!M36</f>
        <v>21.500000000000007</v>
      </c>
      <c r="K10" s="1472">
        <f>'Tar Proj'!N36</f>
        <v>23.650000000000006</v>
      </c>
      <c r="L10" s="1472">
        <f>'Tar Proj'!O36</f>
        <v>26.015000000000015</v>
      </c>
      <c r="M10" s="1472">
        <f>'Tar Proj'!P36</f>
        <v>28.61650000000002</v>
      </c>
      <c r="N10" s="1472">
        <f>'Tar Proj'!Q36</f>
        <v>31.478150000000021</v>
      </c>
      <c r="O10" s="1372"/>
      <c r="P10" s="1372"/>
      <c r="V10" s="1471">
        <f>'Tar Proj'!L36</f>
        <v>20.000000000000004</v>
      </c>
    </row>
    <row r="11" spans="1:22" s="1364" customFormat="1" ht="12.75" customHeight="1">
      <c r="A11" s="1372"/>
      <c r="B11" s="1381" t="s">
        <v>680</v>
      </c>
      <c r="C11" s="1382"/>
      <c r="D11" s="1382"/>
      <c r="E11" s="1382"/>
      <c r="F11" s="1382"/>
      <c r="G11" s="1382"/>
      <c r="H11" s="1382"/>
      <c r="J11" s="1383">
        <f>J10/J8</f>
        <v>0.39090909090909098</v>
      </c>
      <c r="K11" s="1383">
        <f>K10/K8</f>
        <v>0.39090909090909093</v>
      </c>
      <c r="L11" s="1383">
        <f>L10/L8</f>
        <v>0.39090909090909098</v>
      </c>
      <c r="M11" s="1383">
        <f>M10/M8</f>
        <v>0.39090909090909098</v>
      </c>
      <c r="N11" s="1383">
        <f>N10/N8</f>
        <v>0.39090909090909093</v>
      </c>
      <c r="O11" s="1372"/>
      <c r="P11" s="1372"/>
      <c r="S11" s="1384"/>
      <c r="V11" s="1385">
        <f>V10/V8</f>
        <v>0.40000000000000008</v>
      </c>
    </row>
    <row r="12" spans="1:22" s="1364" customFormat="1" ht="12.75" customHeight="1">
      <c r="A12" s="1372"/>
      <c r="B12" s="1478" t="str">
        <f>'Tar Sum Financials'!B14</f>
        <v>EBIT</v>
      </c>
      <c r="C12" s="1372"/>
      <c r="D12" s="1372"/>
      <c r="E12" s="1372"/>
      <c r="F12" s="1372"/>
      <c r="G12" s="1372"/>
      <c r="H12" s="1372"/>
      <c r="J12" s="1472">
        <f>'Tar Proj'!M34</f>
        <v>16.500000000000007</v>
      </c>
      <c r="K12" s="1472">
        <f>'Tar Proj'!N34</f>
        <v>18.150000000000002</v>
      </c>
      <c r="L12" s="1472">
        <f>'Tar Proj'!O34</f>
        <v>19.965000000000014</v>
      </c>
      <c r="M12" s="1472">
        <f>'Tar Proj'!P34</f>
        <v>21.961500000000015</v>
      </c>
      <c r="N12" s="1472">
        <f>'Tar Proj'!Q34</f>
        <v>24.157650000000018</v>
      </c>
      <c r="O12" s="1372"/>
      <c r="P12" s="1372"/>
      <c r="S12" s="1386"/>
      <c r="V12" s="1471">
        <f>'Tar Proj'!L34</f>
        <v>15.000000000000004</v>
      </c>
    </row>
    <row r="13" spans="1:22" s="1364" customFormat="1" ht="12.75" customHeight="1">
      <c r="A13" s="1372"/>
      <c r="B13" s="1381" t="s">
        <v>680</v>
      </c>
      <c r="C13" s="1382"/>
      <c r="D13" s="1382"/>
      <c r="E13" s="1382"/>
      <c r="F13" s="1382"/>
      <c r="G13" s="1382"/>
      <c r="H13" s="1382"/>
      <c r="J13" s="1383">
        <f>J12/J8</f>
        <v>0.3000000000000001</v>
      </c>
      <c r="K13" s="1383">
        <f>K12/K8</f>
        <v>0.3</v>
      </c>
      <c r="L13" s="1383">
        <f>L12/L8</f>
        <v>0.3000000000000001</v>
      </c>
      <c r="M13" s="1383">
        <f>M12/M8</f>
        <v>0.30000000000000004</v>
      </c>
      <c r="N13" s="1383">
        <f>N12/N8</f>
        <v>0.30000000000000004</v>
      </c>
      <c r="O13" s="1372"/>
      <c r="P13" s="1372"/>
      <c r="S13" s="1386"/>
      <c r="V13" s="1385">
        <f>V12/V8</f>
        <v>0.30000000000000004</v>
      </c>
    </row>
    <row r="14" spans="1:22" s="1364" customFormat="1" ht="12.75" customHeight="1">
      <c r="A14" s="1372"/>
      <c r="B14" s="1372" t="s">
        <v>681</v>
      </c>
      <c r="C14" s="1479">
        <f>ttax</f>
        <v>0.25</v>
      </c>
      <c r="D14" s="1387"/>
      <c r="E14" s="1372"/>
      <c r="F14" s="1372"/>
      <c r="G14" s="1372"/>
      <c r="H14" s="1372"/>
      <c r="J14" s="1388">
        <f>-$C$14*J12</f>
        <v>-4.1250000000000018</v>
      </c>
      <c r="K14" s="1388">
        <f>-$C$14*K12</f>
        <v>-4.5375000000000005</v>
      </c>
      <c r="L14" s="1388">
        <f>-$C$14*L12</f>
        <v>-4.9912500000000035</v>
      </c>
      <c r="M14" s="1388">
        <f>-$C$14*M12</f>
        <v>-5.4903750000000038</v>
      </c>
      <c r="N14" s="1388">
        <f>-$C$14*N12</f>
        <v>-6.0394125000000045</v>
      </c>
      <c r="O14" s="1372"/>
      <c r="P14" s="1372"/>
      <c r="Q14" s="1389"/>
      <c r="S14" s="1390"/>
      <c r="V14" s="1390">
        <f>-$C$14*V12</f>
        <v>-3.7500000000000009</v>
      </c>
    </row>
    <row r="15" spans="1:22" s="1364" customFormat="1" ht="12.75" customHeight="1">
      <c r="A15" s="1372"/>
      <c r="B15" s="1372" t="str">
        <f>"Tax-Affected "&amp;B12</f>
        <v>Tax-Affected EBIT</v>
      </c>
      <c r="C15" s="1372"/>
      <c r="D15" s="1372"/>
      <c r="E15" s="1372"/>
      <c r="F15" s="1372"/>
      <c r="G15" s="1372"/>
      <c r="H15" s="1372"/>
      <c r="J15" s="1391">
        <f>J12+J14</f>
        <v>12.375000000000005</v>
      </c>
      <c r="K15" s="1391">
        <f>K12+K14</f>
        <v>13.612500000000001</v>
      </c>
      <c r="L15" s="1391">
        <f>L12+L14</f>
        <v>14.97375000000001</v>
      </c>
      <c r="M15" s="1391">
        <f>M12+M14</f>
        <v>16.471125000000011</v>
      </c>
      <c r="N15" s="1391">
        <f>N12+N14</f>
        <v>18.118237500000014</v>
      </c>
      <c r="O15" s="1372"/>
      <c r="P15" s="1372"/>
      <c r="V15" s="1392">
        <f>V12+V14</f>
        <v>11.250000000000004</v>
      </c>
    </row>
    <row r="16" spans="1:22" s="1364" customFormat="1" ht="12.75" customHeight="1">
      <c r="A16" s="1372"/>
      <c r="B16" s="1372" t="s">
        <v>682</v>
      </c>
      <c r="C16" s="1372"/>
      <c r="D16" s="1372"/>
      <c r="E16" s="1372"/>
      <c r="F16" s="1372"/>
      <c r="G16" s="1372"/>
      <c r="H16" s="1372"/>
      <c r="J16" s="1472">
        <f>'Tar Proj'!M35</f>
        <v>5.0000000000000009</v>
      </c>
      <c r="K16" s="1472">
        <f>'Tar Proj'!N35</f>
        <v>5.5000000000000018</v>
      </c>
      <c r="L16" s="1472">
        <f>'Tar Proj'!O35</f>
        <v>6.0500000000000025</v>
      </c>
      <c r="M16" s="1472">
        <f>'Tar Proj'!P35</f>
        <v>6.6550000000000038</v>
      </c>
      <c r="N16" s="1472">
        <f>'Tar Proj'!Q35</f>
        <v>7.3205000000000044</v>
      </c>
      <c r="O16" s="1372"/>
      <c r="P16" s="1372"/>
      <c r="V16" s="1471">
        <f>'Tar Proj'!L35</f>
        <v>5</v>
      </c>
    </row>
    <row r="17" spans="1:22" s="1364" customFormat="1" ht="12.75" customHeight="1">
      <c r="A17" s="1372"/>
      <c r="B17" s="1372" t="s">
        <v>683</v>
      </c>
      <c r="C17" s="1372"/>
      <c r="D17" s="1372"/>
      <c r="E17" s="1372"/>
      <c r="F17" s="1372"/>
      <c r="G17" s="1372"/>
      <c r="H17" s="1372"/>
      <c r="J17" s="1472">
        <f>'Tar Proj'!M98</f>
        <v>-5.5000000000000009</v>
      </c>
      <c r="K17" s="1472">
        <f>'Tar Proj'!N98</f>
        <v>-6.0500000000000016</v>
      </c>
      <c r="L17" s="1472">
        <f>'Tar Proj'!O98</f>
        <v>-6.6550000000000029</v>
      </c>
      <c r="M17" s="1472">
        <f>'Tar Proj'!P98</f>
        <v>-7.3205000000000044</v>
      </c>
      <c r="N17" s="1472">
        <f>'Tar Proj'!Q98</f>
        <v>-8.0525500000000054</v>
      </c>
      <c r="O17" s="1372"/>
      <c r="P17" s="1372"/>
      <c r="V17" s="1471">
        <f>'Tar Proj'!L98</f>
        <v>-5</v>
      </c>
    </row>
    <row r="18" spans="1:22" s="1364" customFormat="1" ht="12.75" customHeight="1">
      <c r="A18" s="1372"/>
      <c r="B18" s="1372" t="s">
        <v>684</v>
      </c>
      <c r="C18" s="1372"/>
      <c r="D18" s="1372"/>
      <c r="E18" s="1372"/>
      <c r="F18" s="1372"/>
      <c r="G18" s="1372"/>
      <c r="H18" s="1372"/>
      <c r="J18" s="1473">
        <f>'Tar Proj'!M95</f>
        <v>-0.55129166666666585</v>
      </c>
      <c r="K18" s="1473">
        <f>'Tar Proj'!N95</f>
        <v>-0.60642083333333474</v>
      </c>
      <c r="L18" s="1473">
        <f>'Tar Proj'!O95</f>
        <v>-0.66706291666667106</v>
      </c>
      <c r="M18" s="1473">
        <f>'Tar Proj'!P95</f>
        <v>-0.73376920833332981</v>
      </c>
      <c r="N18" s="1473">
        <f>'Tar Proj'!Q95</f>
        <v>-0.8071461291666715</v>
      </c>
      <c r="O18" s="1372"/>
      <c r="P18" s="1372"/>
      <c r="V18" s="1471">
        <f>'Tar Proj'!L95</f>
        <v>-0.21591666666666853</v>
      </c>
    </row>
    <row r="19" spans="1:22" s="1364" customFormat="1" ht="12.75" customHeight="1">
      <c r="A19" s="1372"/>
      <c r="B19" s="1372" t="s">
        <v>685</v>
      </c>
      <c r="C19" s="1372"/>
      <c r="D19" s="1372"/>
      <c r="E19" s="1372"/>
      <c r="F19" s="1372"/>
      <c r="G19" s="1372"/>
      <c r="H19" s="1372"/>
      <c r="J19" s="1393">
        <f>SUM(J15:J18)</f>
        <v>11.323708333333341</v>
      </c>
      <c r="K19" s="1394">
        <f>SUM(K15:K18)</f>
        <v>12.456079166666669</v>
      </c>
      <c r="L19" s="1394">
        <f>SUM(L15:L18)</f>
        <v>13.70168708333334</v>
      </c>
      <c r="M19" s="1395">
        <f>SUM(M15:M18)</f>
        <v>15.071855791666682</v>
      </c>
      <c r="N19" s="1395">
        <f>SUM(N15:N18)</f>
        <v>16.579041370833341</v>
      </c>
      <c r="O19" s="1372"/>
      <c r="P19" s="1372"/>
      <c r="Q19" s="1372"/>
      <c r="R19" s="1372"/>
      <c r="V19" s="1396">
        <f>SUM(V15:V18)</f>
        <v>11.034083333333335</v>
      </c>
    </row>
    <row r="20" spans="1:22" s="1364" customFormat="1" ht="12.75" customHeight="1">
      <c r="A20" s="1372"/>
      <c r="B20" s="1381" t="s">
        <v>686</v>
      </c>
      <c r="C20" s="1372"/>
      <c r="D20" s="1372"/>
      <c r="E20" s="1372"/>
      <c r="F20" s="1372"/>
      <c r="G20" s="1372"/>
      <c r="H20" s="1372"/>
      <c r="J20" s="1397">
        <f>IF(V19&lt;=0,"NM",J19/V19-1)</f>
        <v>2.6248215755727111E-2</v>
      </c>
      <c r="K20" s="1397">
        <f>IF(J19&lt;=0,"NM",K19/J19-1)</f>
        <v>9.9999999999999423E-2</v>
      </c>
      <c r="L20" s="1397">
        <f>IF(K19&lt;=0,"NM",L19/K19-1)</f>
        <v>0.10000000000000031</v>
      </c>
      <c r="M20" s="1397">
        <f>IF(L19&lt;=0,"NM",M19/L19-1)</f>
        <v>0.10000000000000053</v>
      </c>
      <c r="N20" s="1397">
        <f>IF(M19&lt;=0,"NM",N19/M19-1)</f>
        <v>9.9999999999999423E-2</v>
      </c>
      <c r="O20" s="1372"/>
      <c r="P20" s="1372"/>
      <c r="Q20" s="1372"/>
      <c r="R20" s="1372"/>
      <c r="V20" s="1398"/>
    </row>
    <row r="21" spans="1:22" s="1364" customFormat="1" ht="12.75" customHeight="1">
      <c r="A21" s="1372"/>
      <c r="B21" s="1372"/>
      <c r="C21" s="1372"/>
      <c r="D21" s="1372"/>
      <c r="E21" s="1372"/>
      <c r="F21" s="1372"/>
      <c r="G21" s="1372"/>
      <c r="H21" s="1372"/>
      <c r="I21" s="1372"/>
      <c r="J21" s="1372"/>
      <c r="K21" s="1372"/>
      <c r="L21" s="1372"/>
      <c r="M21" s="1372"/>
      <c r="N21" s="1372"/>
      <c r="O21" s="1372"/>
      <c r="P21" s="1372"/>
      <c r="Q21" s="1372"/>
      <c r="R21" s="1372"/>
    </row>
    <row r="22" spans="1:22" s="1402" customFormat="1" ht="12.75" customHeight="1">
      <c r="A22" s="1399"/>
      <c r="B22" s="1399" t="s">
        <v>687</v>
      </c>
      <c r="C22" s="1399"/>
      <c r="D22" s="1399"/>
      <c r="E22" s="1399"/>
      <c r="F22" s="1399"/>
      <c r="G22" s="1400">
        <f>+H22</f>
        <v>9</v>
      </c>
      <c r="H22" s="1401">
        <f>R6</f>
        <v>9</v>
      </c>
      <c r="I22" s="1400">
        <f>+H22</f>
        <v>9</v>
      </c>
      <c r="J22" s="1400">
        <f>+K22</f>
        <v>10</v>
      </c>
      <c r="K22" s="1401">
        <f>H22+$S$6</f>
        <v>10</v>
      </c>
      <c r="L22" s="1400">
        <f>+K22</f>
        <v>10</v>
      </c>
      <c r="M22" s="1400">
        <f>+N22</f>
        <v>11</v>
      </c>
      <c r="N22" s="1401">
        <f>K22+$S$6</f>
        <v>11</v>
      </c>
      <c r="O22" s="1400">
        <f>+N22</f>
        <v>11</v>
      </c>
      <c r="P22" s="1400">
        <f>+Q22</f>
        <v>12</v>
      </c>
      <c r="Q22" s="1401">
        <f>N22+$S$6</f>
        <v>12</v>
      </c>
      <c r="R22" s="1400">
        <f>+Q22</f>
        <v>12</v>
      </c>
    </row>
    <row r="23" spans="1:22" s="1364" customFormat="1" ht="12.75" customHeight="1">
      <c r="A23" s="1372"/>
      <c r="B23" s="1372" t="s">
        <v>688</v>
      </c>
      <c r="C23" s="1372"/>
      <c r="D23" s="1372"/>
      <c r="E23" s="1372"/>
      <c r="F23" s="1372"/>
      <c r="G23" s="1403">
        <f>R7</f>
        <v>0.1</v>
      </c>
      <c r="H23" s="1404">
        <f>G23+$S$7</f>
        <v>0.12000000000000001</v>
      </c>
      <c r="I23" s="1405">
        <f>H23+$S$7</f>
        <v>0.14000000000000001</v>
      </c>
      <c r="J23" s="1403">
        <f>$G$23</f>
        <v>0.1</v>
      </c>
      <c r="K23" s="1404">
        <f>$H$23</f>
        <v>0.12000000000000001</v>
      </c>
      <c r="L23" s="1405">
        <f>$I$23</f>
        <v>0.14000000000000001</v>
      </c>
      <c r="M23" s="1403">
        <f>$G$23</f>
        <v>0.1</v>
      </c>
      <c r="N23" s="1404">
        <f>$H$23</f>
        <v>0.12000000000000001</v>
      </c>
      <c r="O23" s="1405">
        <f>$I$23</f>
        <v>0.14000000000000001</v>
      </c>
      <c r="P23" s="1404">
        <f>$G$23</f>
        <v>0.1</v>
      </c>
      <c r="Q23" s="1404">
        <f>$H$23</f>
        <v>0.12000000000000001</v>
      </c>
      <c r="R23" s="1405">
        <f>$I$23</f>
        <v>0.14000000000000001</v>
      </c>
    </row>
    <row r="24" spans="1:22" s="1364" customFormat="1" ht="12.75" customHeight="1">
      <c r="A24" s="1372" t="s">
        <v>689</v>
      </c>
      <c r="B24" s="1372" t="s">
        <v>690</v>
      </c>
      <c r="C24" s="1372"/>
      <c r="D24" s="1372"/>
      <c r="E24" s="1372"/>
      <c r="F24" s="1372"/>
      <c r="G24" s="1406">
        <f>XNPV(G23,$J$19:$N$19,$J$53:$N$53)/(1+G23)^$R$54</f>
        <v>51.455275834144601</v>
      </c>
      <c r="H24" s="1407">
        <f t="shared" ref="H24:R24" si="0">XNPV(H23,$J$19:$N$19,$J$53:$N$53)/(1+H23)^$R$54</f>
        <v>48.760721804225184</v>
      </c>
      <c r="I24" s="1408">
        <f t="shared" si="0"/>
        <v>46.280550222359714</v>
      </c>
      <c r="J24" s="1406">
        <f t="shared" si="0"/>
        <v>51.455275834144601</v>
      </c>
      <c r="K24" s="1407">
        <f t="shared" si="0"/>
        <v>48.760721804225184</v>
      </c>
      <c r="L24" s="1408">
        <f t="shared" si="0"/>
        <v>46.280550222359714</v>
      </c>
      <c r="M24" s="1406">
        <f t="shared" si="0"/>
        <v>51.455275834144601</v>
      </c>
      <c r="N24" s="1407">
        <f t="shared" si="0"/>
        <v>48.760721804225184</v>
      </c>
      <c r="O24" s="1408">
        <f t="shared" si="0"/>
        <v>46.280550222359714</v>
      </c>
      <c r="P24" s="1407">
        <f t="shared" si="0"/>
        <v>51.455275834144601</v>
      </c>
      <c r="Q24" s="1407">
        <f t="shared" si="0"/>
        <v>48.760721804225184</v>
      </c>
      <c r="R24" s="1408">
        <f t="shared" si="0"/>
        <v>46.280550222359714</v>
      </c>
    </row>
    <row r="25" spans="1:22" s="1364" customFormat="1" ht="12.75" customHeight="1">
      <c r="A25" s="1372" t="s">
        <v>689</v>
      </c>
      <c r="B25" s="1372" t="s">
        <v>691</v>
      </c>
      <c r="C25" s="1372"/>
      <c r="D25" s="1372"/>
      <c r="E25" s="1372"/>
      <c r="F25" s="1372"/>
      <c r="G25" s="1409">
        <f>($N$10*G22)/(1+G23)^($R$55)</f>
        <v>175.81724680024971</v>
      </c>
      <c r="H25" s="1410">
        <f t="shared" ref="H25:R25" si="1">($N$10*H22)/(1+H23)^($R$55)</f>
        <v>160.6541352633707</v>
      </c>
      <c r="I25" s="1411">
        <f t="shared" si="1"/>
        <v>147.03328012648655</v>
      </c>
      <c r="J25" s="1409">
        <f t="shared" si="1"/>
        <v>195.35249644472188</v>
      </c>
      <c r="K25" s="1410">
        <f t="shared" si="1"/>
        <v>178.50459473707858</v>
      </c>
      <c r="L25" s="1411">
        <f t="shared" si="1"/>
        <v>163.37031125165174</v>
      </c>
      <c r="M25" s="1409">
        <f t="shared" si="1"/>
        <v>214.88774608919408</v>
      </c>
      <c r="N25" s="1410">
        <f t="shared" si="1"/>
        <v>196.35505421078642</v>
      </c>
      <c r="O25" s="1411">
        <f t="shared" si="1"/>
        <v>179.70734237681691</v>
      </c>
      <c r="P25" s="1410">
        <f t="shared" si="1"/>
        <v>234.42299573366623</v>
      </c>
      <c r="Q25" s="1410">
        <f t="shared" si="1"/>
        <v>214.20551368449426</v>
      </c>
      <c r="R25" s="1411">
        <f t="shared" si="1"/>
        <v>196.04437350198205</v>
      </c>
    </row>
    <row r="26" spans="1:22" s="1364" customFormat="1" ht="12.75" customHeight="1">
      <c r="A26" s="1372"/>
      <c r="B26" s="1372" t="s">
        <v>692</v>
      </c>
      <c r="C26" s="1372"/>
      <c r="D26" s="1372"/>
      <c r="E26" s="1372"/>
      <c r="F26" s="1372"/>
      <c r="G26" s="1406">
        <f t="shared" ref="G26:R26" si="2">G24+G25</f>
        <v>227.27252263439431</v>
      </c>
      <c r="H26" s="1407">
        <f t="shared" si="2"/>
        <v>209.4148570675959</v>
      </c>
      <c r="I26" s="1408">
        <f t="shared" si="2"/>
        <v>193.31383034884627</v>
      </c>
      <c r="J26" s="1406">
        <f t="shared" si="2"/>
        <v>246.80777227886648</v>
      </c>
      <c r="K26" s="1407">
        <f t="shared" si="2"/>
        <v>227.26531654130378</v>
      </c>
      <c r="L26" s="1408">
        <f t="shared" si="2"/>
        <v>209.65086147401146</v>
      </c>
      <c r="M26" s="1406">
        <f t="shared" si="2"/>
        <v>266.34302192333871</v>
      </c>
      <c r="N26" s="1407">
        <f t="shared" si="2"/>
        <v>245.11577601501159</v>
      </c>
      <c r="O26" s="1408">
        <f t="shared" si="2"/>
        <v>225.98789259917663</v>
      </c>
      <c r="P26" s="1407">
        <f t="shared" si="2"/>
        <v>285.87827156781083</v>
      </c>
      <c r="Q26" s="1407">
        <f t="shared" si="2"/>
        <v>262.96623548871946</v>
      </c>
      <c r="R26" s="1408">
        <f t="shared" si="2"/>
        <v>242.32492372434177</v>
      </c>
    </row>
    <row r="27" spans="1:22" s="1364" customFormat="1" ht="12.75" customHeight="1">
      <c r="A27" s="1372"/>
      <c r="B27" s="1478" t="str">
        <f>IF(G27&lt;=0,"Less: Net Debt","Plus: Net Cash")&amp;" (a)"</f>
        <v>Plus: Net Cash (a)</v>
      </c>
      <c r="C27" s="1372"/>
      <c r="D27" s="1372"/>
      <c r="E27" s="1372"/>
      <c r="F27" s="1372"/>
      <c r="G27" s="1480">
        <f>-tarnetdebt</f>
        <v>29.796709375000002</v>
      </c>
      <c r="H27" s="1410">
        <f t="shared" ref="H27:R27" si="3">$G$27</f>
        <v>29.796709375000002</v>
      </c>
      <c r="I27" s="1411">
        <f t="shared" si="3"/>
        <v>29.796709375000002</v>
      </c>
      <c r="J27" s="1409">
        <f t="shared" si="3"/>
        <v>29.796709375000002</v>
      </c>
      <c r="K27" s="1410">
        <f t="shared" si="3"/>
        <v>29.796709375000002</v>
      </c>
      <c r="L27" s="1411">
        <f t="shared" si="3"/>
        <v>29.796709375000002</v>
      </c>
      <c r="M27" s="1409">
        <f t="shared" si="3"/>
        <v>29.796709375000002</v>
      </c>
      <c r="N27" s="1410">
        <f t="shared" si="3"/>
        <v>29.796709375000002</v>
      </c>
      <c r="O27" s="1411">
        <f t="shared" si="3"/>
        <v>29.796709375000002</v>
      </c>
      <c r="P27" s="1410">
        <f t="shared" si="3"/>
        <v>29.796709375000002</v>
      </c>
      <c r="Q27" s="1410">
        <f t="shared" si="3"/>
        <v>29.796709375000002</v>
      </c>
      <c r="R27" s="1411">
        <f t="shared" si="3"/>
        <v>29.796709375000002</v>
      </c>
    </row>
    <row r="28" spans="1:22" s="1364" customFormat="1" ht="12.75" customHeight="1">
      <c r="A28" s="1372"/>
      <c r="B28" s="1372" t="s">
        <v>693</v>
      </c>
      <c r="C28" s="1372"/>
      <c r="D28" s="1372"/>
      <c r="E28" s="1372"/>
      <c r="F28" s="1372"/>
      <c r="G28" s="1406">
        <f>SUM(G26:G27)</f>
        <v>257.06923200939428</v>
      </c>
      <c r="H28" s="1407">
        <f t="shared" ref="H28:R28" si="4">SUM(H26:H27)</f>
        <v>239.21156644259591</v>
      </c>
      <c r="I28" s="1408">
        <f t="shared" si="4"/>
        <v>223.11053972384627</v>
      </c>
      <c r="J28" s="1406">
        <f t="shared" si="4"/>
        <v>276.60448165386646</v>
      </c>
      <c r="K28" s="1407">
        <f t="shared" si="4"/>
        <v>257.06202591630375</v>
      </c>
      <c r="L28" s="1408">
        <f t="shared" si="4"/>
        <v>239.44757084901147</v>
      </c>
      <c r="M28" s="1406">
        <f t="shared" si="4"/>
        <v>296.13973129833869</v>
      </c>
      <c r="N28" s="1407">
        <f t="shared" si="4"/>
        <v>274.91248539001157</v>
      </c>
      <c r="O28" s="1408">
        <f t="shared" si="4"/>
        <v>255.78460197417664</v>
      </c>
      <c r="P28" s="1407">
        <f t="shared" si="4"/>
        <v>315.67498094281081</v>
      </c>
      <c r="Q28" s="1407">
        <f t="shared" si="4"/>
        <v>292.76294486371944</v>
      </c>
      <c r="R28" s="1408">
        <f t="shared" si="4"/>
        <v>272.12163309934175</v>
      </c>
    </row>
    <row r="29" spans="1:22" s="1402" customFormat="1" ht="18" customHeight="1">
      <c r="A29" s="1399"/>
      <c r="B29" s="1399" t="s">
        <v>694</v>
      </c>
      <c r="C29" s="1399"/>
      <c r="D29" s="1399"/>
      <c r="E29" s="1399"/>
      <c r="F29" s="1399"/>
      <c r="G29" s="1412">
        <f t="shared" ref="G29:R29" ca="1" si="5">G28/G48</f>
        <v>37.048791518150381</v>
      </c>
      <c r="H29" s="1413">
        <f t="shared" ca="1" si="5"/>
        <v>34.495014971805531</v>
      </c>
      <c r="I29" s="1414">
        <f t="shared" ca="1" si="5"/>
        <v>32.192450605113414</v>
      </c>
      <c r="J29" s="1412">
        <f t="shared" ca="1" si="5"/>
        <v>39.842474834843223</v>
      </c>
      <c r="K29" s="1413">
        <f t="shared" ca="1" si="5"/>
        <v>37.047760994230195</v>
      </c>
      <c r="L29" s="1414">
        <f t="shared" ca="1" si="5"/>
        <v>34.528765324878478</v>
      </c>
      <c r="M29" s="1412">
        <f t="shared" ca="1" si="5"/>
        <v>42.636158151536073</v>
      </c>
      <c r="N29" s="1413">
        <f t="shared" ca="1" si="5"/>
        <v>39.600507016654859</v>
      </c>
      <c r="O29" s="1414">
        <f t="shared" ca="1" si="5"/>
        <v>36.865080044643541</v>
      </c>
      <c r="P29" s="1413">
        <f t="shared" ca="1" si="5"/>
        <v>45.429841468228901</v>
      </c>
      <c r="Q29" s="1413">
        <f t="shared" ca="1" si="5"/>
        <v>42.153253039079523</v>
      </c>
      <c r="R29" s="1414">
        <f t="shared" ca="1" si="5"/>
        <v>39.201394764408597</v>
      </c>
    </row>
    <row r="30" spans="1:22" s="1364" customFormat="1" ht="18" customHeight="1">
      <c r="A30" s="1372"/>
      <c r="B30" s="1372" t="s">
        <v>695</v>
      </c>
      <c r="C30" s="1372"/>
      <c r="D30" s="1372"/>
      <c r="E30" s="1372"/>
      <c r="F30" s="1372"/>
      <c r="G30" s="1415">
        <f t="shared" ref="G30:R30" si="6">G25/G26</f>
        <v>0.77359658247416485</v>
      </c>
      <c r="H30" s="1416">
        <f t="shared" si="6"/>
        <v>0.76715729491682638</v>
      </c>
      <c r="I30" s="1417">
        <f t="shared" si="6"/>
        <v>0.76059369296628321</v>
      </c>
      <c r="J30" s="1415">
        <f t="shared" si="6"/>
        <v>0.79151679317454549</v>
      </c>
      <c r="K30" s="1416">
        <f t="shared" si="6"/>
        <v>0.78544582804669494</v>
      </c>
      <c r="L30" s="1417">
        <f t="shared" si="6"/>
        <v>0.77924941544732595</v>
      </c>
      <c r="M30" s="1415">
        <f t="shared" si="6"/>
        <v>0.80680824501212212</v>
      </c>
      <c r="N30" s="1416">
        <f t="shared" si="6"/>
        <v>0.80107065078814466</v>
      </c>
      <c r="O30" s="1417">
        <f t="shared" si="6"/>
        <v>0.79520783308314125</v>
      </c>
      <c r="P30" s="1416">
        <f t="shared" si="6"/>
        <v>0.82000984002053012</v>
      </c>
      <c r="Q30" s="1416">
        <f t="shared" si="6"/>
        <v>0.81457421058789536</v>
      </c>
      <c r="R30" s="1417">
        <f t="shared" si="6"/>
        <v>0.80901448554666022</v>
      </c>
    </row>
    <row r="31" spans="1:22" s="1364" customFormat="1" ht="12.75" customHeight="1">
      <c r="A31" s="1372" t="s">
        <v>689</v>
      </c>
      <c r="B31" s="1372" t="s">
        <v>696</v>
      </c>
      <c r="C31" s="1372"/>
      <c r="D31" s="1372"/>
      <c r="E31" s="1372"/>
      <c r="F31" s="1372"/>
      <c r="G31" s="1418">
        <f>($N$10*G22*G23-$N$19)/($N$19+$N$10*G22)</f>
        <v>3.9186340936687637E-2</v>
      </c>
      <c r="H31" s="1419">
        <f t="shared" ref="H31:R31" si="7">($N$10*H22*H23-$N$19)/($N$19+$N$10*H22)</f>
        <v>5.8080638044627417E-2</v>
      </c>
      <c r="I31" s="1420">
        <f t="shared" si="7"/>
        <v>7.6974935152567203E-2</v>
      </c>
      <c r="J31" s="1418">
        <f t="shared" si="7"/>
        <v>4.4963436405340527E-2</v>
      </c>
      <c r="K31" s="1419">
        <f t="shared" si="7"/>
        <v>6.3962771612710356E-2</v>
      </c>
      <c r="L31" s="1420">
        <f t="shared" si="7"/>
        <v>8.2962106820080178E-2</v>
      </c>
      <c r="M31" s="1418">
        <f t="shared" si="7"/>
        <v>4.9738145513048698E-2</v>
      </c>
      <c r="N31" s="1419">
        <f t="shared" si="7"/>
        <v>6.8824293613285945E-2</v>
      </c>
      <c r="O31" s="1420">
        <f t="shared" si="7"/>
        <v>8.7910441713523191E-2</v>
      </c>
      <c r="P31" s="1419">
        <f t="shared" si="7"/>
        <v>5.3750528522909784E-2</v>
      </c>
      <c r="Q31" s="1419">
        <f t="shared" si="7"/>
        <v>7.2909629041508148E-2</v>
      </c>
      <c r="R31" s="1420">
        <f t="shared" si="7"/>
        <v>9.2068729560106491E-2</v>
      </c>
    </row>
    <row r="32" spans="1:22" s="1364" customFormat="1" ht="12.75" customHeight="1">
      <c r="A32" s="1372"/>
      <c r="B32" s="1372"/>
      <c r="C32" s="1372"/>
      <c r="D32" s="1372"/>
      <c r="E32" s="1372"/>
      <c r="F32" s="1372"/>
      <c r="G32" s="1421"/>
      <c r="H32" s="1422"/>
      <c r="I32" s="1422"/>
      <c r="J32" s="1422"/>
      <c r="K32" s="1422"/>
      <c r="L32" s="1422"/>
      <c r="M32" s="1422"/>
      <c r="N32" s="1422"/>
      <c r="O32" s="1422"/>
      <c r="P32" s="1422"/>
      <c r="Q32" s="1422"/>
      <c r="R32" s="1422"/>
    </row>
    <row r="33" spans="1:18" s="1364" customFormat="1" ht="12.75" hidden="1" customHeight="1" outlineLevel="1">
      <c r="A33" s="1372"/>
      <c r="B33" s="1372"/>
      <c r="C33" s="1372"/>
      <c r="D33" s="1372"/>
      <c r="E33" s="1372"/>
      <c r="F33" s="1372"/>
      <c r="G33" s="1421"/>
      <c r="H33" s="1422"/>
      <c r="I33" s="1422"/>
      <c r="J33" s="1422"/>
      <c r="K33" s="1422"/>
      <c r="L33" s="1422"/>
      <c r="M33" s="1422"/>
      <c r="N33" s="1422"/>
      <c r="O33" s="1422"/>
      <c r="P33" s="1422"/>
      <c r="Q33" s="1422"/>
      <c r="R33" s="1422"/>
    </row>
    <row r="34" spans="1:18" s="1402" customFormat="1" ht="12.75" hidden="1" customHeight="1" outlineLevel="1">
      <c r="A34" s="1399"/>
      <c r="B34" s="1399" t="s">
        <v>697</v>
      </c>
      <c r="C34" s="1399"/>
      <c r="D34" s="1399"/>
      <c r="E34" s="1399"/>
      <c r="F34" s="1399"/>
      <c r="G34" s="1423">
        <f>+H34</f>
        <v>0.02</v>
      </c>
      <c r="H34" s="1424">
        <f>R8</f>
        <v>0.02</v>
      </c>
      <c r="I34" s="1423">
        <f>+H34</f>
        <v>0.02</v>
      </c>
      <c r="J34" s="1423">
        <f>+K34</f>
        <v>2.5000000000000001E-2</v>
      </c>
      <c r="K34" s="1424">
        <f>H34+$S$8</f>
        <v>2.5000000000000001E-2</v>
      </c>
      <c r="L34" s="1423">
        <f>+K34</f>
        <v>2.5000000000000001E-2</v>
      </c>
      <c r="M34" s="1423">
        <f>+N34</f>
        <v>3.0000000000000002E-2</v>
      </c>
      <c r="N34" s="1424">
        <f>K34+$S$8</f>
        <v>3.0000000000000002E-2</v>
      </c>
      <c r="O34" s="1423">
        <f>+N34</f>
        <v>3.0000000000000002E-2</v>
      </c>
      <c r="P34" s="1423">
        <f>+Q34</f>
        <v>3.5000000000000003E-2</v>
      </c>
      <c r="Q34" s="1424">
        <f>N34+$S$8</f>
        <v>3.5000000000000003E-2</v>
      </c>
      <c r="R34" s="1423">
        <f>+Q34</f>
        <v>3.5000000000000003E-2</v>
      </c>
    </row>
    <row r="35" spans="1:18" s="1364" customFormat="1" ht="12.75" hidden="1" customHeight="1" outlineLevel="1">
      <c r="A35" s="1372"/>
      <c r="B35" s="1372" t="s">
        <v>688</v>
      </c>
      <c r="C35" s="1372"/>
      <c r="D35" s="1372"/>
      <c r="E35" s="1372"/>
      <c r="F35" s="1372"/>
      <c r="G35" s="1403">
        <f>G23</f>
        <v>0.1</v>
      </c>
      <c r="H35" s="1404">
        <f t="shared" ref="H35:R35" si="8">H23</f>
        <v>0.12000000000000001</v>
      </c>
      <c r="I35" s="1405">
        <f t="shared" si="8"/>
        <v>0.14000000000000001</v>
      </c>
      <c r="J35" s="1403">
        <f t="shared" si="8"/>
        <v>0.1</v>
      </c>
      <c r="K35" s="1404">
        <f t="shared" si="8"/>
        <v>0.12000000000000001</v>
      </c>
      <c r="L35" s="1405">
        <f t="shared" si="8"/>
        <v>0.14000000000000001</v>
      </c>
      <c r="M35" s="1403">
        <f t="shared" si="8"/>
        <v>0.1</v>
      </c>
      <c r="N35" s="1404">
        <f t="shared" si="8"/>
        <v>0.12000000000000001</v>
      </c>
      <c r="O35" s="1405">
        <f t="shared" si="8"/>
        <v>0.14000000000000001</v>
      </c>
      <c r="P35" s="1404">
        <f t="shared" si="8"/>
        <v>0.1</v>
      </c>
      <c r="Q35" s="1404">
        <f t="shared" si="8"/>
        <v>0.12000000000000001</v>
      </c>
      <c r="R35" s="1405">
        <f t="shared" si="8"/>
        <v>0.14000000000000001</v>
      </c>
    </row>
    <row r="36" spans="1:18" s="1364" customFormat="1" ht="12.75" hidden="1" customHeight="1" outlineLevel="1">
      <c r="A36" s="1372" t="s">
        <v>689</v>
      </c>
      <c r="B36" s="1372" t="s">
        <v>690</v>
      </c>
      <c r="C36" s="1372"/>
      <c r="D36" s="1372"/>
      <c r="E36" s="1372"/>
      <c r="F36" s="1372"/>
      <c r="G36" s="1406">
        <f>XNPV(G35,$J$19:$N$19,$J$53:$N$53)/(1+G35)^$R$54</f>
        <v>51.455275834144601</v>
      </c>
      <c r="H36" s="1407">
        <f t="shared" ref="H36:R36" si="9">XNPV(H35,$J$19:$N$19,$J$53:$N$53)/(1+H35)^$R$54</f>
        <v>48.760721804225184</v>
      </c>
      <c r="I36" s="1408">
        <f t="shared" si="9"/>
        <v>46.280550222359714</v>
      </c>
      <c r="J36" s="1406">
        <f t="shared" si="9"/>
        <v>51.455275834144601</v>
      </c>
      <c r="K36" s="1407">
        <f t="shared" si="9"/>
        <v>48.760721804225184</v>
      </c>
      <c r="L36" s="1408">
        <f t="shared" si="9"/>
        <v>46.280550222359714</v>
      </c>
      <c r="M36" s="1406">
        <f t="shared" si="9"/>
        <v>51.455275834144601</v>
      </c>
      <c r="N36" s="1407">
        <f t="shared" si="9"/>
        <v>48.760721804225184</v>
      </c>
      <c r="O36" s="1408">
        <f t="shared" si="9"/>
        <v>46.280550222359714</v>
      </c>
      <c r="P36" s="1407">
        <f t="shared" si="9"/>
        <v>51.455275834144601</v>
      </c>
      <c r="Q36" s="1407">
        <f t="shared" si="9"/>
        <v>48.760721804225184</v>
      </c>
      <c r="R36" s="1408">
        <f t="shared" si="9"/>
        <v>46.280550222359714</v>
      </c>
    </row>
    <row r="37" spans="1:18" s="1364" customFormat="1" ht="12.75" hidden="1" customHeight="1" outlineLevel="1">
      <c r="A37" s="1372" t="s">
        <v>689</v>
      </c>
      <c r="B37" s="1372" t="s">
        <v>691</v>
      </c>
      <c r="C37" s="1372"/>
      <c r="D37" s="1372"/>
      <c r="E37" s="1372"/>
      <c r="F37" s="1372"/>
      <c r="G37" s="1409">
        <f>(($N$19*(1+G34))/(G35-G34))/(1+G35)^($R$55)</f>
        <v>131.18354568413594</v>
      </c>
      <c r="H37" s="1410">
        <f t="shared" ref="H37:R37" si="10">(($N$19*(1+H34))/(H35-H34))/(1+H35)^($R$55)</f>
        <v>95.895844014037024</v>
      </c>
      <c r="I37" s="1411">
        <f t="shared" si="10"/>
        <v>73.137864730169767</v>
      </c>
      <c r="J37" s="1409">
        <f t="shared" si="10"/>
        <v>140.61504243266859</v>
      </c>
      <c r="K37" s="1410">
        <f t="shared" si="10"/>
        <v>101.43781229555002</v>
      </c>
      <c r="L37" s="1411">
        <f t="shared" si="10"/>
        <v>76.691878617313577</v>
      </c>
      <c r="M37" s="1409">
        <f t="shared" si="10"/>
        <v>151.39389585956306</v>
      </c>
      <c r="N37" s="1410">
        <f t="shared" si="10"/>
        <v>107.59555483056444</v>
      </c>
      <c r="O37" s="1411">
        <f t="shared" si="10"/>
        <v>80.568984676015916</v>
      </c>
      <c r="P37" s="1410">
        <f t="shared" si="10"/>
        <v>163.83103442905664</v>
      </c>
      <c r="Q37" s="1410">
        <f t="shared" si="10"/>
        <v>114.47773766381583</v>
      </c>
      <c r="R37" s="1411">
        <f t="shared" si="10"/>
        <v>84.815338930785117</v>
      </c>
    </row>
    <row r="38" spans="1:18" s="1364" customFormat="1" ht="12.75" hidden="1" customHeight="1" outlineLevel="1">
      <c r="A38" s="1372"/>
      <c r="B38" s="1372" t="s">
        <v>692</v>
      </c>
      <c r="C38" s="1372"/>
      <c r="D38" s="1372"/>
      <c r="E38" s="1372"/>
      <c r="F38" s="1372"/>
      <c r="G38" s="1406">
        <f>SUM(G36:G37)</f>
        <v>182.63882151828054</v>
      </c>
      <c r="H38" s="1407">
        <f t="shared" ref="H38:R38" si="11">SUM(H36:H37)</f>
        <v>144.65656581826221</v>
      </c>
      <c r="I38" s="1408">
        <f t="shared" si="11"/>
        <v>119.41841495252947</v>
      </c>
      <c r="J38" s="1406">
        <f t="shared" si="11"/>
        <v>192.07031826681319</v>
      </c>
      <c r="K38" s="1407">
        <f t="shared" si="11"/>
        <v>150.1985340997752</v>
      </c>
      <c r="L38" s="1408">
        <f t="shared" si="11"/>
        <v>122.97242883967328</v>
      </c>
      <c r="M38" s="1406">
        <f t="shared" si="11"/>
        <v>202.84917169370766</v>
      </c>
      <c r="N38" s="1407">
        <f t="shared" si="11"/>
        <v>156.35627663478962</v>
      </c>
      <c r="O38" s="1408">
        <f t="shared" si="11"/>
        <v>126.84953489837562</v>
      </c>
      <c r="P38" s="1407">
        <f t="shared" si="11"/>
        <v>215.28631026320124</v>
      </c>
      <c r="Q38" s="1407">
        <f t="shared" si="11"/>
        <v>163.23845946804101</v>
      </c>
      <c r="R38" s="1408">
        <f t="shared" si="11"/>
        <v>131.09588915314484</v>
      </c>
    </row>
    <row r="39" spans="1:18" s="1364" customFormat="1" ht="12.75" hidden="1" customHeight="1" outlineLevel="1">
      <c r="A39" s="1372"/>
      <c r="B39" s="1372" t="str">
        <f>+B27</f>
        <v>Plus: Net Cash (a)</v>
      </c>
      <c r="C39" s="1372"/>
      <c r="D39" s="1372"/>
      <c r="E39" s="1372"/>
      <c r="F39" s="1372"/>
      <c r="G39" s="1409">
        <f>G27</f>
        <v>29.796709375000002</v>
      </c>
      <c r="H39" s="1410">
        <f t="shared" ref="H39:R39" si="12">H27</f>
        <v>29.796709375000002</v>
      </c>
      <c r="I39" s="1411">
        <f t="shared" si="12"/>
        <v>29.796709375000002</v>
      </c>
      <c r="J39" s="1409">
        <f t="shared" si="12"/>
        <v>29.796709375000002</v>
      </c>
      <c r="K39" s="1410">
        <f t="shared" si="12"/>
        <v>29.796709375000002</v>
      </c>
      <c r="L39" s="1411">
        <f t="shared" si="12"/>
        <v>29.796709375000002</v>
      </c>
      <c r="M39" s="1409">
        <f t="shared" si="12"/>
        <v>29.796709375000002</v>
      </c>
      <c r="N39" s="1410">
        <f t="shared" si="12"/>
        <v>29.796709375000002</v>
      </c>
      <c r="O39" s="1411">
        <f t="shared" si="12"/>
        <v>29.796709375000002</v>
      </c>
      <c r="P39" s="1410">
        <f t="shared" si="12"/>
        <v>29.796709375000002</v>
      </c>
      <c r="Q39" s="1410">
        <f t="shared" si="12"/>
        <v>29.796709375000002</v>
      </c>
      <c r="R39" s="1411">
        <f t="shared" si="12"/>
        <v>29.796709375000002</v>
      </c>
    </row>
    <row r="40" spans="1:18" s="1364" customFormat="1" ht="12.75" hidden="1" customHeight="1" outlineLevel="1">
      <c r="A40" s="1372"/>
      <c r="B40" s="1372" t="s">
        <v>693</v>
      </c>
      <c r="C40" s="1372"/>
      <c r="D40" s="1372"/>
      <c r="E40" s="1372"/>
      <c r="F40" s="1372"/>
      <c r="G40" s="1406">
        <f>SUM(G38:G39)</f>
        <v>212.43553089328054</v>
      </c>
      <c r="H40" s="1407">
        <f t="shared" ref="H40:R40" si="13">SUM(H38:H39)</f>
        <v>174.45327519326221</v>
      </c>
      <c r="I40" s="1408">
        <f t="shared" si="13"/>
        <v>149.21512432752948</v>
      </c>
      <c r="J40" s="1406">
        <f t="shared" si="13"/>
        <v>221.86702764181319</v>
      </c>
      <c r="K40" s="1407">
        <f t="shared" si="13"/>
        <v>179.99524347477521</v>
      </c>
      <c r="L40" s="1408">
        <f t="shared" si="13"/>
        <v>152.76913821467329</v>
      </c>
      <c r="M40" s="1406">
        <f t="shared" si="13"/>
        <v>232.64588106870767</v>
      </c>
      <c r="N40" s="1407">
        <f t="shared" si="13"/>
        <v>186.15298600978963</v>
      </c>
      <c r="O40" s="1408">
        <f t="shared" si="13"/>
        <v>156.64624427337563</v>
      </c>
      <c r="P40" s="1407">
        <f t="shared" si="13"/>
        <v>245.08301963820125</v>
      </c>
      <c r="Q40" s="1407">
        <f t="shared" si="13"/>
        <v>193.03516884304102</v>
      </c>
      <c r="R40" s="1408">
        <f t="shared" si="13"/>
        <v>160.89259852814484</v>
      </c>
    </row>
    <row r="41" spans="1:18" s="1402" customFormat="1" ht="18" hidden="1" customHeight="1" outlineLevel="1">
      <c r="A41" s="1399"/>
      <c r="B41" s="1399" t="s">
        <v>694</v>
      </c>
      <c r="C41" s="1399"/>
      <c r="D41" s="1399"/>
      <c r="E41" s="1399"/>
      <c r="F41" s="1399"/>
      <c r="G41" s="1412">
        <f t="shared" ref="G41:R41" ca="1" si="14">G40/G49</f>
        <v>30.665846409198309</v>
      </c>
      <c r="H41" s="1413">
        <f t="shared" ca="1" si="14"/>
        <v>25.234106553776069</v>
      </c>
      <c r="I41" s="1414">
        <f t="shared" ca="1" si="14"/>
        <v>21.624866728283195</v>
      </c>
      <c r="J41" s="1412">
        <f t="shared" ca="1" si="14"/>
        <v>32.014619299094505</v>
      </c>
      <c r="K41" s="1413">
        <f t="shared" ca="1" si="14"/>
        <v>26.026648477297623</v>
      </c>
      <c r="L41" s="1414">
        <f t="shared" ca="1" si="14"/>
        <v>22.133116660303791</v>
      </c>
      <c r="M41" s="1412">
        <f t="shared" ca="1" si="14"/>
        <v>33.556074030404453</v>
      </c>
      <c r="N41" s="1413">
        <f t="shared" ca="1" si="14"/>
        <v>26.907250614543791</v>
      </c>
      <c r="O41" s="1414">
        <f t="shared" ca="1" si="14"/>
        <v>22.687571131598986</v>
      </c>
      <c r="P41" s="1413">
        <f t="shared" ca="1" si="14"/>
        <v>35.334675643454375</v>
      </c>
      <c r="Q41" s="1413">
        <f t="shared" ca="1" si="14"/>
        <v>27.89145300323068</v>
      </c>
      <c r="R41" s="1414">
        <f t="shared" ca="1" si="14"/>
        <v>23.294830790636578</v>
      </c>
    </row>
    <row r="42" spans="1:18" s="1364" customFormat="1" ht="18" hidden="1" customHeight="1" outlineLevel="1">
      <c r="A42" s="1372"/>
      <c r="B42" s="1372" t="s">
        <v>695</v>
      </c>
      <c r="C42" s="1372"/>
      <c r="D42" s="1372"/>
      <c r="E42" s="1372"/>
      <c r="F42" s="1372"/>
      <c r="G42" s="1415">
        <f t="shared" ref="G42:R42" si="15">G37/G38</f>
        <v>0.71826758732674811</v>
      </c>
      <c r="H42" s="1416">
        <f t="shared" si="15"/>
        <v>0.66292078393810883</v>
      </c>
      <c r="I42" s="1417">
        <f t="shared" si="15"/>
        <v>0.61245047306349787</v>
      </c>
      <c r="J42" s="1415">
        <f t="shared" si="15"/>
        <v>0.73210188696274325</v>
      </c>
      <c r="K42" s="1416">
        <f t="shared" si="15"/>
        <v>0.67535820441606986</v>
      </c>
      <c r="L42" s="1417">
        <f t="shared" si="15"/>
        <v>0.62365100324481271</v>
      </c>
      <c r="M42" s="1415">
        <f t="shared" si="15"/>
        <v>0.74633726426135205</v>
      </c>
      <c r="N42" s="1416">
        <f t="shared" si="15"/>
        <v>0.68814349603554181</v>
      </c>
      <c r="O42" s="1417">
        <f t="shared" si="15"/>
        <v>0.63515396205877339</v>
      </c>
      <c r="P42" s="1416">
        <f t="shared" si="15"/>
        <v>0.76099141756279232</v>
      </c>
      <c r="Q42" s="1416">
        <f t="shared" si="15"/>
        <v>0.70129146058394642</v>
      </c>
      <c r="R42" s="1417">
        <f t="shared" si="15"/>
        <v>0.64697176607654516</v>
      </c>
    </row>
    <row r="43" spans="1:18" s="1364" customFormat="1" ht="12.75" hidden="1" customHeight="1" outlineLevel="1">
      <c r="A43" s="1372" t="s">
        <v>689</v>
      </c>
      <c r="B43" s="1372" t="s">
        <v>698</v>
      </c>
      <c r="C43" s="1372"/>
      <c r="D43" s="1372"/>
      <c r="E43" s="1372"/>
      <c r="F43" s="1372"/>
      <c r="G43" s="1425">
        <f>(G37*((1+G35)^($R$55)))/$N$10</f>
        <v>6.7152223837209277</v>
      </c>
      <c r="H43" s="1426">
        <f t="shared" ref="H43:R43" si="16">(H37*((1+H35)^($R$55)))/$N$10</f>
        <v>5.3721779069767424</v>
      </c>
      <c r="I43" s="1427">
        <f t="shared" si="16"/>
        <v>4.4768149224806182</v>
      </c>
      <c r="J43" s="1425">
        <f t="shared" si="16"/>
        <v>7.1980161498707993</v>
      </c>
      <c r="K43" s="1426">
        <f t="shared" si="16"/>
        <v>5.6826443288453685</v>
      </c>
      <c r="L43" s="1427">
        <f t="shared" si="16"/>
        <v>4.6943583586113906</v>
      </c>
      <c r="M43" s="1425">
        <f t="shared" si="16"/>
        <v>7.7497804540420807</v>
      </c>
      <c r="N43" s="1426">
        <f t="shared" si="16"/>
        <v>6.0276070198105067</v>
      </c>
      <c r="O43" s="1427">
        <f t="shared" si="16"/>
        <v>4.9316784707540515</v>
      </c>
      <c r="P43" s="1426">
        <f t="shared" si="16"/>
        <v>8.3864315742397118</v>
      </c>
      <c r="Q43" s="1426">
        <f t="shared" si="16"/>
        <v>6.4131535567715439</v>
      </c>
      <c r="R43" s="1427">
        <f t="shared" si="16"/>
        <v>5.1916004983388691</v>
      </c>
    </row>
    <row r="44" spans="1:18" s="1364" customFormat="1" ht="12.75" customHeight="1" collapsed="1">
      <c r="A44" s="1372"/>
      <c r="B44" s="1372"/>
      <c r="C44" s="1372"/>
      <c r="D44" s="1372"/>
      <c r="E44" s="1372"/>
      <c r="F44" s="1372"/>
      <c r="G44" s="1421"/>
      <c r="H44" s="1422"/>
      <c r="I44" s="1422"/>
      <c r="J44" s="1422"/>
      <c r="K44" s="1422"/>
      <c r="L44" s="1422"/>
      <c r="M44" s="1422"/>
      <c r="N44" s="1422"/>
      <c r="O44" s="1422"/>
      <c r="P44" s="1422"/>
      <c r="Q44" s="1422"/>
      <c r="R44" s="1422"/>
    </row>
    <row r="45" spans="1:18" s="1364" customFormat="1" ht="12.75" customHeight="1">
      <c r="B45" s="1428" t="str">
        <f>"Note: Present values as of "&amp;TEXT($C$53,"mmmm d, yyyy.")</f>
        <v>Note: Present values as of December 31, 2019.</v>
      </c>
      <c r="C45" s="1429"/>
      <c r="D45" s="1429"/>
      <c r="E45" s="1429"/>
      <c r="F45" s="1429"/>
      <c r="G45" s="1429"/>
      <c r="H45" s="1429"/>
      <c r="I45" s="1429"/>
      <c r="J45" s="1429"/>
      <c r="K45" s="1429"/>
      <c r="L45" s="1429"/>
      <c r="M45" s="1429"/>
      <c r="N45" s="1429"/>
      <c r="O45" s="1429"/>
      <c r="P45" s="1430"/>
      <c r="Q45" s="1430"/>
      <c r="R45" s="1430"/>
    </row>
    <row r="46" spans="1:18" s="1364" customFormat="1" ht="12.75" customHeight="1">
      <c r="B46" s="1481" t="str">
        <f>"(a) "&amp;tarnetdebtfn</f>
        <v>(a) Net cash represents total cash less debt and minority interest as of March 31, 2019.</v>
      </c>
      <c r="C46" s="1431"/>
      <c r="D46" s="1431"/>
      <c r="E46" s="1431"/>
      <c r="F46" s="1431"/>
      <c r="G46" s="1431"/>
      <c r="H46" s="1431"/>
      <c r="I46" s="1431"/>
      <c r="J46" s="1431"/>
      <c r="K46" s="1431"/>
      <c r="L46" s="1431"/>
      <c r="M46" s="1431"/>
      <c r="N46" s="1431"/>
      <c r="O46" s="1431"/>
    </row>
    <row r="47" spans="1:18" s="1364" customFormat="1" ht="12.75" customHeight="1">
      <c r="A47" s="1372"/>
      <c r="B47" s="1372"/>
      <c r="C47" s="1372"/>
      <c r="D47" s="1372"/>
      <c r="E47" s="1372"/>
      <c r="F47" s="1372"/>
      <c r="G47" s="1432"/>
      <c r="H47" s="1432"/>
      <c r="I47" s="1432"/>
      <c r="J47" s="1432"/>
      <c r="K47" s="1432"/>
      <c r="L47" s="1432"/>
      <c r="M47" s="1432"/>
      <c r="N47" s="1432"/>
      <c r="O47" s="1432"/>
      <c r="P47" s="1432"/>
      <c r="Q47" s="1432"/>
      <c r="R47" s="1432"/>
    </row>
    <row r="48" spans="1:18" s="1364" customFormat="1" ht="12.75" customHeight="1">
      <c r="B48" s="1364" t="s">
        <v>699</v>
      </c>
      <c r="G48" s="1471">
        <f ca="1">tshares+G67</f>
        <v>6.9386671325960743</v>
      </c>
      <c r="H48" s="1471">
        <f t="shared" ref="H48:R48" ca="1" si="17">tshares+H67</f>
        <v>6.9346706078578393</v>
      </c>
      <c r="I48" s="1471">
        <f t="shared" ca="1" si="17"/>
        <v>6.9305236330286597</v>
      </c>
      <c r="J48" s="1471">
        <f t="shared" ca="1" si="17"/>
        <v>6.9424523150346333</v>
      </c>
      <c r="K48" s="1471">
        <f t="shared" ca="1" si="17"/>
        <v>6.9386656310036798</v>
      </c>
      <c r="L48" s="1471">
        <f t="shared" ca="1" si="17"/>
        <v>6.9347272801696738</v>
      </c>
      <c r="M48" s="1471">
        <f t="shared" ca="1" si="17"/>
        <v>6.9457414583604908</v>
      </c>
      <c r="N48" s="1471">
        <f t="shared" ca="1" si="17"/>
        <v>6.9421455961256031</v>
      </c>
      <c r="O48" s="1471">
        <f t="shared" ca="1" si="17"/>
        <v>6.9383981172541054</v>
      </c>
      <c r="P48" s="1471">
        <f t="shared" ca="1" si="17"/>
        <v>6.9486260735375076</v>
      </c>
      <c r="Q48" s="1471">
        <f t="shared" ca="1" si="17"/>
        <v>6.9452040769499845</v>
      </c>
      <c r="R48" s="1471">
        <f t="shared" ca="1" si="17"/>
        <v>6.941631407115243</v>
      </c>
    </row>
    <row r="49" spans="1:21" s="1364" customFormat="1" ht="12.75" customHeight="1">
      <c r="B49" s="1364" t="s">
        <v>700</v>
      </c>
      <c r="G49" s="1471">
        <f t="shared" ref="G49:R49" ca="1" si="18">tshares+G79</f>
        <v>6.927430864245113</v>
      </c>
      <c r="H49" s="1471">
        <f t="shared" ca="1" si="18"/>
        <v>6.9133921909019111</v>
      </c>
      <c r="I49" s="1471">
        <f t="shared" ca="1" si="18"/>
        <v>6.9001638808886065</v>
      </c>
      <c r="J49" s="1471">
        <f t="shared" ca="1" si="18"/>
        <v>6.9301785402798286</v>
      </c>
      <c r="K49" s="1471">
        <f t="shared" ca="1" si="18"/>
        <v>6.9158056840003983</v>
      </c>
      <c r="L49" s="1471">
        <f t="shared" ca="1" si="18"/>
        <v>6.9022876696198843</v>
      </c>
      <c r="M49" s="1471">
        <f t="shared" ca="1" si="18"/>
        <v>6.9330482719138162</v>
      </c>
      <c r="N49" s="1471">
        <f t="shared" ca="1" si="18"/>
        <v>6.9183205923377029</v>
      </c>
      <c r="O49" s="1471">
        <f t="shared" ca="1" si="18"/>
        <v>6.9044960064147443</v>
      </c>
      <c r="P49" s="1471">
        <f t="shared" ca="1" si="18"/>
        <v>6.9360483767056174</v>
      </c>
      <c r="Q49" s="1471">
        <f t="shared" ca="1" si="18"/>
        <v>6.9209434453157268</v>
      </c>
      <c r="R49" s="1471">
        <f t="shared" ca="1" si="18"/>
        <v>6.9067940426000467</v>
      </c>
    </row>
    <row r="50" spans="1:21" s="1364" customFormat="1" ht="12.75" customHeight="1">
      <c r="A50" s="1372"/>
      <c r="B50" s="1372"/>
      <c r="C50" s="1372"/>
      <c r="D50" s="1372"/>
      <c r="E50" s="1372"/>
      <c r="F50" s="1372"/>
      <c r="G50" s="1372"/>
      <c r="H50" s="1372"/>
      <c r="I50" s="1372"/>
      <c r="J50" s="1372"/>
      <c r="K50" s="1372"/>
      <c r="L50" s="1372"/>
      <c r="M50" s="1372"/>
      <c r="N50" s="1372"/>
      <c r="O50" s="1372"/>
      <c r="P50" s="1372"/>
      <c r="Q50" s="1372"/>
      <c r="R50" s="1372"/>
    </row>
    <row r="51" spans="1:21" s="1364" customFormat="1" ht="15.6" customHeight="1" thickBot="1">
      <c r="B51" s="1433" t="s">
        <v>701</v>
      </c>
      <c r="C51" s="1434"/>
      <c r="D51" s="1434"/>
      <c r="E51" s="1434"/>
      <c r="F51" s="1434"/>
      <c r="G51" s="1434"/>
      <c r="H51" s="1434"/>
      <c r="I51" s="1434"/>
      <c r="J51" s="1434"/>
      <c r="K51" s="1434"/>
      <c r="L51" s="1434"/>
      <c r="M51" s="1434"/>
      <c r="N51" s="1434"/>
      <c r="O51" s="1434"/>
      <c r="P51" s="1434"/>
      <c r="Q51" s="1434"/>
      <c r="R51" s="1434"/>
    </row>
    <row r="52" spans="1:21" s="1364" customFormat="1" ht="12.75" customHeight="1">
      <c r="B52" s="1435"/>
    </row>
    <row r="53" spans="1:21" s="1364" customFormat="1" ht="12.75" customHeight="1">
      <c r="B53" s="1436" t="s">
        <v>702</v>
      </c>
      <c r="C53" s="1482">
        <f>DATE(YEAR(tfye)+1,MONTH(tfye),DAY(tfye))</f>
        <v>43830</v>
      </c>
      <c r="E53" s="1437">
        <v>1</v>
      </c>
      <c r="F53" s="1436" t="str">
        <f>INDEX(F54:F55,tdiscconvention)</f>
        <v>End-of-Year Convention</v>
      </c>
      <c r="G53" s="1438"/>
      <c r="H53" s="1439"/>
      <c r="J53" s="1440">
        <f>INDEX(J54:J55,tdiscconvention)</f>
        <v>44196</v>
      </c>
      <c r="K53" s="1441">
        <f>INDEX(K54:K55,tdiscconvention)</f>
        <v>44561</v>
      </c>
      <c r="L53" s="1441">
        <f>INDEX(L54:L55,tdiscconvention)</f>
        <v>44926</v>
      </c>
      <c r="M53" s="1441">
        <f>INDEX(M54:M55,tdiscconvention)</f>
        <v>45291</v>
      </c>
      <c r="N53" s="1442">
        <f>INDEX(N54:N55,tdiscconvention)</f>
        <v>45657</v>
      </c>
      <c r="O53"/>
      <c r="P53" s="1443" t="s">
        <v>703</v>
      </c>
      <c r="Q53" s="1430"/>
      <c r="R53" s="1444"/>
    </row>
    <row r="54" spans="1:21" s="1364" customFormat="1" ht="12.75" customHeight="1">
      <c r="E54" s="1445">
        <v>1</v>
      </c>
      <c r="F54" s="1364" t="s">
        <v>704</v>
      </c>
      <c r="J54" s="1483">
        <f>DATE(YEAR(tfye)+2,MONTH(tfye),DAY(tfye))</f>
        <v>44196</v>
      </c>
      <c r="K54" s="1362">
        <f>DATE(YEAR(J54)+1,MONTH(J54),DAY(J54))</f>
        <v>44561</v>
      </c>
      <c r="L54" s="1362">
        <f t="shared" ref="L54:N55" si="19">DATE(YEAR(K54)+1,MONTH(K54),DAY(K54))</f>
        <v>44926</v>
      </c>
      <c r="M54" s="1362">
        <f t="shared" si="19"/>
        <v>45291</v>
      </c>
      <c r="N54" s="1362">
        <f t="shared" si="19"/>
        <v>45657</v>
      </c>
      <c r="P54" s="1446" t="s">
        <v>705</v>
      </c>
      <c r="R54" s="1447">
        <f>+(J53-C53)/365</f>
        <v>1.0027397260273974</v>
      </c>
    </row>
    <row r="55" spans="1:21" s="1364" customFormat="1" ht="12.75" customHeight="1">
      <c r="E55" s="1445">
        <v>2</v>
      </c>
      <c r="F55" s="1364" t="s">
        <v>706</v>
      </c>
      <c r="J55" s="1483">
        <f>DATE(YEAR(tfye)+1,MONTH(tfye)+6,DAY(tfye))</f>
        <v>44013</v>
      </c>
      <c r="K55" s="1362">
        <f>DATE(YEAR(J55)+1,MONTH(J55),DAY(J55))</f>
        <v>44378</v>
      </c>
      <c r="L55" s="1362">
        <f t="shared" si="19"/>
        <v>44743</v>
      </c>
      <c r="M55" s="1362">
        <f t="shared" si="19"/>
        <v>45108</v>
      </c>
      <c r="N55" s="1362">
        <f t="shared" si="19"/>
        <v>45474</v>
      </c>
      <c r="P55" s="1448" t="s">
        <v>707</v>
      </c>
      <c r="Q55" s="1449"/>
      <c r="R55" s="1450">
        <f>+(MAX(J53:N53)-C53)/365</f>
        <v>5.0054794520547947</v>
      </c>
    </row>
    <row r="56" spans="1:21" s="1364" customFormat="1" ht="12.75" customHeight="1">
      <c r="B56" s="1431"/>
      <c r="C56" s="1451"/>
      <c r="D56" s="1451"/>
      <c r="E56" s="1451"/>
      <c r="F56" s="1451"/>
      <c r="P56" s="1372"/>
      <c r="R56" s="1452"/>
    </row>
    <row r="57" spans="1:21" s="1364" customFormat="1" ht="12.75" customHeight="1">
      <c r="A57" s="1372"/>
    </row>
    <row r="58" spans="1:21" s="1364" customFormat="1" ht="15.6" customHeight="1" thickBot="1">
      <c r="B58" s="1433" t="s">
        <v>708</v>
      </c>
      <c r="C58" s="1434"/>
      <c r="D58" s="1434"/>
      <c r="E58" s="1434"/>
      <c r="F58" s="1434"/>
      <c r="G58" s="1434"/>
      <c r="H58" s="1434"/>
      <c r="I58" s="1434"/>
      <c r="J58" s="1434"/>
      <c r="K58" s="1434"/>
      <c r="L58" s="1434"/>
      <c r="M58" s="1434"/>
      <c r="N58" s="1434"/>
      <c r="O58" s="1434"/>
      <c r="P58" s="1434"/>
      <c r="Q58" s="1434"/>
      <c r="R58" s="1434"/>
    </row>
    <row r="59" spans="1:21" s="1364" customFormat="1" ht="18" customHeight="1">
      <c r="B59" s="1453" t="s">
        <v>709</v>
      </c>
      <c r="C59" s="1454"/>
      <c r="D59" s="1451"/>
      <c r="E59" s="1451"/>
      <c r="F59" s="1451"/>
      <c r="G59" s="1455" t="s">
        <v>710</v>
      </c>
      <c r="H59" s="1456"/>
      <c r="I59" s="1449"/>
      <c r="J59" s="1449"/>
      <c r="K59" s="1449"/>
      <c r="L59" s="1449"/>
      <c r="M59" s="1449"/>
      <c r="N59" s="1449"/>
      <c r="O59" s="1449"/>
      <c r="P59" s="1449"/>
      <c r="Q59" s="1449"/>
      <c r="R59" s="1449"/>
    </row>
    <row r="60" spans="1:21" s="1364" customFormat="1" ht="12.75" customHeight="1">
      <c r="B60" s="1457" t="s">
        <v>171</v>
      </c>
      <c r="C60" s="1457" t="s">
        <v>248</v>
      </c>
      <c r="E60" s="1451"/>
      <c r="F60" s="1451"/>
      <c r="G60" s="1458">
        <f ca="1">G29</f>
        <v>37.048791518150381</v>
      </c>
      <c r="H60" s="1458">
        <f t="shared" ref="H60:R60" ca="1" si="20">H29</f>
        <v>34.495014971805531</v>
      </c>
      <c r="I60" s="1458">
        <f t="shared" ca="1" si="20"/>
        <v>32.192450605113414</v>
      </c>
      <c r="J60" s="1458">
        <f t="shared" ca="1" si="20"/>
        <v>39.842474834843223</v>
      </c>
      <c r="K60" s="1458">
        <f t="shared" ca="1" si="20"/>
        <v>37.047760994230195</v>
      </c>
      <c r="L60" s="1458">
        <f t="shared" ca="1" si="20"/>
        <v>34.528765324878478</v>
      </c>
      <c r="M60" s="1458">
        <f t="shared" ca="1" si="20"/>
        <v>42.636158151536073</v>
      </c>
      <c r="N60" s="1458">
        <f t="shared" ca="1" si="20"/>
        <v>39.600507016654859</v>
      </c>
      <c r="O60" s="1458">
        <f t="shared" ca="1" si="20"/>
        <v>36.865080044643541</v>
      </c>
      <c r="P60" s="1458">
        <f t="shared" ca="1" si="20"/>
        <v>45.429841468228901</v>
      </c>
      <c r="Q60" s="1458">
        <f t="shared" ca="1" si="20"/>
        <v>42.153253039079523</v>
      </c>
      <c r="R60" s="1458">
        <f t="shared" ca="1" si="20"/>
        <v>39.201394764408597</v>
      </c>
      <c r="T60" s="1458"/>
    </row>
    <row r="61" spans="1:21" s="1364" customFormat="1" ht="12.75" customHeight="1">
      <c r="B61" s="1484">
        <f>Inputs!K25</f>
        <v>0.1</v>
      </c>
      <c r="C61" s="1485">
        <f>Inputs!L25</f>
        <v>20</v>
      </c>
      <c r="E61" s="1451"/>
      <c r="F61" s="1459"/>
      <c r="G61" s="1460">
        <f ca="1">IF($C61&lt;G$60,(G$60-$C61)*$B61/G$60,0)</f>
        <v>4.6017132596074276E-2</v>
      </c>
      <c r="H61" s="1460">
        <f t="shared" ref="H61:R61" ca="1" si="21">IF($C61&lt;H$60,(H$60-$C61)*$B61/H$60,0)</f>
        <v>4.2020607857839808E-2</v>
      </c>
      <c r="I61" s="1460">
        <f t="shared" ca="1" si="21"/>
        <v>3.787363302866039E-2</v>
      </c>
      <c r="J61" s="1460">
        <f t="shared" ca="1" si="21"/>
        <v>4.9802315034633574E-2</v>
      </c>
      <c r="K61" s="1460">
        <f t="shared" ca="1" si="21"/>
        <v>4.6015631003679842E-2</v>
      </c>
      <c r="L61" s="1460">
        <f t="shared" ca="1" si="21"/>
        <v>4.2077280169674332E-2</v>
      </c>
      <c r="M61" s="1460">
        <f t="shared" ca="1" si="21"/>
        <v>5.3091458360491492E-2</v>
      </c>
      <c r="N61" s="1460">
        <f t="shared" ca="1" si="21"/>
        <v>4.9495596125603739E-2</v>
      </c>
      <c r="O61" s="1460">
        <f t="shared" ca="1" si="21"/>
        <v>4.5748117254105949E-2</v>
      </c>
      <c r="P61" s="1460">
        <f t="shared" ca="1" si="21"/>
        <v>5.597607353750754E-2</v>
      </c>
      <c r="Q61" s="1460">
        <f t="shared" ca="1" si="21"/>
        <v>5.2554076949984485E-2</v>
      </c>
      <c r="R61" s="1460">
        <f t="shared" ca="1" si="21"/>
        <v>4.8981407115243181E-2</v>
      </c>
      <c r="T61" s="1461"/>
      <c r="U61" s="1372"/>
    </row>
    <row r="62" spans="1:21" s="1364" customFormat="1" ht="12.75" customHeight="1">
      <c r="B62" s="1486">
        <f>Inputs!K26</f>
        <v>0</v>
      </c>
      <c r="C62" s="1487">
        <f>Inputs!L26</f>
        <v>0</v>
      </c>
      <c r="E62" s="1451"/>
      <c r="F62" s="1459"/>
      <c r="G62" s="1461">
        <f t="shared" ref="G62:R66" ca="1" si="22">IF($C62&lt;G$60,(G$60-$C62)*$B62/G$60,0)</f>
        <v>0</v>
      </c>
      <c r="H62" s="1461">
        <f t="shared" ca="1" si="22"/>
        <v>0</v>
      </c>
      <c r="I62" s="1461">
        <f t="shared" ca="1" si="22"/>
        <v>0</v>
      </c>
      <c r="J62" s="1461">
        <f t="shared" ca="1" si="22"/>
        <v>0</v>
      </c>
      <c r="K62" s="1461">
        <f t="shared" ca="1" si="22"/>
        <v>0</v>
      </c>
      <c r="L62" s="1461">
        <f t="shared" ca="1" si="22"/>
        <v>0</v>
      </c>
      <c r="M62" s="1461">
        <f t="shared" ca="1" si="22"/>
        <v>0</v>
      </c>
      <c r="N62" s="1461">
        <f t="shared" ca="1" si="22"/>
        <v>0</v>
      </c>
      <c r="O62" s="1461">
        <f t="shared" ca="1" si="22"/>
        <v>0</v>
      </c>
      <c r="P62" s="1461">
        <f t="shared" ca="1" si="22"/>
        <v>0</v>
      </c>
      <c r="Q62" s="1461">
        <f t="shared" ca="1" si="22"/>
        <v>0</v>
      </c>
      <c r="R62" s="1461">
        <f t="shared" ca="1" si="22"/>
        <v>0</v>
      </c>
      <c r="T62" s="1461"/>
      <c r="U62" s="1372"/>
    </row>
    <row r="63" spans="1:21" s="1364" customFormat="1" ht="12.75" customHeight="1">
      <c r="B63" s="1486">
        <f>Inputs!K27</f>
        <v>0</v>
      </c>
      <c r="C63" s="1487">
        <f>Inputs!L27</f>
        <v>0</v>
      </c>
      <c r="E63" s="1451"/>
      <c r="F63" s="1459"/>
      <c r="G63" s="1461">
        <f t="shared" ca="1" si="22"/>
        <v>0</v>
      </c>
      <c r="H63" s="1461">
        <f t="shared" ca="1" si="22"/>
        <v>0</v>
      </c>
      <c r="I63" s="1461">
        <f t="shared" ca="1" si="22"/>
        <v>0</v>
      </c>
      <c r="J63" s="1461">
        <f t="shared" ca="1" si="22"/>
        <v>0</v>
      </c>
      <c r="K63" s="1461">
        <f t="shared" ca="1" si="22"/>
        <v>0</v>
      </c>
      <c r="L63" s="1461">
        <f t="shared" ca="1" si="22"/>
        <v>0</v>
      </c>
      <c r="M63" s="1461">
        <f t="shared" ca="1" si="22"/>
        <v>0</v>
      </c>
      <c r="N63" s="1461">
        <f t="shared" ca="1" si="22"/>
        <v>0</v>
      </c>
      <c r="O63" s="1461">
        <f t="shared" ca="1" si="22"/>
        <v>0</v>
      </c>
      <c r="P63" s="1461">
        <f t="shared" ca="1" si="22"/>
        <v>0</v>
      </c>
      <c r="Q63" s="1461">
        <f t="shared" ca="1" si="22"/>
        <v>0</v>
      </c>
      <c r="R63" s="1461">
        <f t="shared" ca="1" si="22"/>
        <v>0</v>
      </c>
      <c r="T63" s="1461"/>
      <c r="U63" s="1372"/>
    </row>
    <row r="64" spans="1:21" s="1364" customFormat="1" ht="12.75" customHeight="1">
      <c r="B64" s="1486">
        <f>Inputs!K28</f>
        <v>0</v>
      </c>
      <c r="C64" s="1487">
        <f>Inputs!L28</f>
        <v>0</v>
      </c>
      <c r="E64" s="1451"/>
      <c r="F64" s="1459"/>
      <c r="G64" s="1461">
        <f t="shared" ca="1" si="22"/>
        <v>0</v>
      </c>
      <c r="H64" s="1461">
        <f t="shared" ca="1" si="22"/>
        <v>0</v>
      </c>
      <c r="I64" s="1461">
        <f t="shared" ca="1" si="22"/>
        <v>0</v>
      </c>
      <c r="J64" s="1461">
        <f t="shared" ca="1" si="22"/>
        <v>0</v>
      </c>
      <c r="K64" s="1461">
        <f t="shared" ca="1" si="22"/>
        <v>0</v>
      </c>
      <c r="L64" s="1461">
        <f t="shared" ca="1" si="22"/>
        <v>0</v>
      </c>
      <c r="M64" s="1461">
        <f t="shared" ca="1" si="22"/>
        <v>0</v>
      </c>
      <c r="N64" s="1461">
        <f t="shared" ca="1" si="22"/>
        <v>0</v>
      </c>
      <c r="O64" s="1461">
        <f t="shared" ca="1" si="22"/>
        <v>0</v>
      </c>
      <c r="P64" s="1461">
        <f t="shared" ca="1" si="22"/>
        <v>0</v>
      </c>
      <c r="Q64" s="1461">
        <f t="shared" ca="1" si="22"/>
        <v>0</v>
      </c>
      <c r="R64" s="1461">
        <f t="shared" ca="1" si="22"/>
        <v>0</v>
      </c>
      <c r="T64" s="1461"/>
      <c r="U64" s="1372"/>
    </row>
    <row r="65" spans="1:21" s="1364" customFormat="1" ht="12.75" customHeight="1">
      <c r="B65" s="1486">
        <f>Inputs!K29</f>
        <v>0</v>
      </c>
      <c r="C65" s="1487">
        <f>Inputs!L29</f>
        <v>0</v>
      </c>
      <c r="E65" s="1451"/>
      <c r="F65" s="1459"/>
      <c r="G65" s="1461">
        <f t="shared" ca="1" si="22"/>
        <v>0</v>
      </c>
      <c r="H65" s="1461">
        <f t="shared" ca="1" si="22"/>
        <v>0</v>
      </c>
      <c r="I65" s="1461">
        <f t="shared" ca="1" si="22"/>
        <v>0</v>
      </c>
      <c r="J65" s="1461">
        <f t="shared" ca="1" si="22"/>
        <v>0</v>
      </c>
      <c r="K65" s="1461">
        <f t="shared" ca="1" si="22"/>
        <v>0</v>
      </c>
      <c r="L65" s="1461">
        <f t="shared" ca="1" si="22"/>
        <v>0</v>
      </c>
      <c r="M65" s="1461">
        <f t="shared" ca="1" si="22"/>
        <v>0</v>
      </c>
      <c r="N65" s="1461">
        <f t="shared" ca="1" si="22"/>
        <v>0</v>
      </c>
      <c r="O65" s="1461">
        <f t="shared" ca="1" si="22"/>
        <v>0</v>
      </c>
      <c r="P65" s="1461">
        <f t="shared" ca="1" si="22"/>
        <v>0</v>
      </c>
      <c r="Q65" s="1461">
        <f t="shared" ca="1" si="22"/>
        <v>0</v>
      </c>
      <c r="R65" s="1461">
        <f t="shared" ca="1" si="22"/>
        <v>0</v>
      </c>
      <c r="T65" s="1461"/>
      <c r="U65" s="1372"/>
    </row>
    <row r="66" spans="1:21" s="1364" customFormat="1" ht="12.75" customHeight="1">
      <c r="B66" s="1486">
        <f>Inputs!K30</f>
        <v>0</v>
      </c>
      <c r="C66" s="1487">
        <f>Inputs!L30</f>
        <v>0</v>
      </c>
      <c r="E66" s="1451"/>
      <c r="F66" s="1459"/>
      <c r="G66" s="1461">
        <f t="shared" ca="1" si="22"/>
        <v>0</v>
      </c>
      <c r="H66" s="1461">
        <f t="shared" ca="1" si="22"/>
        <v>0</v>
      </c>
      <c r="I66" s="1461">
        <f t="shared" ca="1" si="22"/>
        <v>0</v>
      </c>
      <c r="J66" s="1461">
        <f t="shared" ca="1" si="22"/>
        <v>0</v>
      </c>
      <c r="K66" s="1461">
        <f t="shared" ca="1" si="22"/>
        <v>0</v>
      </c>
      <c r="L66" s="1461">
        <f t="shared" ca="1" si="22"/>
        <v>0</v>
      </c>
      <c r="M66" s="1461">
        <f t="shared" ca="1" si="22"/>
        <v>0</v>
      </c>
      <c r="N66" s="1461">
        <f t="shared" ca="1" si="22"/>
        <v>0</v>
      </c>
      <c r="O66" s="1461">
        <f t="shared" ca="1" si="22"/>
        <v>0</v>
      </c>
      <c r="P66" s="1461">
        <f t="shared" ca="1" si="22"/>
        <v>0</v>
      </c>
      <c r="Q66" s="1461">
        <f t="shared" ca="1" si="22"/>
        <v>0</v>
      </c>
      <c r="R66" s="1461">
        <f t="shared" ca="1" si="22"/>
        <v>0</v>
      </c>
      <c r="T66" s="1461"/>
      <c r="U66" s="1372"/>
    </row>
    <row r="67" spans="1:21" s="1364" customFormat="1" ht="12.75" customHeight="1">
      <c r="B67" s="1460">
        <f>SUM(B61:B66)</f>
        <v>0.1</v>
      </c>
      <c r="C67" s="1462">
        <f>SUMPRODUCT(B61:B66,C61:C66)/B67</f>
        <v>20</v>
      </c>
      <c r="E67" s="1451"/>
      <c r="F67" s="1451"/>
      <c r="G67" s="1460">
        <f t="shared" ref="G67:R67" ca="1" si="23">SUM(G61:G66)</f>
        <v>4.6017132596074276E-2</v>
      </c>
      <c r="H67" s="1460">
        <f t="shared" ca="1" si="23"/>
        <v>4.2020607857839808E-2</v>
      </c>
      <c r="I67" s="1460">
        <f t="shared" ca="1" si="23"/>
        <v>3.787363302866039E-2</v>
      </c>
      <c r="J67" s="1460">
        <f t="shared" ca="1" si="23"/>
        <v>4.9802315034633574E-2</v>
      </c>
      <c r="K67" s="1460">
        <f t="shared" ca="1" si="23"/>
        <v>4.6015631003679842E-2</v>
      </c>
      <c r="L67" s="1460">
        <f t="shared" ca="1" si="23"/>
        <v>4.2077280169674332E-2</v>
      </c>
      <c r="M67" s="1460">
        <f t="shared" ca="1" si="23"/>
        <v>5.3091458360491492E-2</v>
      </c>
      <c r="N67" s="1460">
        <f t="shared" ca="1" si="23"/>
        <v>4.9495596125603739E-2</v>
      </c>
      <c r="O67" s="1460">
        <f t="shared" ca="1" si="23"/>
        <v>4.5748117254105949E-2</v>
      </c>
      <c r="P67" s="1460">
        <f t="shared" ca="1" si="23"/>
        <v>5.597607353750754E-2</v>
      </c>
      <c r="Q67" s="1460">
        <f t="shared" ca="1" si="23"/>
        <v>5.2554076949984485E-2</v>
      </c>
      <c r="R67" s="1460">
        <f t="shared" ca="1" si="23"/>
        <v>4.8981407115243181E-2</v>
      </c>
      <c r="T67" s="1461"/>
      <c r="U67" s="1372"/>
    </row>
    <row r="68" spans="1:21" s="1364" customFormat="1" ht="12.75" customHeight="1">
      <c r="A68" s="1372"/>
      <c r="B68" s="1372"/>
      <c r="C68" s="1372"/>
      <c r="D68" s="1372"/>
      <c r="E68" s="1372"/>
      <c r="F68" s="1372"/>
      <c r="G68" s="1461"/>
      <c r="H68" s="1461"/>
      <c r="I68" s="1461"/>
      <c r="J68" s="1461"/>
      <c r="K68" s="1461"/>
      <c r="L68" s="1461"/>
      <c r="M68" s="1461"/>
      <c r="N68" s="1461"/>
      <c r="O68" s="1461"/>
      <c r="P68" s="1461"/>
      <c r="Q68" s="1461"/>
      <c r="R68" s="1461"/>
    </row>
    <row r="69" spans="1:21" s="1364" customFormat="1" ht="12.75" customHeight="1">
      <c r="A69" s="1372"/>
      <c r="B69" s="1372"/>
      <c r="C69" s="1372"/>
      <c r="D69" s="1372"/>
      <c r="E69" s="1372"/>
      <c r="F69" s="1372"/>
      <c r="G69" s="1461"/>
      <c r="H69" s="1461"/>
      <c r="I69" s="1461"/>
      <c r="J69" s="1461"/>
      <c r="K69" s="1461"/>
      <c r="L69" s="1461"/>
      <c r="M69" s="1461"/>
      <c r="N69" s="1461"/>
      <c r="O69" s="1461"/>
      <c r="P69" s="1461"/>
      <c r="Q69" s="1461"/>
      <c r="R69" s="1461"/>
    </row>
    <row r="70" spans="1:21" s="1364" customFormat="1" ht="15.6" customHeight="1" thickBot="1">
      <c r="B70" s="1433" t="s">
        <v>711</v>
      </c>
      <c r="C70" s="1434"/>
      <c r="D70" s="1434"/>
      <c r="E70" s="1434"/>
      <c r="F70" s="1434"/>
      <c r="G70" s="1434"/>
      <c r="H70" s="1434"/>
      <c r="I70" s="1434"/>
      <c r="J70" s="1434"/>
      <c r="K70" s="1434"/>
      <c r="L70" s="1434"/>
      <c r="M70" s="1434"/>
      <c r="N70" s="1434"/>
      <c r="O70" s="1434"/>
      <c r="P70" s="1434"/>
      <c r="Q70" s="1434"/>
      <c r="R70" s="1434"/>
    </row>
    <row r="71" spans="1:21" s="1364" customFormat="1" ht="18" customHeight="1">
      <c r="B71" s="1453" t="s">
        <v>709</v>
      </c>
      <c r="C71" s="1454"/>
      <c r="D71" s="1451"/>
      <c r="E71" s="1451"/>
      <c r="F71" s="1451"/>
      <c r="G71" s="1455" t="s">
        <v>710</v>
      </c>
      <c r="H71" s="1456"/>
      <c r="I71" s="1449"/>
      <c r="J71" s="1449"/>
      <c r="K71" s="1449"/>
      <c r="L71" s="1449"/>
      <c r="M71" s="1449"/>
      <c r="N71" s="1449"/>
      <c r="O71" s="1449"/>
      <c r="P71" s="1449"/>
      <c r="Q71" s="1449"/>
      <c r="R71" s="1449"/>
    </row>
    <row r="72" spans="1:21" s="1364" customFormat="1" ht="12.75" customHeight="1">
      <c r="B72" s="1457" t="s">
        <v>171</v>
      </c>
      <c r="C72" s="1457" t="s">
        <v>248</v>
      </c>
      <c r="E72" s="1451"/>
      <c r="F72" s="1451"/>
      <c r="G72" s="1458">
        <f t="shared" ref="G72:R72" ca="1" si="24">G41</f>
        <v>30.665846409198309</v>
      </c>
      <c r="H72" s="1458">
        <f t="shared" ca="1" si="24"/>
        <v>25.234106553776069</v>
      </c>
      <c r="I72" s="1458">
        <f t="shared" ca="1" si="24"/>
        <v>21.624866728283195</v>
      </c>
      <c r="J72" s="1458">
        <f t="shared" ca="1" si="24"/>
        <v>32.014619299094505</v>
      </c>
      <c r="K72" s="1458">
        <f t="shared" ca="1" si="24"/>
        <v>26.026648477297623</v>
      </c>
      <c r="L72" s="1458">
        <f t="shared" ca="1" si="24"/>
        <v>22.133116660303791</v>
      </c>
      <c r="M72" s="1458">
        <f t="shared" ca="1" si="24"/>
        <v>33.556074030404453</v>
      </c>
      <c r="N72" s="1458">
        <f t="shared" ca="1" si="24"/>
        <v>26.907250614543791</v>
      </c>
      <c r="O72" s="1458">
        <f t="shared" ca="1" si="24"/>
        <v>22.687571131598986</v>
      </c>
      <c r="P72" s="1458">
        <f t="shared" ca="1" si="24"/>
        <v>35.334675643454375</v>
      </c>
      <c r="Q72" s="1458">
        <f t="shared" ca="1" si="24"/>
        <v>27.89145300323068</v>
      </c>
      <c r="R72" s="1458">
        <f t="shared" ca="1" si="24"/>
        <v>23.294830790636578</v>
      </c>
      <c r="T72" s="1458"/>
    </row>
    <row r="73" spans="1:21" s="1364" customFormat="1" ht="12.75" customHeight="1">
      <c r="B73" s="1460">
        <f t="shared" ref="B73:C78" si="25">B61</f>
        <v>0.1</v>
      </c>
      <c r="C73" s="1462">
        <f t="shared" si="25"/>
        <v>20</v>
      </c>
      <c r="E73" s="1451"/>
      <c r="F73" s="1459"/>
      <c r="G73" s="1460">
        <f ca="1">IF($C73&lt;G$72,(G$72-$C73)*$B73/G$72,0)</f>
        <v>3.4780864245113605E-2</v>
      </c>
      <c r="H73" s="1460">
        <f t="shared" ref="H73:R73" ca="1" si="26">IF($C73&lt;H$72,(H$72-$C73)*$B73/H$72,0)</f>
        <v>2.0742190901911799E-2</v>
      </c>
      <c r="I73" s="1460">
        <f t="shared" ca="1" si="26"/>
        <v>7.5138808886069533E-3</v>
      </c>
      <c r="J73" s="1460">
        <f t="shared" ca="1" si="26"/>
        <v>3.7528540279828743E-2</v>
      </c>
      <c r="K73" s="1460">
        <f t="shared" ca="1" si="26"/>
        <v>2.3155684000398722E-2</v>
      </c>
      <c r="L73" s="1460">
        <f t="shared" ca="1" si="26"/>
        <v>9.6376696198849435E-3</v>
      </c>
      <c r="M73" s="1460">
        <f t="shared" ca="1" si="26"/>
        <v>4.0398271913816799E-2</v>
      </c>
      <c r="N73" s="1460">
        <f t="shared" ca="1" si="26"/>
        <v>2.5670592337703631E-2</v>
      </c>
      <c r="O73" s="1460">
        <f t="shared" ca="1" si="26"/>
        <v>1.1846006414744717E-2</v>
      </c>
      <c r="P73" s="1460">
        <f t="shared" ca="1" si="26"/>
        <v>4.3398376705617421E-2</v>
      </c>
      <c r="Q73" s="1460">
        <f t="shared" ca="1" si="26"/>
        <v>2.8293445315726685E-2</v>
      </c>
      <c r="R73" s="1460">
        <f t="shared" ca="1" si="26"/>
        <v>1.4144042600047323E-2</v>
      </c>
      <c r="T73" s="1461"/>
      <c r="U73" s="1372"/>
    </row>
    <row r="74" spans="1:21" s="1364" customFormat="1" ht="12.75" customHeight="1">
      <c r="B74" s="1461">
        <f t="shared" si="25"/>
        <v>0</v>
      </c>
      <c r="C74" s="1463">
        <f t="shared" si="25"/>
        <v>0</v>
      </c>
      <c r="E74" s="1451"/>
      <c r="F74" s="1459"/>
      <c r="G74" s="1461">
        <f t="shared" ref="G74:R78" ca="1" si="27">IF($C74&lt;G$72,(G$72-$C74)*$B74/G$72,0)</f>
        <v>0</v>
      </c>
      <c r="H74" s="1461">
        <f t="shared" ca="1" si="27"/>
        <v>0</v>
      </c>
      <c r="I74" s="1461">
        <f t="shared" ca="1" si="27"/>
        <v>0</v>
      </c>
      <c r="J74" s="1461">
        <f t="shared" ca="1" si="27"/>
        <v>0</v>
      </c>
      <c r="K74" s="1461">
        <f t="shared" ca="1" si="27"/>
        <v>0</v>
      </c>
      <c r="L74" s="1461">
        <f t="shared" ca="1" si="27"/>
        <v>0</v>
      </c>
      <c r="M74" s="1461">
        <f t="shared" ca="1" si="27"/>
        <v>0</v>
      </c>
      <c r="N74" s="1461">
        <f t="shared" ca="1" si="27"/>
        <v>0</v>
      </c>
      <c r="O74" s="1461">
        <f t="shared" ca="1" si="27"/>
        <v>0</v>
      </c>
      <c r="P74" s="1461">
        <f t="shared" ca="1" si="27"/>
        <v>0</v>
      </c>
      <c r="Q74" s="1461">
        <f t="shared" ca="1" si="27"/>
        <v>0</v>
      </c>
      <c r="R74" s="1461">
        <f t="shared" ca="1" si="27"/>
        <v>0</v>
      </c>
      <c r="T74" s="1461"/>
      <c r="U74" s="1372"/>
    </row>
    <row r="75" spans="1:21" s="1364" customFormat="1" ht="12.75" customHeight="1">
      <c r="B75" s="1461">
        <f t="shared" si="25"/>
        <v>0</v>
      </c>
      <c r="C75" s="1463">
        <f t="shared" si="25"/>
        <v>0</v>
      </c>
      <c r="E75" s="1451"/>
      <c r="F75" s="1459"/>
      <c r="G75" s="1461">
        <f t="shared" ca="1" si="27"/>
        <v>0</v>
      </c>
      <c r="H75" s="1461">
        <f t="shared" ca="1" si="27"/>
        <v>0</v>
      </c>
      <c r="I75" s="1461">
        <f t="shared" ca="1" si="27"/>
        <v>0</v>
      </c>
      <c r="J75" s="1461">
        <f t="shared" ca="1" si="27"/>
        <v>0</v>
      </c>
      <c r="K75" s="1461">
        <f t="shared" ca="1" si="27"/>
        <v>0</v>
      </c>
      <c r="L75" s="1461">
        <f t="shared" ca="1" si="27"/>
        <v>0</v>
      </c>
      <c r="M75" s="1461">
        <f t="shared" ca="1" si="27"/>
        <v>0</v>
      </c>
      <c r="N75" s="1461">
        <f t="shared" ca="1" si="27"/>
        <v>0</v>
      </c>
      <c r="O75" s="1461">
        <f t="shared" ca="1" si="27"/>
        <v>0</v>
      </c>
      <c r="P75" s="1461">
        <f t="shared" ca="1" si="27"/>
        <v>0</v>
      </c>
      <c r="Q75" s="1461">
        <f t="shared" ca="1" si="27"/>
        <v>0</v>
      </c>
      <c r="R75" s="1461">
        <f t="shared" ca="1" si="27"/>
        <v>0</v>
      </c>
      <c r="T75" s="1461"/>
      <c r="U75" s="1372"/>
    </row>
    <row r="76" spans="1:21" s="1364" customFormat="1" ht="12.75" customHeight="1">
      <c r="B76" s="1461">
        <f t="shared" si="25"/>
        <v>0</v>
      </c>
      <c r="C76" s="1463">
        <f t="shared" si="25"/>
        <v>0</v>
      </c>
      <c r="E76" s="1451"/>
      <c r="F76" s="1459"/>
      <c r="G76" s="1461">
        <f t="shared" ca="1" si="27"/>
        <v>0</v>
      </c>
      <c r="H76" s="1461">
        <f t="shared" ca="1" si="27"/>
        <v>0</v>
      </c>
      <c r="I76" s="1461">
        <f t="shared" ca="1" si="27"/>
        <v>0</v>
      </c>
      <c r="J76" s="1461">
        <f t="shared" ca="1" si="27"/>
        <v>0</v>
      </c>
      <c r="K76" s="1461">
        <f t="shared" ca="1" si="27"/>
        <v>0</v>
      </c>
      <c r="L76" s="1461">
        <f t="shared" ca="1" si="27"/>
        <v>0</v>
      </c>
      <c r="M76" s="1461">
        <f t="shared" ca="1" si="27"/>
        <v>0</v>
      </c>
      <c r="N76" s="1461">
        <f t="shared" ca="1" si="27"/>
        <v>0</v>
      </c>
      <c r="O76" s="1461">
        <f t="shared" ca="1" si="27"/>
        <v>0</v>
      </c>
      <c r="P76" s="1461">
        <f t="shared" ca="1" si="27"/>
        <v>0</v>
      </c>
      <c r="Q76" s="1461">
        <f t="shared" ca="1" si="27"/>
        <v>0</v>
      </c>
      <c r="R76" s="1461">
        <f t="shared" ca="1" si="27"/>
        <v>0</v>
      </c>
      <c r="T76" s="1461"/>
      <c r="U76" s="1372"/>
    </row>
    <row r="77" spans="1:21" s="1364" customFormat="1" ht="12.75" customHeight="1">
      <c r="B77" s="1461">
        <f t="shared" si="25"/>
        <v>0</v>
      </c>
      <c r="C77" s="1463">
        <f t="shared" si="25"/>
        <v>0</v>
      </c>
      <c r="E77" s="1451"/>
      <c r="F77" s="1459"/>
      <c r="G77" s="1461">
        <f t="shared" ca="1" si="27"/>
        <v>0</v>
      </c>
      <c r="H77" s="1461">
        <f t="shared" ca="1" si="27"/>
        <v>0</v>
      </c>
      <c r="I77" s="1461">
        <f t="shared" ca="1" si="27"/>
        <v>0</v>
      </c>
      <c r="J77" s="1461">
        <f t="shared" ca="1" si="27"/>
        <v>0</v>
      </c>
      <c r="K77" s="1461">
        <f t="shared" ca="1" si="27"/>
        <v>0</v>
      </c>
      <c r="L77" s="1461">
        <f t="shared" ca="1" si="27"/>
        <v>0</v>
      </c>
      <c r="M77" s="1461">
        <f t="shared" ca="1" si="27"/>
        <v>0</v>
      </c>
      <c r="N77" s="1461">
        <f t="shared" ca="1" si="27"/>
        <v>0</v>
      </c>
      <c r="O77" s="1461">
        <f t="shared" ca="1" si="27"/>
        <v>0</v>
      </c>
      <c r="P77" s="1461">
        <f t="shared" ca="1" si="27"/>
        <v>0</v>
      </c>
      <c r="Q77" s="1461">
        <f t="shared" ca="1" si="27"/>
        <v>0</v>
      </c>
      <c r="R77" s="1461">
        <f t="shared" ca="1" si="27"/>
        <v>0</v>
      </c>
      <c r="T77" s="1461"/>
      <c r="U77" s="1372"/>
    </row>
    <row r="78" spans="1:21" s="1364" customFormat="1" ht="12.75" customHeight="1">
      <c r="B78" s="1461">
        <f t="shared" si="25"/>
        <v>0</v>
      </c>
      <c r="C78" s="1463">
        <f t="shared" si="25"/>
        <v>0</v>
      </c>
      <c r="E78" s="1451"/>
      <c r="F78" s="1459"/>
      <c r="G78" s="1461">
        <f t="shared" ca="1" si="27"/>
        <v>0</v>
      </c>
      <c r="H78" s="1461">
        <f t="shared" ca="1" si="27"/>
        <v>0</v>
      </c>
      <c r="I78" s="1461">
        <f t="shared" ca="1" si="27"/>
        <v>0</v>
      </c>
      <c r="J78" s="1461">
        <f t="shared" ca="1" si="27"/>
        <v>0</v>
      </c>
      <c r="K78" s="1461">
        <f t="shared" ca="1" si="27"/>
        <v>0</v>
      </c>
      <c r="L78" s="1461">
        <f t="shared" ca="1" si="27"/>
        <v>0</v>
      </c>
      <c r="M78" s="1461">
        <f t="shared" ca="1" si="27"/>
        <v>0</v>
      </c>
      <c r="N78" s="1461">
        <f t="shared" ca="1" si="27"/>
        <v>0</v>
      </c>
      <c r="O78" s="1461">
        <f t="shared" ca="1" si="27"/>
        <v>0</v>
      </c>
      <c r="P78" s="1461">
        <f t="shared" ca="1" si="27"/>
        <v>0</v>
      </c>
      <c r="Q78" s="1461">
        <f t="shared" ca="1" si="27"/>
        <v>0</v>
      </c>
      <c r="R78" s="1461">
        <f t="shared" ca="1" si="27"/>
        <v>0</v>
      </c>
      <c r="T78" s="1461"/>
      <c r="U78" s="1372"/>
    </row>
    <row r="79" spans="1:21" s="1364" customFormat="1" ht="12.75" customHeight="1">
      <c r="B79" s="1460">
        <f>SUM(B73:B78)</f>
        <v>0.1</v>
      </c>
      <c r="C79" s="1462">
        <f>SUMPRODUCT(B73:B78,C73:C78)/B79</f>
        <v>20</v>
      </c>
      <c r="E79" s="1451"/>
      <c r="F79" s="1451"/>
      <c r="G79" s="1460">
        <f t="shared" ref="G79:R79" ca="1" si="28">SUM(G73:G78)</f>
        <v>3.4780864245113605E-2</v>
      </c>
      <c r="H79" s="1460">
        <f t="shared" ca="1" si="28"/>
        <v>2.0742190901911799E-2</v>
      </c>
      <c r="I79" s="1460">
        <f t="shared" ca="1" si="28"/>
        <v>7.5138808886069533E-3</v>
      </c>
      <c r="J79" s="1460">
        <f t="shared" ca="1" si="28"/>
        <v>3.7528540279828743E-2</v>
      </c>
      <c r="K79" s="1460">
        <f t="shared" ca="1" si="28"/>
        <v>2.3155684000398722E-2</v>
      </c>
      <c r="L79" s="1460">
        <f t="shared" ca="1" si="28"/>
        <v>9.6376696198849435E-3</v>
      </c>
      <c r="M79" s="1460">
        <f t="shared" ca="1" si="28"/>
        <v>4.0398271913816799E-2</v>
      </c>
      <c r="N79" s="1460">
        <f t="shared" ca="1" si="28"/>
        <v>2.5670592337703631E-2</v>
      </c>
      <c r="O79" s="1460">
        <f t="shared" ca="1" si="28"/>
        <v>1.1846006414744717E-2</v>
      </c>
      <c r="P79" s="1460">
        <f t="shared" ca="1" si="28"/>
        <v>4.3398376705617421E-2</v>
      </c>
      <c r="Q79" s="1460">
        <f t="shared" ca="1" si="28"/>
        <v>2.8293445315726685E-2</v>
      </c>
      <c r="R79" s="1460">
        <f t="shared" ca="1" si="28"/>
        <v>1.4144042600047323E-2</v>
      </c>
      <c r="T79" s="1461"/>
      <c r="U79" s="1372"/>
    </row>
    <row r="80" spans="1:21" s="1364" customFormat="1" ht="12.75" customHeight="1">
      <c r="A80" s="1372"/>
      <c r="B80" s="1372"/>
      <c r="C80" s="1372"/>
      <c r="D80" s="1372"/>
      <c r="E80" s="1372"/>
      <c r="F80" s="1372"/>
      <c r="G80" s="1461"/>
      <c r="H80" s="1461"/>
      <c r="I80" s="1461"/>
      <c r="J80" s="1461"/>
      <c r="K80" s="1461"/>
      <c r="L80" s="1461"/>
      <c r="M80" s="1461"/>
      <c r="N80" s="1461"/>
      <c r="O80" s="1461"/>
      <c r="P80" s="1461"/>
      <c r="Q80" s="1461"/>
      <c r="R80" s="1461"/>
    </row>
    <row r="81" spans="1:18" s="1364" customFormat="1" ht="12.75" customHeight="1">
      <c r="A81" s="1372"/>
      <c r="B81" s="1372"/>
      <c r="C81" s="1372"/>
      <c r="D81" s="1372"/>
      <c r="E81" s="1372"/>
      <c r="F81" s="1372"/>
      <c r="G81" s="1461"/>
      <c r="H81" s="1461"/>
      <c r="I81" s="1461"/>
      <c r="J81" s="1461"/>
      <c r="K81" s="1461"/>
      <c r="L81" s="1461"/>
      <c r="M81" s="1461"/>
      <c r="N81" s="1461"/>
      <c r="O81" s="1461"/>
      <c r="P81" s="1461"/>
      <c r="Q81" s="1461"/>
      <c r="R81" s="1461"/>
    </row>
    <row r="82" spans="1:18" s="1364" customFormat="1" ht="12.75" customHeight="1">
      <c r="A82" s="1372"/>
      <c r="B82" s="1372"/>
      <c r="C82" s="1372"/>
      <c r="D82" s="1372"/>
      <c r="E82" s="1372"/>
      <c r="F82" s="1372"/>
      <c r="G82" s="1372"/>
      <c r="H82" s="1372"/>
      <c r="I82" s="1372"/>
      <c r="J82" s="1372"/>
      <c r="K82" s="1372"/>
      <c r="L82" s="1372"/>
      <c r="M82" s="1372"/>
      <c r="N82" s="1372"/>
      <c r="O82" s="1372"/>
    </row>
    <row r="83" spans="1:18" s="1364" customFormat="1" ht="12.75" customHeight="1">
      <c r="A83" s="1372"/>
      <c r="B83" s="1372"/>
      <c r="C83" s="1372"/>
      <c r="D83" s="1372"/>
      <c r="E83" s="1372"/>
      <c r="F83" s="1372"/>
      <c r="G83" s="1372"/>
      <c r="H83" s="1372"/>
      <c r="I83" s="1372"/>
      <c r="J83" s="1372"/>
      <c r="K83" s="1372"/>
      <c r="L83" s="1372"/>
      <c r="M83" s="1372"/>
      <c r="N83" s="1372"/>
      <c r="O83" s="1372"/>
    </row>
    <row r="84" spans="1:18" s="1364" customFormat="1" ht="12.75" customHeight="1">
      <c r="A84" s="1372"/>
      <c r="B84" s="1372"/>
      <c r="C84" s="1372"/>
      <c r="D84" s="1372"/>
      <c r="E84" s="1372"/>
      <c r="F84" s="1372"/>
      <c r="G84" s="1372"/>
      <c r="H84" s="1372"/>
      <c r="I84" s="1372"/>
      <c r="J84" s="1372"/>
      <c r="K84" s="1372"/>
      <c r="L84" s="1372"/>
      <c r="M84" s="1372"/>
      <c r="N84" s="1372"/>
      <c r="O84" s="1372"/>
    </row>
    <row r="85" spans="1:18" s="1364" customFormat="1" ht="12.75" customHeight="1">
      <c r="A85" s="1372"/>
      <c r="B85" s="1372"/>
      <c r="C85" s="1372"/>
      <c r="D85" s="1372"/>
      <c r="E85" s="1372"/>
      <c r="F85" s="1372"/>
      <c r="G85" s="1372"/>
      <c r="H85" s="1372"/>
      <c r="I85" s="1372"/>
      <c r="J85" s="1372"/>
      <c r="K85" s="1372"/>
      <c r="L85" s="1372"/>
      <c r="M85" s="1372"/>
      <c r="N85" s="1372"/>
      <c r="O85" s="1372"/>
    </row>
    <row r="86" spans="1:18" s="1364" customFormat="1" ht="12.75" customHeight="1">
      <c r="A86" s="1372"/>
      <c r="B86" s="1372"/>
      <c r="C86" s="1372"/>
      <c r="D86" s="1372"/>
      <c r="E86" s="1372"/>
      <c r="F86" s="1372"/>
      <c r="G86" s="1372"/>
      <c r="H86" s="1372"/>
      <c r="I86" s="1372"/>
      <c r="J86" s="1372"/>
      <c r="K86" s="1372"/>
      <c r="L86" s="1372"/>
      <c r="M86" s="1372"/>
      <c r="N86" s="1372"/>
      <c r="O86" s="1372"/>
    </row>
    <row r="87" spans="1:18" s="1364" customFormat="1" ht="12.75" customHeight="1">
      <c r="A87" s="1372"/>
      <c r="B87" s="1372"/>
      <c r="C87" s="1372"/>
      <c r="D87" s="1372"/>
      <c r="E87" s="1372"/>
      <c r="F87" s="1372"/>
      <c r="G87" s="1372"/>
      <c r="H87" s="1372"/>
      <c r="I87" s="1372"/>
      <c r="J87" s="1372"/>
      <c r="K87" s="1372"/>
      <c r="L87" s="1372"/>
      <c r="M87" s="1372"/>
      <c r="N87" s="1372"/>
      <c r="O87" s="1372"/>
    </row>
    <row r="88" spans="1:18" s="1364" customFormat="1" ht="12.75" customHeight="1">
      <c r="A88" s="1372"/>
      <c r="B88" s="1372"/>
      <c r="C88" s="1372"/>
      <c r="D88" s="1372"/>
      <c r="E88" s="1372"/>
      <c r="F88" s="1372"/>
      <c r="G88" s="1372"/>
      <c r="H88" s="1372"/>
      <c r="I88" s="1372"/>
      <c r="J88" s="1372"/>
      <c r="K88" s="1372"/>
      <c r="L88" s="1372"/>
      <c r="M88" s="1372"/>
      <c r="N88" s="1372"/>
      <c r="O88" s="1372"/>
    </row>
    <row r="89" spans="1:18" s="1364" customFormat="1" ht="12.75" customHeight="1">
      <c r="A89" s="1372"/>
      <c r="B89" s="1372"/>
      <c r="C89" s="1372"/>
      <c r="D89" s="1372"/>
      <c r="E89" s="1372"/>
      <c r="F89" s="1372"/>
      <c r="G89" s="1372"/>
      <c r="H89" s="1372"/>
      <c r="I89" s="1372"/>
      <c r="J89" s="1372"/>
      <c r="K89" s="1372"/>
      <c r="L89" s="1372"/>
      <c r="M89" s="1372"/>
      <c r="N89" s="1372"/>
      <c r="O89" s="1372"/>
    </row>
    <row r="90" spans="1:18" s="1364" customFormat="1" ht="12.75" customHeight="1">
      <c r="A90" s="1372"/>
      <c r="B90" s="1372"/>
      <c r="C90" s="1372"/>
      <c r="D90" s="1372"/>
      <c r="E90" s="1372"/>
      <c r="F90" s="1372"/>
      <c r="G90" s="1372"/>
      <c r="H90" s="1372"/>
      <c r="I90" s="1372"/>
      <c r="J90" s="1372"/>
      <c r="K90" s="1372"/>
      <c r="L90" s="1372"/>
      <c r="M90" s="1372"/>
      <c r="N90" s="1372"/>
      <c r="O90" s="1372"/>
    </row>
    <row r="91" spans="1:18" s="1364" customFormat="1" ht="12.75" customHeight="1">
      <c r="A91" s="1372"/>
      <c r="B91" s="1372"/>
      <c r="C91" s="1372"/>
      <c r="D91" s="1372"/>
      <c r="E91" s="1372"/>
      <c r="F91" s="1372"/>
      <c r="G91" s="1372"/>
      <c r="H91" s="1372"/>
      <c r="I91" s="1372"/>
      <c r="J91" s="1372"/>
      <c r="K91" s="1372"/>
      <c r="L91" s="1372"/>
      <c r="M91" s="1372"/>
      <c r="N91" s="1372"/>
      <c r="O91" s="1372"/>
    </row>
    <row r="92" spans="1:18" s="1364" customFormat="1" ht="12.75" customHeight="1">
      <c r="A92" s="1372"/>
      <c r="B92" s="1372"/>
      <c r="C92" s="1372"/>
      <c r="D92" s="1372"/>
      <c r="E92" s="1372"/>
      <c r="F92" s="1372"/>
      <c r="G92" s="1372"/>
      <c r="H92" s="1372"/>
      <c r="I92" s="1372"/>
      <c r="J92" s="1372"/>
      <c r="K92" s="1372"/>
      <c r="L92" s="1372"/>
      <c r="M92" s="1372"/>
      <c r="N92" s="1372"/>
      <c r="O92" s="1372"/>
    </row>
    <row r="93" spans="1:18" s="1364" customFormat="1" ht="12.75" customHeight="1">
      <c r="A93" s="1372"/>
      <c r="B93" s="1372"/>
      <c r="C93" s="1372"/>
      <c r="D93" s="1372"/>
      <c r="E93" s="1372"/>
      <c r="F93" s="1372"/>
      <c r="G93" s="1372"/>
      <c r="H93" s="1372"/>
      <c r="I93" s="1372"/>
      <c r="J93" s="1372"/>
      <c r="K93" s="1372"/>
      <c r="L93" s="1372"/>
      <c r="M93" s="1372"/>
      <c r="N93" s="1372"/>
      <c r="O93" s="1372"/>
    </row>
    <row r="94" spans="1:18" s="1364" customFormat="1" ht="12.75" customHeight="1">
      <c r="A94" s="1372"/>
      <c r="B94" s="1372"/>
      <c r="C94" s="1372"/>
      <c r="D94" s="1372"/>
      <c r="E94" s="1372"/>
      <c r="F94" s="1372"/>
      <c r="G94" s="1372"/>
      <c r="H94" s="1372"/>
      <c r="I94" s="1372"/>
      <c r="J94" s="1372"/>
      <c r="K94" s="1372"/>
      <c r="L94" s="1372"/>
      <c r="M94" s="1372"/>
      <c r="N94" s="1372"/>
      <c r="O94" s="1372"/>
    </row>
    <row r="95" spans="1:18" s="1364" customFormat="1" ht="12.75" customHeight="1">
      <c r="A95" s="1372"/>
      <c r="B95" s="1372"/>
      <c r="C95" s="1372"/>
      <c r="D95" s="1372"/>
      <c r="E95" s="1372"/>
      <c r="F95" s="1372"/>
      <c r="G95" s="1372"/>
      <c r="H95" s="1372"/>
      <c r="I95" s="1372"/>
      <c r="J95" s="1372"/>
      <c r="K95" s="1372"/>
      <c r="L95" s="1372"/>
      <c r="M95" s="1372"/>
      <c r="N95" s="1372"/>
      <c r="O95" s="1372"/>
    </row>
    <row r="96" spans="1:18" s="1364" customFormat="1" ht="12.75" customHeight="1">
      <c r="A96" s="1372"/>
      <c r="B96" s="1372"/>
      <c r="C96" s="1372"/>
      <c r="D96" s="1372"/>
      <c r="E96" s="1372"/>
      <c r="F96" s="1372"/>
      <c r="G96" s="1372"/>
      <c r="H96" s="1372"/>
      <c r="I96" s="1372"/>
      <c r="J96" s="1372"/>
      <c r="K96" s="1372"/>
      <c r="L96" s="1372"/>
      <c r="M96" s="1372"/>
      <c r="N96" s="1372"/>
      <c r="O96" s="1372"/>
    </row>
    <row r="97" spans="1:22" s="1364" customFormat="1" ht="12.75" customHeight="1">
      <c r="A97" s="1360"/>
      <c r="B97" s="1372"/>
      <c r="C97" s="1372"/>
      <c r="D97" s="1372"/>
      <c r="E97" s="1372"/>
      <c r="F97" s="1372"/>
      <c r="G97" s="1372"/>
      <c r="H97" s="1372"/>
      <c r="I97" s="1372"/>
      <c r="J97" s="1372"/>
      <c r="K97" s="1372"/>
      <c r="L97" s="1372"/>
      <c r="M97" s="1372"/>
      <c r="N97" s="1372"/>
      <c r="O97" s="1372"/>
      <c r="V97" s="1363"/>
    </row>
    <row r="98" spans="1:22" s="1364" customFormat="1" ht="12.75" customHeight="1">
      <c r="A98" s="1360"/>
      <c r="B98" s="1372"/>
      <c r="C98" s="1372"/>
      <c r="D98" s="1372"/>
      <c r="E98" s="1372"/>
      <c r="F98" s="1372"/>
      <c r="G98" s="1372"/>
      <c r="H98" s="1372"/>
      <c r="I98" s="1372"/>
      <c r="J98" s="1372"/>
      <c r="K98" s="1372"/>
      <c r="L98" s="1372"/>
      <c r="M98" s="1372"/>
      <c r="N98" s="1372"/>
      <c r="O98" s="1372"/>
      <c r="V98" s="1363"/>
    </row>
  </sheetData>
  <printOptions horizontalCentered="1"/>
  <pageMargins left="0.35" right="0.35" top="0.35" bottom="0.35" header="0.15" footer="0.15"/>
  <pageSetup scale="91" orientation="landscape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indexed="60"/>
  </sheetPr>
  <dimension ref="A1:S15"/>
  <sheetViews>
    <sheetView showGridLines="0" view="pageBreakPreview" zoomScaleNormal="85" workbookViewId="0"/>
  </sheetViews>
  <sheetFormatPr defaultRowHeight="12.75"/>
  <cols>
    <col min="1" max="1" width="2.83203125" style="3" customWidth="1"/>
    <col min="2" max="14" width="9.33203125" style="3"/>
    <col min="15" max="17" width="9.33203125" style="4"/>
    <col min="18" max="16384" width="9.33203125" style="3"/>
  </cols>
  <sheetData>
    <row r="1" spans="1:19">
      <c r="A1" s="2"/>
    </row>
    <row r="13" spans="1:19" ht="35.25">
      <c r="B13" s="5" t="str">
        <f>proj</f>
        <v>Project MODEL</v>
      </c>
    </row>
    <row r="14" spans="1:19" ht="25.5">
      <c r="B14" s="390" t="s">
        <v>321</v>
      </c>
      <c r="C14" s="273"/>
      <c r="D14" s="273"/>
      <c r="E14" s="273"/>
      <c r="F14" s="273"/>
      <c r="G14" s="273"/>
      <c r="H14" s="273"/>
      <c r="I14" s="273"/>
      <c r="J14" s="273"/>
      <c r="K14" s="273"/>
      <c r="L14" s="273"/>
      <c r="M14" s="273"/>
      <c r="N14" s="273"/>
      <c r="O14" s="273"/>
      <c r="P14" s="273"/>
      <c r="Q14" s="7"/>
      <c r="R14" s="7"/>
      <c r="S14" s="7"/>
    </row>
    <row r="15" spans="1:19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7"/>
      <c r="P15" s="7"/>
      <c r="Q15" s="7"/>
    </row>
  </sheetData>
  <phoneticPr fontId="6" type="noConversion"/>
  <printOptions horizontalCentered="1"/>
  <pageMargins left="0.35" right="0.35" top="0.35" bottom="0.35" header="0.15" footer="0.15"/>
  <pageSetup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indexed="43"/>
  </sheetPr>
  <dimension ref="A1:T304"/>
  <sheetViews>
    <sheetView showGridLines="0" view="pageBreakPreview" zoomScale="70" zoomScaleNormal="75" zoomScaleSheetLayoutView="70" workbookViewId="0"/>
  </sheetViews>
  <sheetFormatPr defaultColWidth="11.33203125" defaultRowHeight="12.75" outlineLevelRow="1"/>
  <cols>
    <col min="1" max="1" width="2.83203125" style="4" customWidth="1"/>
    <col min="2" max="17" width="11.33203125" style="3" customWidth="1"/>
    <col min="18" max="16384" width="11.33203125" style="4"/>
  </cols>
  <sheetData>
    <row r="1" spans="1:20">
      <c r="A1" s="625"/>
    </row>
    <row r="2" spans="1:20" ht="23.25">
      <c r="B2" s="97" t="str">
        <f>proj</f>
        <v>Project MODEL</v>
      </c>
      <c r="C2" s="39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15" t="str">
        <f ca="1">IFERROR(IF(MAX(L125:Q125)&lt;F146,"","ERROR! REVOLVER BALANCE OVERDRAWN"),"")</f>
        <v/>
      </c>
      <c r="R2" s="7"/>
      <c r="S2" s="7"/>
      <c r="T2" s="7"/>
    </row>
    <row r="3" spans="1:20" s="276" customFormat="1" ht="20.100000000000001" customHeight="1">
      <c r="B3" s="384" t="str">
        <f>acq&amp;" - Projections"</f>
        <v>COLEMAN CO. - Projections</v>
      </c>
      <c r="C3" s="384"/>
      <c r="D3" s="393"/>
      <c r="E3" s="393"/>
      <c r="F3" s="393"/>
      <c r="G3" s="393"/>
      <c r="H3" s="393"/>
      <c r="I3" s="393"/>
      <c r="J3" s="393"/>
      <c r="K3" s="393"/>
      <c r="L3" s="393"/>
      <c r="M3" s="393"/>
      <c r="N3" s="393"/>
      <c r="O3" s="393"/>
      <c r="P3" s="396"/>
      <c r="Q3" s="396" t="str">
        <f>acname</f>
        <v>Wall street consensus</v>
      </c>
    </row>
    <row r="4" spans="1:20">
      <c r="B4" s="176" t="str">
        <f>'Acq Spread Cover'!B4</f>
        <v>(Amounts in Millions, Except Per Share Data)</v>
      </c>
      <c r="C4" s="100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989"/>
      <c r="Q4" s="989" t="str">
        <f>"Source: "&amp;CHOOSE(acase,E247,E248,E249,E250,E251)</f>
        <v>Source: Research Provider</v>
      </c>
    </row>
    <row r="5" spans="1:20">
      <c r="B5" s="100"/>
      <c r="C5" s="100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4"/>
      <c r="Q5" s="4"/>
    </row>
    <row r="6" spans="1:20" ht="15.95" customHeight="1" thickBot="1">
      <c r="A6" s="4" t="s">
        <v>167</v>
      </c>
      <c r="B6" s="817" t="s">
        <v>123</v>
      </c>
      <c r="C6" s="817"/>
      <c r="D6" s="818"/>
      <c r="E6" s="818"/>
      <c r="F6" s="818"/>
      <c r="G6" s="818"/>
      <c r="H6" s="818"/>
      <c r="I6" s="818"/>
      <c r="J6" s="818"/>
      <c r="K6" s="818"/>
      <c r="L6" s="818"/>
      <c r="M6" s="818"/>
      <c r="N6" s="818"/>
      <c r="O6" s="818"/>
      <c r="P6" s="819"/>
      <c r="Q6" s="819"/>
    </row>
    <row r="7" spans="1:20" ht="15" customHeight="1">
      <c r="B7" s="640" t="str">
        <f>'Acq Income Statement'!H5</f>
        <v>Fiscal Year Ended December 31,</v>
      </c>
      <c r="C7" s="640"/>
      <c r="D7" s="640"/>
      <c r="E7" s="640"/>
      <c r="F7" s="640"/>
      <c r="G7" s="640"/>
      <c r="H7" s="640"/>
      <c r="I7" s="959">
        <f>J7-1</f>
        <v>2016</v>
      </c>
      <c r="J7" s="959">
        <f>K7-1</f>
        <v>2017</v>
      </c>
      <c r="K7" s="1147">
        <f>afy</f>
        <v>2018</v>
      </c>
      <c r="L7" s="1148">
        <f>K7+1</f>
        <v>2019</v>
      </c>
      <c r="M7" s="960">
        <f>K7+2</f>
        <v>2020</v>
      </c>
      <c r="N7" s="960">
        <f>M7+1</f>
        <v>2021</v>
      </c>
      <c r="O7" s="960">
        <f>N7+1</f>
        <v>2022</v>
      </c>
      <c r="P7" s="960">
        <f>O7+1</f>
        <v>2023</v>
      </c>
      <c r="Q7" s="960">
        <f>P7+1</f>
        <v>2024</v>
      </c>
    </row>
    <row r="8" spans="1:20" ht="15" customHeight="1">
      <c r="B8" s="4" t="s">
        <v>254</v>
      </c>
      <c r="C8" s="4"/>
      <c r="D8" s="4"/>
      <c r="E8" s="4"/>
      <c r="F8" s="4"/>
      <c r="G8" s="4"/>
      <c r="H8" s="4"/>
      <c r="I8" s="411">
        <f>'Acq Income Statement'!J7</f>
        <v>80</v>
      </c>
      <c r="J8" s="411">
        <f>'Acq Income Statement'!K7</f>
        <v>90</v>
      </c>
      <c r="K8" s="411">
        <f>'Acq Income Statement'!L7</f>
        <v>100</v>
      </c>
      <c r="L8" s="65">
        <f>K8*(1+L246)</f>
        <v>120</v>
      </c>
      <c r="M8" s="65">
        <f t="shared" ref="M8:Q8" si="0">L8*(1+M246)</f>
        <v>140</v>
      </c>
      <c r="N8" s="65">
        <f t="shared" si="0"/>
        <v>160</v>
      </c>
      <c r="O8" s="65">
        <f t="shared" si="0"/>
        <v>180</v>
      </c>
      <c r="P8" s="65">
        <f t="shared" si="0"/>
        <v>202.5</v>
      </c>
      <c r="Q8" s="65">
        <f t="shared" si="0"/>
        <v>227.8125</v>
      </c>
    </row>
    <row r="9" spans="1:20" ht="12.75" customHeight="1">
      <c r="B9" s="3" t="s">
        <v>73</v>
      </c>
      <c r="I9" s="143">
        <f>'Acq Income Statement'!J7-'Acq Income Statement'!J36</f>
        <v>40</v>
      </c>
      <c r="J9" s="143">
        <f>'Acq Income Statement'!K7-'Acq Income Statement'!K36</f>
        <v>43.7</v>
      </c>
      <c r="K9" s="143">
        <f>'Acq Income Statement'!L7-'Acq Income Statement'!L36</f>
        <v>49.5</v>
      </c>
      <c r="L9" s="755">
        <f t="shared" ref="L9:Q9" si="1">L8*(1-L253)</f>
        <v>60</v>
      </c>
      <c r="M9" s="755">
        <f t="shared" si="1"/>
        <v>70</v>
      </c>
      <c r="N9" s="755">
        <f t="shared" si="1"/>
        <v>80</v>
      </c>
      <c r="O9" s="755">
        <f t="shared" si="1"/>
        <v>90</v>
      </c>
      <c r="P9" s="755">
        <f t="shared" si="1"/>
        <v>101.25</v>
      </c>
      <c r="Q9" s="755">
        <f t="shared" si="1"/>
        <v>113.90625</v>
      </c>
    </row>
    <row r="10" spans="1:20" ht="12.75" customHeight="1">
      <c r="B10" s="3" t="s">
        <v>117</v>
      </c>
      <c r="I10" s="1079">
        <f>I8-I9</f>
        <v>40</v>
      </c>
      <c r="J10" s="1121">
        <f>J8-J9</f>
        <v>46.3</v>
      </c>
      <c r="K10" s="1121">
        <f>K8-K9</f>
        <v>50.5</v>
      </c>
      <c r="L10" s="1078">
        <f t="shared" ref="L10:Q10" si="2">L8-L9</f>
        <v>60</v>
      </c>
      <c r="M10" s="1078">
        <f t="shared" si="2"/>
        <v>70</v>
      </c>
      <c r="N10" s="1078">
        <f t="shared" si="2"/>
        <v>80</v>
      </c>
      <c r="O10" s="1078">
        <f t="shared" si="2"/>
        <v>90</v>
      </c>
      <c r="P10" s="1133">
        <f t="shared" si="2"/>
        <v>101.25</v>
      </c>
      <c r="Q10" s="1133">
        <f t="shared" si="2"/>
        <v>113.90625</v>
      </c>
    </row>
    <row r="11" spans="1:20" ht="12.75" customHeight="1">
      <c r="B11" s="3" t="s">
        <v>119</v>
      </c>
      <c r="I11" s="140">
        <f>'Acq Income Statement'!J37</f>
        <v>18.150000000000002</v>
      </c>
      <c r="J11" s="140">
        <f>'Acq Income Statement'!K37</f>
        <v>19.465000000000003</v>
      </c>
      <c r="K11" s="140">
        <f>'Acq Income Statement'!L37</f>
        <v>20.961500000000004</v>
      </c>
      <c r="L11" s="19">
        <f t="shared" ref="L11:Q11" si="3">L8*L260</f>
        <v>30</v>
      </c>
      <c r="M11" s="19">
        <f>M8*M260</f>
        <v>35</v>
      </c>
      <c r="N11" s="19">
        <f t="shared" si="3"/>
        <v>40</v>
      </c>
      <c r="O11" s="19">
        <f t="shared" si="3"/>
        <v>45</v>
      </c>
      <c r="P11" s="19">
        <f t="shared" si="3"/>
        <v>50.625</v>
      </c>
      <c r="Q11" s="19">
        <f t="shared" si="3"/>
        <v>56.953125</v>
      </c>
    </row>
    <row r="12" spans="1:20" ht="12.75" customHeight="1">
      <c r="B12" s="3" t="s">
        <v>192</v>
      </c>
      <c r="I12" s="143">
        <f>'Acq Income Statement'!J38</f>
        <v>0.5</v>
      </c>
      <c r="J12" s="143">
        <f>'Acq Income Statement'!K38</f>
        <v>0.5</v>
      </c>
      <c r="K12" s="143">
        <f>'Acq Income Statement'!L38</f>
        <v>0.5</v>
      </c>
      <c r="L12" s="912">
        <v>0</v>
      </c>
      <c r="M12" s="912">
        <f>L12</f>
        <v>0</v>
      </c>
      <c r="N12" s="755">
        <f>M12</f>
        <v>0</v>
      </c>
      <c r="O12" s="755">
        <f>N12</f>
        <v>0</v>
      </c>
      <c r="P12" s="755">
        <f>O12</f>
        <v>0</v>
      </c>
      <c r="Q12" s="755">
        <f>P12</f>
        <v>0</v>
      </c>
    </row>
    <row r="13" spans="1:20" ht="12.75" customHeight="1">
      <c r="B13" s="3" t="s">
        <v>64</v>
      </c>
      <c r="I13" s="1079">
        <f>I10-SUM(I11:I12)</f>
        <v>21.349999999999998</v>
      </c>
      <c r="J13" s="1121">
        <f>J10-SUM(J11:J12)</f>
        <v>26.334999999999994</v>
      </c>
      <c r="K13" s="1121">
        <f>K10-SUM(K11:K12)</f>
        <v>29.038499999999996</v>
      </c>
      <c r="L13" s="1078">
        <f t="shared" ref="L13:Q13" si="4">L10-SUM(L11:L12)</f>
        <v>30</v>
      </c>
      <c r="M13" s="1078">
        <f t="shared" si="4"/>
        <v>35</v>
      </c>
      <c r="N13" s="1078">
        <f t="shared" si="4"/>
        <v>40</v>
      </c>
      <c r="O13" s="1078">
        <f t="shared" si="4"/>
        <v>45</v>
      </c>
      <c r="P13" s="1133">
        <f t="shared" si="4"/>
        <v>50.625</v>
      </c>
      <c r="Q13" s="1133">
        <f t="shared" si="4"/>
        <v>56.953125</v>
      </c>
    </row>
    <row r="14" spans="1:20" ht="12.75" customHeight="1">
      <c r="B14" s="4" t="s">
        <v>192</v>
      </c>
      <c r="C14" s="4"/>
      <c r="D14" s="4"/>
      <c r="E14" s="4"/>
      <c r="F14" s="4"/>
      <c r="G14" s="4"/>
      <c r="H14" s="4"/>
      <c r="I14" s="140">
        <f>'Acq Income Statement'!J42</f>
        <v>0.2</v>
      </c>
      <c r="J14" s="140">
        <f>'Acq Income Statement'!K42</f>
        <v>0.2</v>
      </c>
      <c r="K14" s="140">
        <f>'Acq Income Statement'!L42</f>
        <v>0.2</v>
      </c>
      <c r="L14" s="37">
        <v>0</v>
      </c>
      <c r="M14" s="37">
        <v>0</v>
      </c>
      <c r="N14" s="37">
        <v>0</v>
      </c>
      <c r="O14" s="37">
        <v>0</v>
      </c>
      <c r="P14" s="37">
        <v>0</v>
      </c>
      <c r="Q14" s="37">
        <v>0</v>
      </c>
    </row>
    <row r="15" spans="1:20" ht="12.75" customHeight="1">
      <c r="B15" s="3" t="s">
        <v>75</v>
      </c>
      <c r="I15" s="143">
        <f>'Acq Income Statement'!J14</f>
        <v>0.67410000000000014</v>
      </c>
      <c r="J15" s="143">
        <f>'Acq Income Statement'!K14</f>
        <v>0.66500000000000004</v>
      </c>
      <c r="K15" s="143">
        <f>'Acq Income Statement'!L14</f>
        <v>0.65800000000000014</v>
      </c>
      <c r="L15" s="755">
        <f ca="1">L153</f>
        <v>-0.12554092977362888</v>
      </c>
      <c r="M15" s="755">
        <f t="shared" ref="M15:Q15" ca="1" si="5">M153</f>
        <v>-0.44351051680836068</v>
      </c>
      <c r="N15" s="755">
        <f t="shared" ca="1" si="5"/>
        <v>-0.55696541243446906</v>
      </c>
      <c r="O15" s="755">
        <f t="shared" ca="1" si="5"/>
        <v>-0.68820053040750451</v>
      </c>
      <c r="P15" s="755">
        <f t="shared" ca="1" si="5"/>
        <v>-0.83739697942410507</v>
      </c>
      <c r="Q15" s="755">
        <f t="shared" ca="1" si="5"/>
        <v>-1.0058354600194361</v>
      </c>
      <c r="R15" s="68"/>
      <c r="S15" s="68"/>
      <c r="T15" s="68"/>
    </row>
    <row r="16" spans="1:20" ht="12.75" customHeight="1">
      <c r="B16" s="3" t="s">
        <v>76</v>
      </c>
      <c r="I16" s="1079">
        <f>I13-SUM(I14:I15)</f>
        <v>20.475899999999999</v>
      </c>
      <c r="J16" s="1121">
        <f>J13-SUM(J14:J15)</f>
        <v>25.469999999999995</v>
      </c>
      <c r="K16" s="1121">
        <f>K13-SUM(K14:K15)</f>
        <v>28.180499999999995</v>
      </c>
      <c r="L16" s="1078">
        <f t="shared" ref="L16:Q16" ca="1" si="6">L13-SUM(L14:L15)</f>
        <v>30.125540929773628</v>
      </c>
      <c r="M16" s="1078">
        <f t="shared" ca="1" si="6"/>
        <v>35.44351051680836</v>
      </c>
      <c r="N16" s="1078">
        <f t="shared" ca="1" si="6"/>
        <v>40.556965412434472</v>
      </c>
      <c r="O16" s="1078">
        <f t="shared" ca="1" si="6"/>
        <v>45.688200530407507</v>
      </c>
      <c r="P16" s="1133">
        <f t="shared" ca="1" si="6"/>
        <v>51.462396979424106</v>
      </c>
      <c r="Q16" s="1133">
        <f t="shared" ca="1" si="6"/>
        <v>57.958960460019433</v>
      </c>
      <c r="R16" s="1212"/>
      <c r="S16" s="1212"/>
      <c r="T16" s="1212"/>
    </row>
    <row r="17" spans="2:17" ht="12.75" customHeight="1">
      <c r="B17" s="3" t="s">
        <v>130</v>
      </c>
      <c r="D17" s="1041"/>
      <c r="F17" s="4"/>
      <c r="I17" s="143">
        <f>'Acq Income Statement'!J16+'Acq Income Statement'!J103</f>
        <v>5.4624999999999995</v>
      </c>
      <c r="J17" s="143">
        <f>'Acq Income Statement'!K16+'Acq Income Statement'!K103</f>
        <v>6.7087499999999993</v>
      </c>
      <c r="K17" s="143">
        <f>'Acq Income Statement'!L16+'Acq Income Statement'!L103</f>
        <v>7.3846249999999989</v>
      </c>
      <c r="L17" s="755">
        <f t="shared" ref="L17:Q17" ca="1" si="7">L16*L$31</f>
        <v>7.531385232443407</v>
      </c>
      <c r="M17" s="755">
        <f t="shared" ca="1" si="7"/>
        <v>8.8608776292020899</v>
      </c>
      <c r="N17" s="755">
        <f t="shared" ca="1" si="7"/>
        <v>10.139241353108618</v>
      </c>
      <c r="O17" s="755">
        <f t="shared" ca="1" si="7"/>
        <v>11.422050132601877</v>
      </c>
      <c r="P17" s="755">
        <f t="shared" ca="1" si="7"/>
        <v>12.865599244856027</v>
      </c>
      <c r="Q17" s="755">
        <f t="shared" ca="1" si="7"/>
        <v>14.489740115004858</v>
      </c>
    </row>
    <row r="18" spans="2:17" ht="12.75" customHeight="1" outlineLevel="1">
      <c r="B18" s="3" t="str">
        <f>'Acq Income Statement'!B17</f>
        <v>Net Income</v>
      </c>
      <c r="D18" s="1041"/>
      <c r="F18" s="4"/>
      <c r="I18" s="152">
        <f t="shared" ref="I18:Q18" si="8">+I16-I17</f>
        <v>15.013400000000001</v>
      </c>
      <c r="J18" s="68">
        <f t="shared" si="8"/>
        <v>18.761249999999997</v>
      </c>
      <c r="K18" s="68">
        <f t="shared" si="8"/>
        <v>20.795874999999995</v>
      </c>
      <c r="L18" s="68">
        <f t="shared" ca="1" si="8"/>
        <v>22.594155697330223</v>
      </c>
      <c r="M18" s="68">
        <f t="shared" ca="1" si="8"/>
        <v>26.58263288760627</v>
      </c>
      <c r="N18" s="68">
        <f t="shared" ca="1" si="8"/>
        <v>30.417724059325856</v>
      </c>
      <c r="O18" s="68">
        <f t="shared" ca="1" si="8"/>
        <v>34.266150397805632</v>
      </c>
      <c r="P18" s="68">
        <f t="shared" ca="1" si="8"/>
        <v>38.596797734568078</v>
      </c>
      <c r="Q18" s="68">
        <f t="shared" ca="1" si="8"/>
        <v>43.469220345014577</v>
      </c>
    </row>
    <row r="19" spans="2:17" ht="12.75" customHeight="1" outlineLevel="1">
      <c r="B19" s="3" t="str">
        <f>'Acq Income Statement'!B18</f>
        <v>Less: NI Attributable to Minority Interest, Net of Tax</v>
      </c>
      <c r="D19" s="1041"/>
      <c r="F19" s="4"/>
      <c r="I19" s="140">
        <f>'Acq Income Statement'!J18</f>
        <v>0</v>
      </c>
      <c r="J19" s="140">
        <f>'Acq Income Statement'!K18</f>
        <v>0</v>
      </c>
      <c r="K19" s="140">
        <f>'Acq Income Statement'!L18</f>
        <v>0</v>
      </c>
      <c r="L19" s="19">
        <f t="shared" ref="L19:Q19" si="9">+K19</f>
        <v>0</v>
      </c>
      <c r="M19" s="19">
        <f t="shared" si="9"/>
        <v>0</v>
      </c>
      <c r="N19" s="19">
        <f t="shared" si="9"/>
        <v>0</v>
      </c>
      <c r="O19" s="19">
        <f t="shared" si="9"/>
        <v>0</v>
      </c>
      <c r="P19" s="19">
        <f t="shared" si="9"/>
        <v>0</v>
      </c>
      <c r="Q19" s="19">
        <f t="shared" si="9"/>
        <v>0</v>
      </c>
    </row>
    <row r="20" spans="2:17" ht="12.75" customHeight="1">
      <c r="B20" s="3" t="str">
        <f>'Acq Income Statement'!B19</f>
        <v>Net Income</v>
      </c>
      <c r="I20" s="194">
        <f t="shared" ref="I20:Q20" si="10">+I18-I19</f>
        <v>15.013400000000001</v>
      </c>
      <c r="J20" s="1121">
        <f t="shared" si="10"/>
        <v>18.761249999999997</v>
      </c>
      <c r="K20" s="1121">
        <f t="shared" si="10"/>
        <v>20.795874999999995</v>
      </c>
      <c r="L20" s="1078">
        <f t="shared" ca="1" si="10"/>
        <v>22.594155697330223</v>
      </c>
      <c r="M20" s="1078">
        <f ca="1">+M18-M19</f>
        <v>26.58263288760627</v>
      </c>
      <c r="N20" s="1078">
        <f t="shared" ca="1" si="10"/>
        <v>30.417724059325856</v>
      </c>
      <c r="O20" s="1078">
        <f t="shared" ca="1" si="10"/>
        <v>34.266150397805632</v>
      </c>
      <c r="P20" s="1133">
        <f t="shared" ca="1" si="10"/>
        <v>38.596797734568078</v>
      </c>
      <c r="Q20" s="1133">
        <f t="shared" ca="1" si="10"/>
        <v>43.469220345014577</v>
      </c>
    </row>
    <row r="21" spans="2:17" ht="12.75" hidden="1" customHeight="1" outlineLevel="1">
      <c r="B21" s="3" t="str">
        <f>'Acq Income Statement'!B20</f>
        <v>Plus: Income (Loss) from Disc. Operations, Net of Tax</v>
      </c>
      <c r="I21" s="140">
        <f>'Acq Income Statement'!J20</f>
        <v>0</v>
      </c>
      <c r="J21" s="140">
        <f>'Acq Income Statement'!K20</f>
        <v>0</v>
      </c>
      <c r="K21" s="140">
        <f>'Acq Income Statement'!L20</f>
        <v>0</v>
      </c>
      <c r="L21" s="37">
        <v>0</v>
      </c>
      <c r="M21" s="37">
        <v>0</v>
      </c>
      <c r="N21" s="37">
        <v>0</v>
      </c>
      <c r="O21" s="37">
        <v>0</v>
      </c>
      <c r="P21" s="37">
        <v>0</v>
      </c>
      <c r="Q21" s="37">
        <v>0</v>
      </c>
    </row>
    <row r="22" spans="2:17" ht="12.75" hidden="1" customHeight="1" outlineLevel="1">
      <c r="B22" s="3" t="s">
        <v>539</v>
      </c>
      <c r="I22" s="140">
        <f>-'Acq Income Statement'!J105</f>
        <v>0</v>
      </c>
      <c r="J22" s="140">
        <f>-'Acq Income Statement'!K105</f>
        <v>-1.35</v>
      </c>
      <c r="K22" s="140">
        <f>-'Acq Income Statement'!L105</f>
        <v>-1.125</v>
      </c>
      <c r="L22" s="37">
        <v>0</v>
      </c>
      <c r="M22" s="37">
        <v>0</v>
      </c>
      <c r="N22" s="37">
        <v>0</v>
      </c>
      <c r="O22" s="37">
        <v>0</v>
      </c>
      <c r="P22" s="37">
        <v>0</v>
      </c>
      <c r="Q22" s="37">
        <v>0</v>
      </c>
    </row>
    <row r="23" spans="2:17" ht="12.75" hidden="1" customHeight="1" outlineLevel="1">
      <c r="B23" s="3" t="str">
        <f>'Acq Income Statement'!B21</f>
        <v>Net Income, As Reported</v>
      </c>
      <c r="I23" s="194">
        <f>SUM(I20:I22)</f>
        <v>15.013400000000001</v>
      </c>
      <c r="J23" s="194">
        <f t="shared" ref="J23:Q23" si="11">SUM(J20:J22)</f>
        <v>17.411249999999995</v>
      </c>
      <c r="K23" s="194">
        <f t="shared" si="11"/>
        <v>19.670874999999995</v>
      </c>
      <c r="L23" s="194">
        <f t="shared" ca="1" si="11"/>
        <v>22.594155697330223</v>
      </c>
      <c r="M23" s="194">
        <f t="shared" ca="1" si="11"/>
        <v>26.58263288760627</v>
      </c>
      <c r="N23" s="194">
        <f t="shared" ca="1" si="11"/>
        <v>30.417724059325856</v>
      </c>
      <c r="O23" s="194">
        <f t="shared" ca="1" si="11"/>
        <v>34.266150397805632</v>
      </c>
      <c r="P23" s="194">
        <f t="shared" ca="1" si="11"/>
        <v>38.596797734568078</v>
      </c>
      <c r="Q23" s="194">
        <f t="shared" ca="1" si="11"/>
        <v>43.469220345014577</v>
      </c>
    </row>
    <row r="24" spans="2:17" ht="12.75" customHeight="1" collapsed="1">
      <c r="I24" s="191"/>
      <c r="J24" s="65"/>
      <c r="K24" s="65"/>
      <c r="L24" s="65"/>
      <c r="M24" s="65"/>
      <c r="N24" s="65"/>
      <c r="O24" s="65"/>
      <c r="P24" s="65"/>
      <c r="Q24" s="65"/>
    </row>
    <row r="25" spans="2:17" ht="12.75" customHeight="1">
      <c r="B25" s="3" t="s">
        <v>191</v>
      </c>
      <c r="I25" s="140">
        <f>'Acq Income Statement'!J23</f>
        <v>10.8</v>
      </c>
      <c r="J25" s="140">
        <f>'Acq Income Statement'!K23</f>
        <v>11</v>
      </c>
      <c r="K25" s="140">
        <f>'Acq Income Statement'!L23</f>
        <v>11.2</v>
      </c>
      <c r="L25" s="19">
        <f t="shared" ref="L25:Q25" si="12">+L207</f>
        <v>12.283795925925926</v>
      </c>
      <c r="M25" s="19">
        <f t="shared" si="12"/>
        <v>12.283795925925926</v>
      </c>
      <c r="N25" s="19">
        <f t="shared" si="12"/>
        <v>12.283795925925926</v>
      </c>
      <c r="O25" s="19">
        <f t="shared" si="12"/>
        <v>12.283795925925926</v>
      </c>
      <c r="P25" s="19">
        <f t="shared" si="12"/>
        <v>12.283795925925926</v>
      </c>
      <c r="Q25" s="19">
        <f t="shared" si="12"/>
        <v>12.283795925925926</v>
      </c>
    </row>
    <row r="26" spans="2:17" ht="12.75" customHeight="1">
      <c r="B26" s="205" t="s">
        <v>310</v>
      </c>
      <c r="C26" s="205"/>
      <c r="D26" s="205"/>
      <c r="E26" s="205"/>
      <c r="F26" s="205"/>
      <c r="G26" s="205"/>
      <c r="H26" s="205"/>
      <c r="I26" s="1135">
        <f t="shared" ref="I26:Q26" si="13">I20/I25</f>
        <v>1.3901296296296297</v>
      </c>
      <c r="J26" s="1136">
        <f>J20/J25</f>
        <v>1.7055681818181816</v>
      </c>
      <c r="K26" s="1136">
        <f>K20/K25</f>
        <v>1.8567745535714282</v>
      </c>
      <c r="L26" s="1137">
        <f t="shared" ca="1" si="13"/>
        <v>1.8393463904462517</v>
      </c>
      <c r="M26" s="1136">
        <f t="shared" ca="1" si="13"/>
        <v>2.1640405822357822</v>
      </c>
      <c r="N26" s="1136">
        <f t="shared" ca="1" si="13"/>
        <v>2.4762479157706321</v>
      </c>
      <c r="O26" s="1136">
        <f t="shared" ca="1" si="13"/>
        <v>2.7895408393658023</v>
      </c>
      <c r="P26" s="1138">
        <f t="shared" ca="1" si="13"/>
        <v>3.1420904390886593</v>
      </c>
      <c r="Q26" s="1138">
        <f t="shared" ca="1" si="13"/>
        <v>3.5387449129848649</v>
      </c>
    </row>
    <row r="27" spans="2:17" ht="12.75" customHeight="1">
      <c r="B27" s="205"/>
      <c r="C27" s="205"/>
      <c r="D27" s="205"/>
      <c r="E27" s="205"/>
      <c r="F27" s="205"/>
      <c r="G27" s="205"/>
      <c r="H27" s="205"/>
      <c r="I27" s="1139"/>
      <c r="J27" s="1139"/>
      <c r="K27" s="1139"/>
      <c r="L27" s="1213"/>
      <c r="M27" s="1139"/>
      <c r="N27" s="1139"/>
      <c r="O27" s="1139"/>
      <c r="P27" s="1139"/>
      <c r="Q27" s="1139"/>
    </row>
    <row r="28" spans="2:17" ht="12.75" customHeight="1">
      <c r="B28" s="3" t="s">
        <v>284</v>
      </c>
      <c r="I28" s="1141">
        <f>'Acq Income Statement'!J26</f>
        <v>62</v>
      </c>
      <c r="J28" s="1141">
        <f>'Acq Income Statement'!K26</f>
        <v>65</v>
      </c>
      <c r="K28" s="1141">
        <f>'Acq Income Statement'!L26</f>
        <v>72</v>
      </c>
      <c r="L28" s="1011">
        <f>+K28+5</f>
        <v>77</v>
      </c>
      <c r="M28" s="1011">
        <f t="shared" ref="M28:Q28" si="14">+L28+5</f>
        <v>82</v>
      </c>
      <c r="N28" s="1011">
        <f t="shared" si="14"/>
        <v>87</v>
      </c>
      <c r="O28" s="1011">
        <f t="shared" si="14"/>
        <v>92</v>
      </c>
      <c r="P28" s="1011">
        <f t="shared" si="14"/>
        <v>97</v>
      </c>
      <c r="Q28" s="1011">
        <f t="shared" si="14"/>
        <v>102</v>
      </c>
    </row>
    <row r="29" spans="2:17" ht="12.75" customHeight="1">
      <c r="I29" s="1142"/>
      <c r="J29" s="1142"/>
      <c r="K29" s="1142"/>
      <c r="L29" s="1011"/>
      <c r="M29" s="1011"/>
      <c r="N29" s="1011"/>
      <c r="O29" s="1011"/>
      <c r="P29" s="1011"/>
      <c r="Q29" s="1011"/>
    </row>
    <row r="30" spans="2:17" ht="12.75" customHeight="1" outlineLevel="1">
      <c r="B30" s="139" t="s">
        <v>503</v>
      </c>
      <c r="C30" s="139"/>
    </row>
    <row r="31" spans="2:17" ht="12.75" customHeight="1" outlineLevel="1">
      <c r="B31" s="3" t="s">
        <v>504</v>
      </c>
      <c r="I31" s="200">
        <f>+I17/I16</f>
        <v>0.26677704032545574</v>
      </c>
      <c r="J31" s="200">
        <f>+J17/J16</f>
        <v>0.26339811542991759</v>
      </c>
      <c r="K31" s="200">
        <f>+K17/K16</f>
        <v>0.26204733769805361</v>
      </c>
      <c r="L31" s="906">
        <f>atax</f>
        <v>0.25</v>
      </c>
      <c r="M31" s="200">
        <f>+L31</f>
        <v>0.25</v>
      </c>
      <c r="N31" s="200">
        <f>+M31</f>
        <v>0.25</v>
      </c>
      <c r="O31" s="200">
        <f>+N31</f>
        <v>0.25</v>
      </c>
      <c r="P31" s="200">
        <f>+O31</f>
        <v>0.25</v>
      </c>
      <c r="Q31" s="200">
        <f>+P31</f>
        <v>0.25</v>
      </c>
    </row>
    <row r="32" spans="2:17" ht="12.75" customHeight="1" outlineLevel="1">
      <c r="I32" s="1214"/>
      <c r="J32" s="1214"/>
      <c r="K32" s="1214"/>
      <c r="L32" s="1011"/>
      <c r="M32" s="836"/>
      <c r="N32" s="836"/>
      <c r="O32" s="836"/>
      <c r="P32" s="836"/>
      <c r="Q32" s="836"/>
    </row>
    <row r="33" spans="2:17" ht="12.75" customHeight="1">
      <c r="B33" s="139" t="s">
        <v>77</v>
      </c>
      <c r="C33" s="139"/>
      <c r="L33" s="10"/>
    </row>
    <row r="34" spans="2:17" ht="12.75" customHeight="1">
      <c r="B34" s="3" t="s">
        <v>64</v>
      </c>
      <c r="I34" s="153">
        <f t="shared" ref="I34:Q34" si="15">I13</f>
        <v>21.349999999999998</v>
      </c>
      <c r="J34" s="153">
        <f t="shared" si="15"/>
        <v>26.334999999999994</v>
      </c>
      <c r="K34" s="153">
        <f t="shared" si="15"/>
        <v>29.038499999999996</v>
      </c>
      <c r="L34" s="886">
        <f t="shared" si="15"/>
        <v>30</v>
      </c>
      <c r="M34" s="153">
        <f t="shared" si="15"/>
        <v>35</v>
      </c>
      <c r="N34" s="153">
        <f t="shared" si="15"/>
        <v>40</v>
      </c>
      <c r="O34" s="153">
        <f t="shared" si="15"/>
        <v>45</v>
      </c>
      <c r="P34" s="153">
        <f t="shared" si="15"/>
        <v>50.625</v>
      </c>
      <c r="Q34" s="153">
        <f t="shared" si="15"/>
        <v>56.953125</v>
      </c>
    </row>
    <row r="35" spans="2:17" ht="12.75" customHeight="1">
      <c r="B35" s="3" t="s">
        <v>78</v>
      </c>
      <c r="I35" s="143">
        <f>'Acq Income Statement'!J30</f>
        <v>2.6</v>
      </c>
      <c r="J35" s="143">
        <f>'Acq Income Statement'!K30</f>
        <v>2.7</v>
      </c>
      <c r="K35" s="143">
        <f>'Acq Income Statement'!L30</f>
        <v>2.9</v>
      </c>
      <c r="L35" s="755">
        <f>L89+L90</f>
        <v>10</v>
      </c>
      <c r="M35" s="268">
        <f t="shared" ref="M35:Q35" si="16">M89+M90</f>
        <v>10</v>
      </c>
      <c r="N35" s="268">
        <f t="shared" si="16"/>
        <v>11.428571428571427</v>
      </c>
      <c r="O35" s="268">
        <f t="shared" si="16"/>
        <v>12.857142857142856</v>
      </c>
      <c r="P35" s="268">
        <f t="shared" si="16"/>
        <v>14.464285714285714</v>
      </c>
      <c r="Q35" s="268">
        <f t="shared" si="16"/>
        <v>16.272321428571427</v>
      </c>
    </row>
    <row r="36" spans="2:17" ht="12.75" customHeight="1">
      <c r="B36" s="3" t="s">
        <v>63</v>
      </c>
      <c r="I36" s="909">
        <f t="shared" ref="I36:Q36" si="17">I34+I35</f>
        <v>23.95</v>
      </c>
      <c r="J36" s="910">
        <f t="shared" si="17"/>
        <v>29.034999999999993</v>
      </c>
      <c r="K36" s="910">
        <f t="shared" si="17"/>
        <v>31.938499999999994</v>
      </c>
      <c r="L36" s="1215">
        <f t="shared" si="17"/>
        <v>40</v>
      </c>
      <c r="M36" s="910">
        <f t="shared" si="17"/>
        <v>45</v>
      </c>
      <c r="N36" s="910">
        <f t="shared" si="17"/>
        <v>51.428571428571431</v>
      </c>
      <c r="O36" s="910">
        <f t="shared" si="17"/>
        <v>57.857142857142854</v>
      </c>
      <c r="P36" s="827">
        <f t="shared" si="17"/>
        <v>65.089285714285708</v>
      </c>
      <c r="Q36" s="827">
        <f t="shared" si="17"/>
        <v>73.225446428571431</v>
      </c>
    </row>
    <row r="37" spans="2:17" ht="12.75" hidden="1" customHeight="1" outlineLevel="1">
      <c r="B37" s="3" t="s">
        <v>305</v>
      </c>
      <c r="G37" s="262"/>
      <c r="H37" s="262"/>
      <c r="I37" s="143">
        <f>'Acq Income Statement'!J32</f>
        <v>3.4</v>
      </c>
      <c r="J37" s="143">
        <f>'Acq Income Statement'!K32</f>
        <v>3.6</v>
      </c>
      <c r="K37" s="143">
        <f>'Acq Income Statement'!L32</f>
        <v>4</v>
      </c>
      <c r="L37" s="755">
        <f t="shared" ref="L37:Q37" si="18">K37/K8*L8</f>
        <v>4.8</v>
      </c>
      <c r="M37" s="755">
        <f t="shared" si="18"/>
        <v>5.6000000000000005</v>
      </c>
      <c r="N37" s="755">
        <f t="shared" si="18"/>
        <v>6.4</v>
      </c>
      <c r="O37" s="755">
        <f t="shared" si="18"/>
        <v>7.2</v>
      </c>
      <c r="P37" s="755">
        <f t="shared" si="18"/>
        <v>8.1</v>
      </c>
      <c r="Q37" s="755">
        <f t="shared" si="18"/>
        <v>9.1125000000000007</v>
      </c>
    </row>
    <row r="38" spans="2:17" ht="12.75" hidden="1" customHeight="1" outlineLevel="1">
      <c r="B38" s="3" t="s">
        <v>306</v>
      </c>
      <c r="G38" s="299"/>
      <c r="H38" s="299"/>
      <c r="I38" s="909">
        <f t="shared" ref="I38:Q38" si="19">SUM(I36:I37)</f>
        <v>27.349999999999998</v>
      </c>
      <c r="J38" s="910">
        <f t="shared" si="19"/>
        <v>32.634999999999991</v>
      </c>
      <c r="K38" s="910">
        <f t="shared" si="19"/>
        <v>35.938499999999991</v>
      </c>
      <c r="L38" s="1215">
        <f t="shared" si="19"/>
        <v>44.8</v>
      </c>
      <c r="M38" s="910">
        <f t="shared" si="19"/>
        <v>50.6</v>
      </c>
      <c r="N38" s="910">
        <f t="shared" si="19"/>
        <v>57.828571428571429</v>
      </c>
      <c r="O38" s="910">
        <f t="shared" si="19"/>
        <v>65.05714285714285</v>
      </c>
      <c r="P38" s="827">
        <f t="shared" si="19"/>
        <v>73.189285714285703</v>
      </c>
      <c r="Q38" s="827">
        <f t="shared" si="19"/>
        <v>82.337946428571428</v>
      </c>
    </row>
    <row r="39" spans="2:17" ht="12.75" customHeight="1" collapsed="1">
      <c r="G39" s="299"/>
      <c r="H39" s="299"/>
      <c r="I39" s="153"/>
      <c r="J39" s="153"/>
      <c r="K39" s="153"/>
      <c r="L39" s="886"/>
      <c r="M39" s="153"/>
      <c r="N39" s="153"/>
      <c r="O39" s="153"/>
      <c r="P39" s="153"/>
      <c r="Q39" s="153"/>
    </row>
    <row r="40" spans="2:17" ht="12.75" customHeight="1">
      <c r="B40" s="139" t="s">
        <v>184</v>
      </c>
      <c r="C40" s="139"/>
    </row>
    <row r="41" spans="2:17" ht="12.75" customHeight="1">
      <c r="B41" s="3" t="s">
        <v>74</v>
      </c>
      <c r="I41" s="200">
        <f t="shared" ref="I41:Q41" si="20">I10/I8</f>
        <v>0.5</v>
      </c>
      <c r="J41" s="200">
        <f t="shared" si="20"/>
        <v>0.51444444444444437</v>
      </c>
      <c r="K41" s="200">
        <f t="shared" si="20"/>
        <v>0.505</v>
      </c>
      <c r="L41" s="200">
        <f t="shared" si="20"/>
        <v>0.5</v>
      </c>
      <c r="M41" s="200">
        <f t="shared" si="20"/>
        <v>0.5</v>
      </c>
      <c r="N41" s="200">
        <f t="shared" si="20"/>
        <v>0.5</v>
      </c>
      <c r="O41" s="200">
        <f t="shared" si="20"/>
        <v>0.5</v>
      </c>
      <c r="P41" s="200">
        <f t="shared" si="20"/>
        <v>0.5</v>
      </c>
      <c r="Q41" s="200">
        <f t="shared" si="20"/>
        <v>0.5</v>
      </c>
    </row>
    <row r="42" spans="2:17" ht="12.75" customHeight="1">
      <c r="B42" s="3" t="s">
        <v>119</v>
      </c>
      <c r="I42" s="200">
        <f t="shared" ref="I42:Q42" si="21">I11/I8</f>
        <v>0.22687500000000002</v>
      </c>
      <c r="J42" s="200">
        <f t="shared" si="21"/>
        <v>0.21627777777777782</v>
      </c>
      <c r="K42" s="200">
        <f t="shared" si="21"/>
        <v>0.20961500000000005</v>
      </c>
      <c r="L42" s="200">
        <f t="shared" si="21"/>
        <v>0.25</v>
      </c>
      <c r="M42" s="200">
        <f t="shared" si="21"/>
        <v>0.25</v>
      </c>
      <c r="N42" s="200">
        <f t="shared" si="21"/>
        <v>0.25</v>
      </c>
      <c r="O42" s="200">
        <f t="shared" si="21"/>
        <v>0.25</v>
      </c>
      <c r="P42" s="200">
        <f t="shared" si="21"/>
        <v>0.25</v>
      </c>
      <c r="Q42" s="200">
        <f t="shared" si="21"/>
        <v>0.25</v>
      </c>
    </row>
    <row r="43" spans="2:17" ht="12.75" customHeight="1">
      <c r="B43" s="3" t="s">
        <v>63</v>
      </c>
      <c r="I43" s="200">
        <f t="shared" ref="I43:Q43" si="22">I36/I8</f>
        <v>0.299375</v>
      </c>
      <c r="J43" s="200">
        <f t="shared" si="22"/>
        <v>0.32261111111111102</v>
      </c>
      <c r="K43" s="200">
        <f t="shared" si="22"/>
        <v>0.31938499999999992</v>
      </c>
      <c r="L43" s="200">
        <f t="shared" si="22"/>
        <v>0.33333333333333331</v>
      </c>
      <c r="M43" s="200">
        <f t="shared" si="22"/>
        <v>0.32142857142857145</v>
      </c>
      <c r="N43" s="200">
        <f t="shared" si="22"/>
        <v>0.32142857142857145</v>
      </c>
      <c r="O43" s="200">
        <f t="shared" si="22"/>
        <v>0.3214285714285714</v>
      </c>
      <c r="P43" s="200">
        <f t="shared" si="22"/>
        <v>0.3214285714285714</v>
      </c>
      <c r="Q43" s="200">
        <f t="shared" si="22"/>
        <v>0.32142857142857145</v>
      </c>
    </row>
    <row r="44" spans="2:17" ht="12.75" customHeight="1">
      <c r="B44" s="3" t="s">
        <v>64</v>
      </c>
      <c r="I44" s="200">
        <f t="shared" ref="I44:Q44" si="23">I34/I8</f>
        <v>0.26687499999999997</v>
      </c>
      <c r="J44" s="200">
        <f t="shared" si="23"/>
        <v>0.29261111111111104</v>
      </c>
      <c r="K44" s="200">
        <f t="shared" si="23"/>
        <v>0.29038499999999995</v>
      </c>
      <c r="L44" s="200">
        <f t="shared" si="23"/>
        <v>0.25</v>
      </c>
      <c r="M44" s="200">
        <f t="shared" si="23"/>
        <v>0.25</v>
      </c>
      <c r="N44" s="200">
        <f t="shared" si="23"/>
        <v>0.25</v>
      </c>
      <c r="O44" s="200">
        <f t="shared" si="23"/>
        <v>0.25</v>
      </c>
      <c r="P44" s="200">
        <f t="shared" si="23"/>
        <v>0.25</v>
      </c>
      <c r="Q44" s="200">
        <f t="shared" si="23"/>
        <v>0.25</v>
      </c>
    </row>
    <row r="45" spans="2:17" ht="12.75" customHeight="1">
      <c r="B45" s="3" t="s">
        <v>65</v>
      </c>
      <c r="I45" s="200">
        <f t="shared" ref="I45:Q45" si="24">I20/I8</f>
        <v>0.18766750000000001</v>
      </c>
      <c r="J45" s="200">
        <f t="shared" si="24"/>
        <v>0.2084583333333333</v>
      </c>
      <c r="K45" s="200">
        <f t="shared" si="24"/>
        <v>0.20795874999999994</v>
      </c>
      <c r="L45" s="200">
        <f t="shared" ca="1" si="24"/>
        <v>0.18828463081108518</v>
      </c>
      <c r="M45" s="200">
        <f t="shared" ca="1" si="24"/>
        <v>0.18987594919718764</v>
      </c>
      <c r="N45" s="200">
        <f t="shared" ca="1" si="24"/>
        <v>0.19011077537078661</v>
      </c>
      <c r="O45" s="200">
        <f t="shared" ca="1" si="24"/>
        <v>0.19036750221003129</v>
      </c>
      <c r="P45" s="200">
        <f t="shared" ca="1" si="24"/>
        <v>0.19060147029416336</v>
      </c>
      <c r="Q45" s="200">
        <f t="shared" ca="1" si="24"/>
        <v>0.19081139246096934</v>
      </c>
    </row>
    <row r="46" spans="2:17" ht="12.75" customHeight="1">
      <c r="I46" s="200"/>
      <c r="J46" s="200"/>
      <c r="K46" s="200"/>
      <c r="L46" s="200"/>
      <c r="M46" s="200"/>
      <c r="N46" s="200"/>
      <c r="O46" s="200"/>
      <c r="P46" s="200"/>
      <c r="Q46" s="200"/>
    </row>
    <row r="47" spans="2:17" ht="12.75" customHeight="1">
      <c r="B47" s="139" t="s">
        <v>79</v>
      </c>
      <c r="C47" s="139"/>
      <c r="I47" s="687"/>
      <c r="J47" s="687"/>
      <c r="K47" s="687"/>
      <c r="L47" s="687"/>
      <c r="M47" s="687"/>
      <c r="N47" s="687"/>
      <c r="O47" s="687"/>
      <c r="P47" s="687"/>
      <c r="Q47" s="687"/>
    </row>
    <row r="48" spans="2:17" s="249" customFormat="1" ht="12.75" customHeight="1">
      <c r="B48" s="3" t="s">
        <v>285</v>
      </c>
      <c r="C48" s="3"/>
      <c r="D48" s="3"/>
      <c r="E48" s="3"/>
      <c r="F48" s="3"/>
      <c r="G48" s="3"/>
      <c r="H48" s="3"/>
      <c r="I48" s="1145">
        <f>'Acq Income Statement'!J58</f>
        <v>4.4999999999999998E-2</v>
      </c>
      <c r="J48" s="1145">
        <f>'Acq Income Statement'!K58</f>
        <v>0.04</v>
      </c>
      <c r="K48" s="1145">
        <f>'Acq Income Statement'!L58</f>
        <v>3.9E-2</v>
      </c>
      <c r="L48" s="1216">
        <v>0.03</v>
      </c>
      <c r="M48" s="1216">
        <v>3.2000000000000001E-2</v>
      </c>
      <c r="N48" s="1216">
        <v>3.3000000000000002E-2</v>
      </c>
      <c r="O48" s="1216">
        <v>3.4000000000000002E-2</v>
      </c>
      <c r="P48" s="1216">
        <v>3.5000000000000003E-2</v>
      </c>
      <c r="Q48" s="1216">
        <v>3.5999999999999997E-2</v>
      </c>
    </row>
    <row r="49" spans="1:17" s="249" customFormat="1" ht="12.75" customHeight="1">
      <c r="B49" s="3" t="s">
        <v>254</v>
      </c>
      <c r="C49" s="3"/>
      <c r="D49" s="3"/>
      <c r="E49" s="3"/>
      <c r="F49" s="3"/>
      <c r="G49" s="3"/>
      <c r="H49" s="3"/>
      <c r="I49" s="906">
        <f>'Acq Income Statement'!J59/100</f>
        <v>1.4285714285714279E-3</v>
      </c>
      <c r="J49" s="200">
        <f t="shared" ref="J49:Q49" si="25">J8/I8-1</f>
        <v>0.125</v>
      </c>
      <c r="K49" s="200">
        <f t="shared" si="25"/>
        <v>0.11111111111111116</v>
      </c>
      <c r="L49" s="200">
        <f t="shared" si="25"/>
        <v>0.19999999999999996</v>
      </c>
      <c r="M49" s="200">
        <f t="shared" si="25"/>
        <v>0.16666666666666674</v>
      </c>
      <c r="N49" s="200">
        <f t="shared" si="25"/>
        <v>0.14285714285714279</v>
      </c>
      <c r="O49" s="200">
        <f t="shared" si="25"/>
        <v>0.125</v>
      </c>
      <c r="P49" s="200">
        <f t="shared" si="25"/>
        <v>0.125</v>
      </c>
      <c r="Q49" s="200">
        <f t="shared" si="25"/>
        <v>0.125</v>
      </c>
    </row>
    <row r="50" spans="1:17" s="249" customFormat="1" ht="12.75" customHeight="1">
      <c r="B50" s="3" t="s">
        <v>63</v>
      </c>
      <c r="C50" s="3"/>
      <c r="D50" s="3"/>
      <c r="E50" s="3"/>
      <c r="F50" s="3"/>
      <c r="G50" s="3"/>
      <c r="H50" s="3"/>
      <c r="I50" s="906">
        <f>'Acq Income Statement'!J60/100</f>
        <v>1.682926829268292E-3</v>
      </c>
      <c r="J50" s="200">
        <f>IF(AND(J36&gt;=0,I36&gt;0),J36/I36-1,"NM")</f>
        <v>0.21231732776617918</v>
      </c>
      <c r="K50" s="200">
        <f t="shared" ref="K50:Q50" si="26">IF(AND(K36&gt;=0,J36&gt;0),K36/J36-1,"NM")</f>
        <v>0.10000000000000009</v>
      </c>
      <c r="L50" s="200">
        <f t="shared" si="26"/>
        <v>0.25240696964478637</v>
      </c>
      <c r="M50" s="200">
        <f t="shared" si="26"/>
        <v>0.125</v>
      </c>
      <c r="N50" s="200">
        <f t="shared" si="26"/>
        <v>0.14285714285714279</v>
      </c>
      <c r="O50" s="200">
        <f t="shared" si="26"/>
        <v>0.125</v>
      </c>
      <c r="P50" s="200">
        <f t="shared" si="26"/>
        <v>0.125</v>
      </c>
      <c r="Q50" s="200">
        <f t="shared" si="26"/>
        <v>0.12500000000000022</v>
      </c>
    </row>
    <row r="51" spans="1:17" s="249" customFormat="1" ht="12.75" customHeight="1">
      <c r="B51" s="3" t="s">
        <v>64</v>
      </c>
      <c r="C51" s="3"/>
      <c r="D51" s="3"/>
      <c r="E51" s="3"/>
      <c r="F51" s="3"/>
      <c r="G51" s="3"/>
      <c r="H51" s="3"/>
      <c r="I51" s="906">
        <f>'Acq Income Statement'!J61/100</f>
        <v>1.861111111111109E-3</v>
      </c>
      <c r="J51" s="200">
        <f>IF(AND(J34&gt;=0,I34&gt;0),J34/I34-1,"NM")</f>
        <v>0.23348946135831361</v>
      </c>
      <c r="K51" s="200">
        <f t="shared" ref="K51:Q51" si="27">IF(AND(K34&gt;=0,J34&gt;0),K34/J34-1,"NM")</f>
        <v>0.10265805961648011</v>
      </c>
      <c r="L51" s="200">
        <f t="shared" si="27"/>
        <v>3.3111214422232749E-2</v>
      </c>
      <c r="M51" s="200">
        <f t="shared" si="27"/>
        <v>0.16666666666666674</v>
      </c>
      <c r="N51" s="200">
        <f t="shared" si="27"/>
        <v>0.14285714285714279</v>
      </c>
      <c r="O51" s="200">
        <f t="shared" si="27"/>
        <v>0.125</v>
      </c>
      <c r="P51" s="200">
        <f t="shared" si="27"/>
        <v>0.125</v>
      </c>
      <c r="Q51" s="200">
        <f t="shared" si="27"/>
        <v>0.125</v>
      </c>
    </row>
    <row r="52" spans="1:17" s="249" customFormat="1" ht="12.75" customHeight="1">
      <c r="B52" s="3" t="str">
        <f>B20</f>
        <v>Net Income</v>
      </c>
      <c r="C52" s="3"/>
      <c r="D52" s="3"/>
      <c r="E52" s="3"/>
      <c r="F52" s="3"/>
      <c r="G52" s="3"/>
      <c r="H52" s="3"/>
      <c r="I52" s="906">
        <f>'Acq Income Statement'!J62/100</f>
        <v>2.0212987428937469E-3</v>
      </c>
      <c r="J52" s="200">
        <f t="shared" ref="J52:Q52" si="28">IF(AND(J20&gt;=0,I20&gt;0),J20/I20-1,"NM")</f>
        <v>0.24963366059653347</v>
      </c>
      <c r="K52" s="200">
        <f t="shared" si="28"/>
        <v>0.10844826437470845</v>
      </c>
      <c r="L52" s="200">
        <f t="shared" ca="1" si="28"/>
        <v>8.6472951839257961E-2</v>
      </c>
      <c r="M52" s="200">
        <f t="shared" ca="1" si="28"/>
        <v>0.17652694102428157</v>
      </c>
      <c r="N52" s="200">
        <f t="shared" ca="1" si="28"/>
        <v>0.14427055393401744</v>
      </c>
      <c r="O52" s="200">
        <f t="shared" ca="1" si="28"/>
        <v>0.12651920738625666</v>
      </c>
      <c r="P52" s="200">
        <f t="shared" ca="1" si="28"/>
        <v>0.12638266296291567</v>
      </c>
      <c r="Q52" s="200">
        <f t="shared" ca="1" si="28"/>
        <v>0.12623903785890134</v>
      </c>
    </row>
    <row r="53" spans="1:17" s="249" customFormat="1" ht="12.75" customHeight="1">
      <c r="B53" s="3" t="str">
        <f>B26</f>
        <v>Diluted EPS</v>
      </c>
      <c r="C53" s="3"/>
      <c r="D53" s="3"/>
      <c r="E53" s="3"/>
      <c r="F53" s="3"/>
      <c r="G53" s="3"/>
      <c r="H53" s="3"/>
      <c r="I53" s="906">
        <f>'Acq Income Statement'!J63/100</f>
        <v>1.7986820995068275E-3</v>
      </c>
      <c r="J53" s="200">
        <f t="shared" ref="J53:Q53" si="29">IF(AND(J26&gt;=0,I26&gt;0),J26/I26-1,"NM")</f>
        <v>0.22691304858568739</v>
      </c>
      <c r="K53" s="200">
        <f t="shared" si="29"/>
        <v>8.8654545368017201E-2</v>
      </c>
      <c r="L53" s="200">
        <f t="shared" ca="1" si="29"/>
        <v>-9.3862569861560274E-3</v>
      </c>
      <c r="M53" s="200">
        <f t="shared" ca="1" si="29"/>
        <v>0.17652694102428157</v>
      </c>
      <c r="N53" s="200">
        <f t="shared" ca="1" si="29"/>
        <v>0.14427055393401744</v>
      </c>
      <c r="O53" s="200">
        <f t="shared" ca="1" si="29"/>
        <v>0.12651920738625666</v>
      </c>
      <c r="P53" s="200">
        <f t="shared" ca="1" si="29"/>
        <v>0.12638266296291567</v>
      </c>
      <c r="Q53" s="200">
        <f t="shared" ca="1" si="29"/>
        <v>0.12623903785890156</v>
      </c>
    </row>
    <row r="54" spans="1:17" ht="12.75" customHeight="1">
      <c r="B54" s="926"/>
      <c r="C54" s="926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5.95" customHeight="1" thickBot="1">
      <c r="A55" s="4" t="s">
        <v>167</v>
      </c>
      <c r="B55" s="817" t="s">
        <v>124</v>
      </c>
      <c r="C55" s="817"/>
      <c r="D55" s="818"/>
      <c r="E55" s="818"/>
      <c r="F55" s="818"/>
      <c r="G55" s="818"/>
      <c r="H55" s="818"/>
      <c r="I55" s="818"/>
      <c r="J55" s="818"/>
      <c r="K55" s="818"/>
      <c r="L55" s="818"/>
      <c r="M55" s="818"/>
      <c r="N55" s="818"/>
      <c r="O55" s="818"/>
      <c r="P55" s="819"/>
      <c r="Q55" s="819"/>
    </row>
    <row r="56" spans="1:17" ht="15" customHeight="1">
      <c r="B56" s="640" t="str">
        <f>$B$7</f>
        <v>Fiscal Year Ended December 31,</v>
      </c>
      <c r="C56" s="640"/>
      <c r="D56" s="640"/>
      <c r="E56" s="640"/>
      <c r="F56" s="640"/>
      <c r="G56" s="640"/>
      <c r="H56" s="640"/>
      <c r="I56" s="959"/>
      <c r="J56" s="959">
        <f t="shared" ref="J56:Q56" si="30">J7</f>
        <v>2017</v>
      </c>
      <c r="K56" s="1147">
        <f t="shared" si="30"/>
        <v>2018</v>
      </c>
      <c r="L56" s="1148">
        <f t="shared" si="30"/>
        <v>2019</v>
      </c>
      <c r="M56" s="960">
        <f t="shared" si="30"/>
        <v>2020</v>
      </c>
      <c r="N56" s="960">
        <f t="shared" si="30"/>
        <v>2021</v>
      </c>
      <c r="O56" s="960">
        <f t="shared" si="30"/>
        <v>2022</v>
      </c>
      <c r="P56" s="960">
        <f t="shared" si="30"/>
        <v>2023</v>
      </c>
      <c r="Q56" s="960">
        <f t="shared" si="30"/>
        <v>2024</v>
      </c>
    </row>
    <row r="57" spans="1:17" ht="15" customHeight="1">
      <c r="B57" s="139" t="s">
        <v>35</v>
      </c>
      <c r="C57" s="139"/>
    </row>
    <row r="58" spans="1:17" ht="12.75" customHeight="1">
      <c r="B58" s="3" t="s">
        <v>38</v>
      </c>
      <c r="J58" s="113">
        <f>'Acq Balance Sheet'!J8</f>
        <v>54.879538888888952</v>
      </c>
      <c r="K58" s="113">
        <f>'Acq Balance Sheet'!K8</f>
        <v>68.872413888888943</v>
      </c>
      <c r="L58" s="153">
        <f t="shared" ref="L58:Q58" ca="1" si="31">L112</f>
        <v>78.243958020562602</v>
      </c>
      <c r="M58" s="153">
        <f t="shared" ca="1" si="31"/>
        <v>99.160248702781644</v>
      </c>
      <c r="N58" s="153">
        <f t="shared" ca="1" si="31"/>
        <v>123.62591627100599</v>
      </c>
      <c r="O58" s="153">
        <f t="shared" ca="1" si="31"/>
        <v>151.65429589199584</v>
      </c>
      <c r="P58" s="153">
        <f t="shared" ca="1" si="31"/>
        <v>183.30449587764616</v>
      </c>
      <c r="Q58" s="153">
        <f t="shared" ca="1" si="31"/>
        <v>219.02968813012825</v>
      </c>
    </row>
    <row r="59" spans="1:17" ht="12.75" customHeight="1">
      <c r="B59" s="3" t="s">
        <v>39</v>
      </c>
      <c r="J59" s="115">
        <f>'Acq Balance Sheet'!J9</f>
        <v>16.681000000000001</v>
      </c>
      <c r="K59" s="115">
        <f>'Acq Balance Sheet'!K9</f>
        <v>12.850999999999999</v>
      </c>
      <c r="L59" s="161">
        <f t="shared" ref="L59:Q59" si="32">L224</f>
        <v>15.421199999999999</v>
      </c>
      <c r="M59" s="161">
        <f t="shared" si="32"/>
        <v>17.991399999999999</v>
      </c>
      <c r="N59" s="161">
        <f t="shared" si="32"/>
        <v>20.561599999999999</v>
      </c>
      <c r="O59" s="161">
        <f t="shared" si="32"/>
        <v>23.131799999999998</v>
      </c>
      <c r="P59" s="161">
        <f t="shared" si="32"/>
        <v>26.023274999999995</v>
      </c>
      <c r="Q59" s="161">
        <f t="shared" si="32"/>
        <v>29.276184374999996</v>
      </c>
    </row>
    <row r="60" spans="1:17" ht="12.75" customHeight="1">
      <c r="B60" s="3" t="s">
        <v>40</v>
      </c>
      <c r="J60" s="115">
        <f>'Acq Balance Sheet'!J10</f>
        <v>10.482666666666701</v>
      </c>
      <c r="K60" s="115">
        <f>'Acq Balance Sheet'!K10</f>
        <v>11.956666666666701</v>
      </c>
      <c r="L60" s="161">
        <f t="shared" ref="L60:Q60" si="33">L228</f>
        <v>14.492929292929333</v>
      </c>
      <c r="M60" s="161">
        <f t="shared" si="33"/>
        <v>16.908417508417553</v>
      </c>
      <c r="N60" s="161">
        <f t="shared" si="33"/>
        <v>19.323905723905778</v>
      </c>
      <c r="O60" s="161">
        <f t="shared" si="33"/>
        <v>21.739393939393999</v>
      </c>
      <c r="P60" s="161">
        <f t="shared" si="33"/>
        <v>24.45681818181825</v>
      </c>
      <c r="Q60" s="161">
        <f t="shared" si="33"/>
        <v>27.513920454545531</v>
      </c>
    </row>
    <row r="61" spans="1:17" ht="12.75" customHeight="1">
      <c r="B61" s="3" t="s">
        <v>41</v>
      </c>
      <c r="J61" s="143">
        <f>'Acq Balance Sheet'!J11</f>
        <v>4.2530000000000001</v>
      </c>
      <c r="K61" s="143">
        <f>'Acq Balance Sheet'!K11</f>
        <v>5.8770000000000007</v>
      </c>
      <c r="L61" s="268">
        <f t="shared" ref="L61:Q61" si="34">L232</f>
        <v>7.0524000000000013</v>
      </c>
      <c r="M61" s="268">
        <f t="shared" si="34"/>
        <v>8.227800000000002</v>
      </c>
      <c r="N61" s="268">
        <f t="shared" si="34"/>
        <v>9.4032000000000018</v>
      </c>
      <c r="O61" s="268">
        <f t="shared" si="34"/>
        <v>10.578600000000002</v>
      </c>
      <c r="P61" s="268">
        <f t="shared" si="34"/>
        <v>11.900925000000003</v>
      </c>
      <c r="Q61" s="268">
        <f t="shared" si="34"/>
        <v>13.388540625000003</v>
      </c>
    </row>
    <row r="62" spans="1:17" ht="12.75" customHeight="1">
      <c r="B62" s="151" t="s">
        <v>42</v>
      </c>
      <c r="C62" s="151"/>
      <c r="J62" s="1079">
        <f t="shared" ref="J62:Q62" si="35">SUM(J58:J61)</f>
        <v>86.296205555555659</v>
      </c>
      <c r="K62" s="1121">
        <f>SUM(K58:K61)</f>
        <v>99.557080555555643</v>
      </c>
      <c r="L62" s="1121">
        <f t="shared" ca="1" si="35"/>
        <v>115.21048731349194</v>
      </c>
      <c r="M62" s="1121">
        <f t="shared" ca="1" si="35"/>
        <v>142.2878662111992</v>
      </c>
      <c r="N62" s="1121">
        <f t="shared" ca="1" si="35"/>
        <v>172.91462199491176</v>
      </c>
      <c r="O62" s="1121">
        <f t="shared" ca="1" si="35"/>
        <v>207.10408983138984</v>
      </c>
      <c r="P62" s="1150">
        <f t="shared" ca="1" si="35"/>
        <v>245.6855140594644</v>
      </c>
      <c r="Q62" s="1150">
        <f t="shared" ca="1" si="35"/>
        <v>289.20833358467377</v>
      </c>
    </row>
    <row r="63" spans="1:17" ht="12.75" customHeight="1">
      <c r="B63" s="3" t="s">
        <v>43</v>
      </c>
      <c r="J63" s="115">
        <f>'Acq Balance Sheet'!J13</f>
        <v>4.5</v>
      </c>
      <c r="K63" s="115">
        <f>'Acq Balance Sheet'!K13</f>
        <v>4.5999999999999996</v>
      </c>
      <c r="L63" s="161">
        <f>K63-L100-L89</f>
        <v>4.5999999999999996</v>
      </c>
      <c r="M63" s="161">
        <f t="shared" ref="M63:Q63" si="36">L63-M100-M89</f>
        <v>6.6000000000000014</v>
      </c>
      <c r="N63" s="161">
        <f t="shared" si="36"/>
        <v>8.8857142857142897</v>
      </c>
      <c r="O63" s="161">
        <f t="shared" si="36"/>
        <v>11.457142857142861</v>
      </c>
      <c r="P63" s="161">
        <f t="shared" si="36"/>
        <v>14.350000000000003</v>
      </c>
      <c r="Q63" s="161">
        <f t="shared" si="36"/>
        <v>17.60446428571429</v>
      </c>
    </row>
    <row r="64" spans="1:17" ht="12.75" customHeight="1">
      <c r="B64" s="3" t="s">
        <v>332</v>
      </c>
      <c r="J64" s="115">
        <f>'Acq Balance Sheet'!J14</f>
        <v>2</v>
      </c>
      <c r="K64" s="115">
        <f>'Acq Balance Sheet'!K14</f>
        <v>0.21</v>
      </c>
      <c r="L64" s="161">
        <f t="shared" ref="L64:Q64" si="37">K64</f>
        <v>0.21</v>
      </c>
      <c r="M64" s="161">
        <f t="shared" si="37"/>
        <v>0.21</v>
      </c>
      <c r="N64" s="161">
        <f t="shared" si="37"/>
        <v>0.21</v>
      </c>
      <c r="O64" s="161">
        <f t="shared" si="37"/>
        <v>0.21</v>
      </c>
      <c r="P64" s="161">
        <f t="shared" si="37"/>
        <v>0.21</v>
      </c>
      <c r="Q64" s="161">
        <f t="shared" si="37"/>
        <v>0.21</v>
      </c>
    </row>
    <row r="65" spans="2:17" ht="12.75" customHeight="1">
      <c r="B65" s="3" t="s">
        <v>356</v>
      </c>
      <c r="J65" s="115">
        <f>'Acq Balance Sheet'!J15</f>
        <v>0.57199999999999995</v>
      </c>
      <c r="K65" s="115">
        <f>'Acq Balance Sheet'!K15</f>
        <v>0.437</v>
      </c>
      <c r="L65" s="161">
        <f t="shared" ref="L65:Q65" si="38">K65-L90</f>
        <v>0.437</v>
      </c>
      <c r="M65" s="161">
        <f t="shared" si="38"/>
        <v>0.437</v>
      </c>
      <c r="N65" s="161">
        <f t="shared" si="38"/>
        <v>0.437</v>
      </c>
      <c r="O65" s="161">
        <f t="shared" si="38"/>
        <v>0.437</v>
      </c>
      <c r="P65" s="161">
        <f t="shared" si="38"/>
        <v>0.437</v>
      </c>
      <c r="Q65" s="161">
        <f t="shared" si="38"/>
        <v>0.437</v>
      </c>
    </row>
    <row r="66" spans="2:17" ht="12.75" customHeight="1">
      <c r="B66" s="3" t="s">
        <v>232</v>
      </c>
      <c r="J66" s="143">
        <f>'Acq Balance Sheet'!J16</f>
        <v>8</v>
      </c>
      <c r="K66" s="143">
        <f>'Acq Balance Sheet'!K16</f>
        <v>3.621</v>
      </c>
      <c r="L66" s="161">
        <f t="shared" ref="L66:Q66" si="39">K66</f>
        <v>3.621</v>
      </c>
      <c r="M66" s="161">
        <f t="shared" si="39"/>
        <v>3.621</v>
      </c>
      <c r="N66" s="161">
        <f t="shared" si="39"/>
        <v>3.621</v>
      </c>
      <c r="O66" s="161">
        <f t="shared" si="39"/>
        <v>3.621</v>
      </c>
      <c r="P66" s="161">
        <f t="shared" si="39"/>
        <v>3.621</v>
      </c>
      <c r="Q66" s="161">
        <f t="shared" si="39"/>
        <v>3.621</v>
      </c>
    </row>
    <row r="67" spans="2:17" ht="12.75" customHeight="1">
      <c r="B67" s="151" t="s">
        <v>46</v>
      </c>
      <c r="C67" s="151"/>
      <c r="J67" s="909">
        <f t="shared" ref="J67:Q67" si="40">SUM(J62:J66)</f>
        <v>101.36820555555566</v>
      </c>
      <c r="K67" s="910">
        <f>SUM(K62:K66)</f>
        <v>108.42508055555562</v>
      </c>
      <c r="L67" s="910">
        <f t="shared" ca="1" si="40"/>
        <v>124.07848731349192</v>
      </c>
      <c r="M67" s="910">
        <f t="shared" ca="1" si="40"/>
        <v>153.15586621119922</v>
      </c>
      <c r="N67" s="910">
        <f t="shared" ca="1" si="40"/>
        <v>186.06833628062608</v>
      </c>
      <c r="O67" s="910">
        <f t="shared" ca="1" si="40"/>
        <v>222.82923268853273</v>
      </c>
      <c r="P67" s="827">
        <f t="shared" ca="1" si="40"/>
        <v>264.30351405946436</v>
      </c>
      <c r="Q67" s="827">
        <f t="shared" ca="1" si="40"/>
        <v>311.08079787038804</v>
      </c>
    </row>
    <row r="68" spans="2:17" ht="12.75" customHeight="1">
      <c r="J68" s="146"/>
      <c r="K68" s="146"/>
      <c r="L68" s="146"/>
      <c r="M68" s="146"/>
      <c r="N68" s="146"/>
      <c r="O68" s="146"/>
      <c r="P68" s="146"/>
      <c r="Q68" s="146"/>
    </row>
    <row r="69" spans="2:17" ht="12.75" customHeight="1">
      <c r="B69" s="139" t="s">
        <v>47</v>
      </c>
      <c r="C69" s="139"/>
      <c r="J69" s="1149"/>
      <c r="K69" s="1149"/>
      <c r="L69" s="1149"/>
      <c r="M69" s="218"/>
      <c r="N69" s="218"/>
      <c r="O69" s="218"/>
      <c r="P69" s="218"/>
      <c r="Q69" s="218"/>
    </row>
    <row r="70" spans="2:17" ht="12.75" customHeight="1">
      <c r="B70" s="3" t="s">
        <v>151</v>
      </c>
      <c r="J70" s="113">
        <f>'Acq Balance Sheet'!J20</f>
        <v>0.1</v>
      </c>
      <c r="K70" s="113">
        <f>'Acq Balance Sheet'!K20</f>
        <v>0.1</v>
      </c>
      <c r="L70" s="153">
        <f t="shared" ref="L70:Q70" si="41">M142</f>
        <v>0</v>
      </c>
      <c r="M70" s="153">
        <f t="shared" si="41"/>
        <v>0</v>
      </c>
      <c r="N70" s="153">
        <f t="shared" si="41"/>
        <v>0</v>
      </c>
      <c r="O70" s="153">
        <f t="shared" si="41"/>
        <v>0</v>
      </c>
      <c r="P70" s="153">
        <f t="shared" si="41"/>
        <v>0</v>
      </c>
      <c r="Q70" s="153">
        <f t="shared" si="41"/>
        <v>0</v>
      </c>
    </row>
    <row r="71" spans="2:17" ht="12.75" customHeight="1">
      <c r="B71" s="3" t="s">
        <v>48</v>
      </c>
      <c r="J71" s="115">
        <f>'Acq Balance Sheet'!J21</f>
        <v>7.3150000000000004</v>
      </c>
      <c r="K71" s="115">
        <f>'Acq Balance Sheet'!K21</f>
        <v>6.3860000000000001</v>
      </c>
      <c r="L71" s="161">
        <f t="shared" ref="L71:Q71" si="42">L235</f>
        <v>7.7406060606060612</v>
      </c>
      <c r="M71" s="161">
        <f t="shared" si="42"/>
        <v>9.0307070707070718</v>
      </c>
      <c r="N71" s="161">
        <f t="shared" si="42"/>
        <v>10.320808080808082</v>
      </c>
      <c r="O71" s="161">
        <f t="shared" si="42"/>
        <v>11.610909090909091</v>
      </c>
      <c r="P71" s="161">
        <f t="shared" si="42"/>
        <v>13.062272727272727</v>
      </c>
      <c r="Q71" s="161">
        <f t="shared" si="42"/>
        <v>14.695056818181818</v>
      </c>
    </row>
    <row r="72" spans="2:17" ht="12.75" customHeight="1">
      <c r="B72" s="3" t="s">
        <v>49</v>
      </c>
      <c r="J72" s="143">
        <f>'Acq Balance Sheet'!J22</f>
        <v>8.3670000000000009</v>
      </c>
      <c r="K72" s="143">
        <f>'Acq Balance Sheet'!K22</f>
        <v>8.859</v>
      </c>
      <c r="L72" s="268">
        <f t="shared" ref="L72:Q72" si="43">L239</f>
        <v>10.630800000000001</v>
      </c>
      <c r="M72" s="268">
        <f t="shared" si="43"/>
        <v>12.4026</v>
      </c>
      <c r="N72" s="268">
        <f t="shared" si="43"/>
        <v>14.1744</v>
      </c>
      <c r="O72" s="268">
        <f t="shared" si="43"/>
        <v>15.946200000000001</v>
      </c>
      <c r="P72" s="268">
        <f t="shared" si="43"/>
        <v>17.939475000000002</v>
      </c>
      <c r="Q72" s="268">
        <f t="shared" si="43"/>
        <v>20.181909375</v>
      </c>
    </row>
    <row r="73" spans="2:17" ht="12.75" customHeight="1">
      <c r="B73" s="151" t="s">
        <v>50</v>
      </c>
      <c r="C73" s="151"/>
      <c r="J73" s="1079">
        <f t="shared" ref="J73:Q73" si="44">SUM(J70:J72)</f>
        <v>15.782</v>
      </c>
      <c r="K73" s="1121">
        <f>SUM(K70:K72)</f>
        <v>15.344999999999999</v>
      </c>
      <c r="L73" s="1121">
        <f t="shared" si="44"/>
        <v>18.371406060606063</v>
      </c>
      <c r="M73" s="1121">
        <f t="shared" si="44"/>
        <v>21.433307070707073</v>
      </c>
      <c r="N73" s="1121">
        <f t="shared" si="44"/>
        <v>24.495208080808084</v>
      </c>
      <c r="O73" s="1121">
        <f t="shared" si="44"/>
        <v>27.557109090909094</v>
      </c>
      <c r="P73" s="1150">
        <f t="shared" si="44"/>
        <v>31.001747727272729</v>
      </c>
      <c r="Q73" s="1150">
        <f t="shared" si="44"/>
        <v>34.876966193181815</v>
      </c>
    </row>
    <row r="74" spans="2:17" ht="12.75" customHeight="1">
      <c r="B74" s="3" t="s">
        <v>120</v>
      </c>
      <c r="J74" s="115">
        <f>'Acq Balance Sheet'!J24</f>
        <v>9.5</v>
      </c>
      <c r="K74" s="115">
        <f>'Acq Balance Sheet'!K24</f>
        <v>9.4</v>
      </c>
      <c r="L74" s="161">
        <f t="shared" ref="L74:Q74" ca="1" si="45">L132-L70</f>
        <v>0</v>
      </c>
      <c r="M74" s="161">
        <f t="shared" ca="1" si="45"/>
        <v>0</v>
      </c>
      <c r="N74" s="161">
        <f t="shared" ca="1" si="45"/>
        <v>0</v>
      </c>
      <c r="O74" s="161">
        <f t="shared" ca="1" si="45"/>
        <v>0</v>
      </c>
      <c r="P74" s="161">
        <f t="shared" ca="1" si="45"/>
        <v>0</v>
      </c>
      <c r="Q74" s="161">
        <f t="shared" ca="1" si="45"/>
        <v>0</v>
      </c>
    </row>
    <row r="75" spans="2:17" ht="12.75" customHeight="1">
      <c r="B75" s="3" t="s">
        <v>233</v>
      </c>
      <c r="J75" s="115">
        <f>'Acq Balance Sheet'!J25</f>
        <v>5.43</v>
      </c>
      <c r="K75" s="115">
        <f>'Acq Balance Sheet'!K25</f>
        <v>4.4939999999999998</v>
      </c>
      <c r="L75" s="161">
        <f t="shared" ref="L75:P77" si="46">K75</f>
        <v>4.4939999999999998</v>
      </c>
      <c r="M75" s="161">
        <f t="shared" si="46"/>
        <v>4.4939999999999998</v>
      </c>
      <c r="N75" s="161">
        <f t="shared" si="46"/>
        <v>4.4939999999999998</v>
      </c>
      <c r="O75" s="161">
        <f t="shared" si="46"/>
        <v>4.4939999999999998</v>
      </c>
      <c r="P75" s="161">
        <f t="shared" si="46"/>
        <v>4.4939999999999998</v>
      </c>
      <c r="Q75" s="161">
        <f>P75</f>
        <v>4.4939999999999998</v>
      </c>
    </row>
    <row r="76" spans="2:17" ht="12.75" customHeight="1">
      <c r="B76" s="3" t="s">
        <v>52</v>
      </c>
      <c r="J76" s="115">
        <f>'Acq Balance Sheet'!J26</f>
        <v>1</v>
      </c>
      <c r="K76" s="115">
        <f>'Acq Balance Sheet'!K26</f>
        <v>1</v>
      </c>
      <c r="L76" s="161">
        <f t="shared" si="46"/>
        <v>1</v>
      </c>
      <c r="M76" s="161">
        <f t="shared" si="46"/>
        <v>1</v>
      </c>
      <c r="N76" s="161">
        <f t="shared" si="46"/>
        <v>1</v>
      </c>
      <c r="O76" s="161">
        <f t="shared" si="46"/>
        <v>1</v>
      </c>
      <c r="P76" s="161">
        <f t="shared" si="46"/>
        <v>1</v>
      </c>
      <c r="Q76" s="161">
        <f>P76</f>
        <v>1</v>
      </c>
    </row>
    <row r="77" spans="2:17" ht="12.75" customHeight="1">
      <c r="B77" s="3" t="s">
        <v>53</v>
      </c>
      <c r="J77" s="115">
        <f>'Acq Balance Sheet'!J27</f>
        <v>0.5</v>
      </c>
      <c r="K77" s="115">
        <f>'Acq Balance Sheet'!K27</f>
        <v>0.5</v>
      </c>
      <c r="L77" s="161">
        <f t="shared" si="46"/>
        <v>0.5</v>
      </c>
      <c r="M77" s="161">
        <f t="shared" si="46"/>
        <v>0.5</v>
      </c>
      <c r="N77" s="161">
        <f t="shared" si="46"/>
        <v>0.5</v>
      </c>
      <c r="O77" s="161">
        <f t="shared" si="46"/>
        <v>0.5</v>
      </c>
      <c r="P77" s="161">
        <f t="shared" si="46"/>
        <v>0.5</v>
      </c>
      <c r="Q77" s="161">
        <f>P77</f>
        <v>0.5</v>
      </c>
    </row>
    <row r="78" spans="2:17" ht="12.75" customHeight="1">
      <c r="B78" s="3" t="s">
        <v>150</v>
      </c>
      <c r="J78" s="143">
        <f>'Acq Balance Sheet'!J28</f>
        <v>69.156205555555658</v>
      </c>
      <c r="K78" s="143">
        <f>'Acq Balance Sheet'!K28</f>
        <v>77.686080555555634</v>
      </c>
      <c r="L78" s="268">
        <f t="shared" ref="L78:Q78" ca="1" si="47">K78+L23+L104+L103+L92+L91+L105</f>
        <v>99.713081252885857</v>
      </c>
      <c r="M78" s="268">
        <f t="shared" ca="1" si="47"/>
        <v>125.72855914049212</v>
      </c>
      <c r="N78" s="268">
        <f t="shared" ca="1" si="47"/>
        <v>155.57912819981797</v>
      </c>
      <c r="O78" s="268">
        <f t="shared" ca="1" si="47"/>
        <v>189.27812359762359</v>
      </c>
      <c r="P78" s="268">
        <f t="shared" ca="1" si="47"/>
        <v>227.30776633219165</v>
      </c>
      <c r="Q78" s="268">
        <f t="shared" ca="1" si="47"/>
        <v>270.20983167720618</v>
      </c>
    </row>
    <row r="79" spans="2:17" ht="12.75" customHeight="1">
      <c r="B79" s="151" t="s">
        <v>54</v>
      </c>
      <c r="C79" s="151"/>
      <c r="J79" s="909">
        <f t="shared" ref="J79:Q79" si="48">SUM(J73:J78)</f>
        <v>101.36820555555566</v>
      </c>
      <c r="K79" s="910">
        <f>SUM(K73:K78)</f>
        <v>108.42508055555564</v>
      </c>
      <c r="L79" s="910">
        <f t="shared" ca="1" si="48"/>
        <v>124.07848731349192</v>
      </c>
      <c r="M79" s="910">
        <f t="shared" ca="1" si="48"/>
        <v>153.1558662111992</v>
      </c>
      <c r="N79" s="910">
        <f t="shared" ca="1" si="48"/>
        <v>186.06833628062606</v>
      </c>
      <c r="O79" s="910">
        <f t="shared" ca="1" si="48"/>
        <v>222.82923268853267</v>
      </c>
      <c r="P79" s="827">
        <f t="shared" ca="1" si="48"/>
        <v>264.30351405946436</v>
      </c>
      <c r="Q79" s="827">
        <f t="shared" ca="1" si="48"/>
        <v>311.08079787038798</v>
      </c>
    </row>
    <row r="80" spans="2:17" ht="12.75" customHeight="1">
      <c r="J80" s="146"/>
      <c r="K80" s="146"/>
      <c r="L80" s="146"/>
      <c r="M80" s="146"/>
      <c r="N80" s="146"/>
      <c r="O80" s="146"/>
      <c r="P80" s="146"/>
      <c r="Q80" s="146"/>
    </row>
    <row r="81" spans="1:17" ht="12.75" customHeight="1">
      <c r="B81" s="3" t="s">
        <v>34</v>
      </c>
      <c r="J81" s="68">
        <f>J67-J79</f>
        <v>0</v>
      </c>
      <c r="K81" s="68">
        <f t="shared" ref="K81:P81" si="49">K67-K79</f>
        <v>0</v>
      </c>
      <c r="L81" s="68">
        <f ca="1">L67-L79</f>
        <v>0</v>
      </c>
      <c r="M81" s="68">
        <f t="shared" ca="1" si="49"/>
        <v>0</v>
      </c>
      <c r="N81" s="68">
        <f t="shared" ca="1" si="49"/>
        <v>0</v>
      </c>
      <c r="O81" s="68">
        <f t="shared" ca="1" si="49"/>
        <v>0</v>
      </c>
      <c r="P81" s="68">
        <f t="shared" ca="1" si="49"/>
        <v>0</v>
      </c>
      <c r="Q81" s="68">
        <f ca="1">Q67-Q79</f>
        <v>0</v>
      </c>
    </row>
    <row r="82" spans="1:17" ht="12.75" customHeight="1">
      <c r="J82" s="146"/>
      <c r="K82" s="146"/>
      <c r="L82" s="146"/>
      <c r="M82" s="146"/>
      <c r="N82" s="146"/>
      <c r="O82" s="146"/>
      <c r="P82" s="146"/>
      <c r="Q82" s="146"/>
    </row>
    <row r="83" spans="1:17" s="17" customFormat="1" ht="12.75" customHeight="1">
      <c r="B83" s="10" t="s">
        <v>55</v>
      </c>
      <c r="C83" s="10"/>
      <c r="D83" s="10"/>
      <c r="E83" s="10"/>
      <c r="F83" s="10"/>
      <c r="G83" s="10"/>
      <c r="H83" s="10"/>
      <c r="I83" s="10"/>
      <c r="J83" s="886">
        <f t="shared" ref="J83:P83" si="50">SUM(J59:J61)-SUM(J71:J72)</f>
        <v>15.734666666666698</v>
      </c>
      <c r="K83" s="886">
        <f t="shared" si="50"/>
        <v>15.4396666666667</v>
      </c>
      <c r="L83" s="886">
        <f t="shared" si="50"/>
        <v>18.595123232323267</v>
      </c>
      <c r="M83" s="886">
        <f t="shared" si="50"/>
        <v>21.694310437710485</v>
      </c>
      <c r="N83" s="886">
        <f t="shared" si="50"/>
        <v>24.793497643097695</v>
      </c>
      <c r="O83" s="886">
        <f t="shared" si="50"/>
        <v>27.892684848484905</v>
      </c>
      <c r="P83" s="886">
        <f t="shared" si="50"/>
        <v>31.379270454545519</v>
      </c>
      <c r="Q83" s="886">
        <f>SUM(Q59:Q61)-SUM(Q71:Q72)</f>
        <v>35.301679261363716</v>
      </c>
    </row>
    <row r="84" spans="1:17" ht="12.75" customHeight="1">
      <c r="B84" s="3" t="s">
        <v>256</v>
      </c>
      <c r="J84" s="200">
        <f t="shared" ref="J84:Q84" si="51">J83/J8</f>
        <v>0.17482962962962997</v>
      </c>
      <c r="K84" s="200">
        <f t="shared" si="51"/>
        <v>0.15439666666666699</v>
      </c>
      <c r="L84" s="200">
        <f t="shared" si="51"/>
        <v>0.15495936026936055</v>
      </c>
      <c r="M84" s="200">
        <f t="shared" si="51"/>
        <v>0.15495936026936061</v>
      </c>
      <c r="N84" s="200">
        <f t="shared" si="51"/>
        <v>0.15495936026936058</v>
      </c>
      <c r="O84" s="200">
        <f t="shared" si="51"/>
        <v>0.15495936026936058</v>
      </c>
      <c r="P84" s="200">
        <f t="shared" si="51"/>
        <v>0.15495936026936058</v>
      </c>
      <c r="Q84" s="200">
        <f t="shared" si="51"/>
        <v>0.15495936026936061</v>
      </c>
    </row>
    <row r="85" spans="1:17" ht="12.75" customHeight="1">
      <c r="J85" s="1075"/>
      <c r="K85" s="1075"/>
      <c r="L85" s="1075"/>
      <c r="M85" s="1075"/>
      <c r="N85" s="1075"/>
      <c r="O85" s="1075"/>
      <c r="P85" s="1075"/>
      <c r="Q85" s="1075"/>
    </row>
    <row r="86" spans="1:17" ht="15.95" customHeight="1" thickBot="1">
      <c r="A86" s="4" t="s">
        <v>167</v>
      </c>
      <c r="B86" s="817" t="s">
        <v>125</v>
      </c>
      <c r="C86" s="817"/>
      <c r="D86" s="818"/>
      <c r="E86" s="818"/>
      <c r="F86" s="818"/>
      <c r="G86" s="818"/>
      <c r="H86" s="818"/>
      <c r="I86" s="818"/>
      <c r="J86" s="818"/>
      <c r="K86" s="818"/>
      <c r="L86" s="818"/>
      <c r="M86" s="818"/>
      <c r="N86" s="818"/>
      <c r="O86" s="818"/>
      <c r="P86" s="819"/>
      <c r="Q86" s="819"/>
    </row>
    <row r="87" spans="1:17" ht="15" customHeight="1">
      <c r="B87" s="640" t="str">
        <f>$B$7</f>
        <v>Fiscal Year Ended December 31,</v>
      </c>
      <c r="C87" s="640"/>
      <c r="D87" s="640"/>
      <c r="E87" s="640"/>
      <c r="F87" s="640"/>
      <c r="G87" s="640"/>
      <c r="H87" s="640"/>
      <c r="I87" s="959"/>
      <c r="J87" s="959"/>
      <c r="K87" s="1147"/>
      <c r="L87" s="1148">
        <f t="shared" ref="L87:Q87" si="52">L7</f>
        <v>2019</v>
      </c>
      <c r="M87" s="960">
        <f t="shared" si="52"/>
        <v>2020</v>
      </c>
      <c r="N87" s="960">
        <f t="shared" si="52"/>
        <v>2021</v>
      </c>
      <c r="O87" s="960">
        <f t="shared" si="52"/>
        <v>2022</v>
      </c>
      <c r="P87" s="960">
        <f t="shared" si="52"/>
        <v>2023</v>
      </c>
      <c r="Q87" s="960">
        <f t="shared" si="52"/>
        <v>2024</v>
      </c>
    </row>
    <row r="88" spans="1:17" ht="15" customHeight="1">
      <c r="B88" s="3" t="s">
        <v>65</v>
      </c>
      <c r="L88" s="886">
        <f t="shared" ref="L88:Q88" ca="1" si="53">L23</f>
        <v>22.594155697330223</v>
      </c>
      <c r="M88" s="153">
        <f t="shared" ca="1" si="53"/>
        <v>26.58263288760627</v>
      </c>
      <c r="N88" s="153">
        <f t="shared" ca="1" si="53"/>
        <v>30.417724059325856</v>
      </c>
      <c r="O88" s="153">
        <f t="shared" ca="1" si="53"/>
        <v>34.266150397805632</v>
      </c>
      <c r="P88" s="153">
        <f t="shared" ca="1" si="53"/>
        <v>38.596797734568078</v>
      </c>
      <c r="Q88" s="153">
        <f t="shared" ca="1" si="53"/>
        <v>43.469220345014577</v>
      </c>
    </row>
    <row r="89" spans="1:17" s="17" customFormat="1">
      <c r="B89" s="10" t="s">
        <v>568</v>
      </c>
      <c r="C89" s="10"/>
      <c r="D89" s="10"/>
      <c r="E89" s="10"/>
      <c r="F89" s="10"/>
      <c r="G89" s="10"/>
      <c r="H89" s="10"/>
      <c r="I89" s="10"/>
      <c r="J89" s="10"/>
      <c r="K89" s="10"/>
      <c r="L89" s="40">
        <f>L220-L90</f>
        <v>10</v>
      </c>
      <c r="M89" s="40">
        <f t="shared" ref="M89:Q89" si="54">M220-M90</f>
        <v>10</v>
      </c>
      <c r="N89" s="40">
        <f t="shared" si="54"/>
        <v>11.428571428571427</v>
      </c>
      <c r="O89" s="40">
        <f t="shared" si="54"/>
        <v>12.857142857142856</v>
      </c>
      <c r="P89" s="40">
        <f t="shared" si="54"/>
        <v>14.464285714285714</v>
      </c>
      <c r="Q89" s="40">
        <f t="shared" si="54"/>
        <v>16.272321428571427</v>
      </c>
    </row>
    <row r="90" spans="1:17">
      <c r="B90" s="3" t="s">
        <v>331</v>
      </c>
      <c r="L90" s="453">
        <v>0</v>
      </c>
      <c r="M90" s="453">
        <v>0</v>
      </c>
      <c r="N90" s="453">
        <v>0</v>
      </c>
      <c r="O90" s="453">
        <v>0</v>
      </c>
      <c r="P90" s="453">
        <v>0</v>
      </c>
      <c r="Q90" s="453">
        <v>0</v>
      </c>
    </row>
    <row r="91" spans="1:17">
      <c r="B91" s="3" t="s">
        <v>49</v>
      </c>
      <c r="L91" s="453">
        <v>0</v>
      </c>
      <c r="M91" s="453">
        <v>0</v>
      </c>
      <c r="N91" s="453">
        <v>0</v>
      </c>
      <c r="O91" s="453">
        <v>0</v>
      </c>
      <c r="P91" s="453">
        <v>0</v>
      </c>
      <c r="Q91" s="453">
        <v>0</v>
      </c>
    </row>
    <row r="92" spans="1:17">
      <c r="B92" s="3" t="s">
        <v>307</v>
      </c>
      <c r="L92" s="453">
        <v>0</v>
      </c>
      <c r="M92" s="453">
        <v>0</v>
      </c>
      <c r="N92" s="453">
        <v>0</v>
      </c>
      <c r="O92" s="453">
        <v>0</v>
      </c>
      <c r="P92" s="453">
        <v>0</v>
      </c>
      <c r="Q92" s="453">
        <v>0</v>
      </c>
    </row>
    <row r="93" spans="1:17" ht="12.75" customHeight="1">
      <c r="B93" s="3" t="s">
        <v>234</v>
      </c>
      <c r="L93" s="40">
        <f t="shared" ref="L93:Q93" si="55">K66-L66</f>
        <v>0</v>
      </c>
      <c r="M93" s="161">
        <f t="shared" si="55"/>
        <v>0</v>
      </c>
      <c r="N93" s="161">
        <f t="shared" si="55"/>
        <v>0</v>
      </c>
      <c r="O93" s="161">
        <f t="shared" si="55"/>
        <v>0</v>
      </c>
      <c r="P93" s="161">
        <f t="shared" si="55"/>
        <v>0</v>
      </c>
      <c r="Q93" s="161">
        <f t="shared" si="55"/>
        <v>0</v>
      </c>
    </row>
    <row r="94" spans="1:17" ht="12.75" customHeight="1">
      <c r="B94" s="4" t="s">
        <v>235</v>
      </c>
      <c r="C94" s="4"/>
      <c r="D94" s="4"/>
      <c r="E94" s="4"/>
      <c r="F94" s="4"/>
      <c r="G94" s="4"/>
      <c r="H94" s="4"/>
      <c r="I94" s="4"/>
      <c r="J94" s="4"/>
      <c r="K94" s="4"/>
      <c r="L94" s="19">
        <f t="shared" ref="L94:Q94" si="56">L75-K75</f>
        <v>0</v>
      </c>
      <c r="M94" s="68">
        <f t="shared" si="56"/>
        <v>0</v>
      </c>
      <c r="N94" s="68">
        <f t="shared" si="56"/>
        <v>0</v>
      </c>
      <c r="O94" s="68">
        <f t="shared" si="56"/>
        <v>0</v>
      </c>
      <c r="P94" s="68">
        <f t="shared" si="56"/>
        <v>0</v>
      </c>
      <c r="Q94" s="68">
        <f t="shared" si="56"/>
        <v>0</v>
      </c>
    </row>
    <row r="95" spans="1:17">
      <c r="B95" s="4" t="s">
        <v>80</v>
      </c>
      <c r="C95" s="4"/>
      <c r="D95" s="4"/>
      <c r="E95" s="4"/>
      <c r="F95" s="4"/>
      <c r="G95" s="4"/>
      <c r="H95" s="4"/>
      <c r="I95" s="4"/>
      <c r="J95" s="4"/>
      <c r="K95" s="4"/>
      <c r="L95" s="19">
        <f t="shared" ref="L95:Q95" si="57">K83-L83</f>
        <v>-3.1554565656565678</v>
      </c>
      <c r="M95" s="19">
        <f t="shared" si="57"/>
        <v>-3.0991872053872171</v>
      </c>
      <c r="N95" s="19">
        <f t="shared" si="57"/>
        <v>-3.09918720538721</v>
      </c>
      <c r="O95" s="19">
        <f t="shared" si="57"/>
        <v>-3.09918720538721</v>
      </c>
      <c r="P95" s="19">
        <f t="shared" si="57"/>
        <v>-3.4865856060606149</v>
      </c>
      <c r="Q95" s="19">
        <f t="shared" si="57"/>
        <v>-3.922408806818197</v>
      </c>
    </row>
    <row r="96" spans="1:17" ht="12.75" customHeight="1">
      <c r="B96" s="1151" t="s">
        <v>322</v>
      </c>
      <c r="C96" s="1151"/>
      <c r="L96" s="1090">
        <f t="shared" ref="L96:Q96" ca="1" si="58">SUM(L88:L95)</f>
        <v>29.438699131673655</v>
      </c>
      <c r="M96" s="1091">
        <f t="shared" ca="1" si="58"/>
        <v>33.483445682219049</v>
      </c>
      <c r="N96" s="1091">
        <f t="shared" ca="1" si="58"/>
        <v>38.747108282510069</v>
      </c>
      <c r="O96" s="1091">
        <f t="shared" ca="1" si="58"/>
        <v>44.024106049561276</v>
      </c>
      <c r="P96" s="1092">
        <f t="shared" ca="1" si="58"/>
        <v>49.574497842793178</v>
      </c>
      <c r="Q96" s="1092">
        <f t="shared" ca="1" si="58"/>
        <v>55.81913296676781</v>
      </c>
    </row>
    <row r="97" spans="2:18" ht="12.75" customHeight="1">
      <c r="L97" s="1209"/>
      <c r="M97" s="1209"/>
      <c r="N97" s="1209"/>
      <c r="O97" s="1209"/>
      <c r="P97" s="1209"/>
      <c r="Q97" s="1209"/>
    </row>
    <row r="98" spans="2:18" ht="12.75" customHeight="1">
      <c r="B98" s="3" t="s">
        <v>122</v>
      </c>
      <c r="L98" s="40">
        <f t="shared" ref="L98:Q98" si="59">-L217</f>
        <v>-10</v>
      </c>
      <c r="M98" s="40">
        <f t="shared" si="59"/>
        <v>-12</v>
      </c>
      <c r="N98" s="40">
        <f t="shared" si="59"/>
        <v>-13.714285714285715</v>
      </c>
      <c r="O98" s="40">
        <f t="shared" si="59"/>
        <v>-15.428571428571429</v>
      </c>
      <c r="P98" s="40">
        <f t="shared" si="59"/>
        <v>-17.357142857142858</v>
      </c>
      <c r="Q98" s="40">
        <f t="shared" si="59"/>
        <v>-19.526785714285715</v>
      </c>
    </row>
    <row r="99" spans="2:18" ht="12.75" customHeight="1">
      <c r="B99" s="3" t="s">
        <v>567</v>
      </c>
      <c r="L99" s="912">
        <v>0</v>
      </c>
      <c r="M99" s="912">
        <v>0</v>
      </c>
      <c r="N99" s="912">
        <v>0</v>
      </c>
      <c r="O99" s="912">
        <v>0</v>
      </c>
      <c r="P99" s="912">
        <v>0</v>
      </c>
      <c r="Q99" s="912">
        <v>0</v>
      </c>
    </row>
    <row r="100" spans="2:18" ht="12.75" customHeight="1">
      <c r="B100" s="942" t="s">
        <v>323</v>
      </c>
      <c r="C100" s="942"/>
      <c r="D100" s="205"/>
      <c r="E100" s="205"/>
      <c r="F100" s="205"/>
      <c r="G100" s="205"/>
      <c r="H100" s="205"/>
      <c r="I100" s="205"/>
      <c r="J100" s="205"/>
      <c r="K100" s="205"/>
      <c r="L100" s="1090">
        <f t="shared" ref="L100:Q100" si="60">SUM(L98:L99)</f>
        <v>-10</v>
      </c>
      <c r="M100" s="1089">
        <f t="shared" si="60"/>
        <v>-12</v>
      </c>
      <c r="N100" s="1089">
        <f t="shared" si="60"/>
        <v>-13.714285714285715</v>
      </c>
      <c r="O100" s="1089">
        <f t="shared" si="60"/>
        <v>-15.428571428571429</v>
      </c>
      <c r="P100" s="407">
        <f t="shared" si="60"/>
        <v>-17.357142857142858</v>
      </c>
      <c r="Q100" s="407">
        <f t="shared" si="60"/>
        <v>-19.526785714285715</v>
      </c>
    </row>
    <row r="101" spans="2:18" ht="12.75" customHeight="1">
      <c r="B101" s="151"/>
      <c r="C101" s="151"/>
      <c r="L101" s="40"/>
      <c r="M101" s="161"/>
      <c r="N101" s="161"/>
      <c r="O101" s="161"/>
      <c r="P101" s="161"/>
      <c r="Q101" s="161"/>
    </row>
    <row r="102" spans="2:18" ht="12.75" customHeight="1">
      <c r="B102" s="3" t="s">
        <v>175</v>
      </c>
      <c r="L102" s="40">
        <f t="shared" ref="L102:Q102" si="61">-L142</f>
        <v>0</v>
      </c>
      <c r="M102" s="161">
        <f t="shared" si="61"/>
        <v>0</v>
      </c>
      <c r="N102" s="161">
        <f t="shared" si="61"/>
        <v>0</v>
      </c>
      <c r="O102" s="161">
        <f t="shared" si="61"/>
        <v>0</v>
      </c>
      <c r="P102" s="161">
        <f t="shared" si="61"/>
        <v>0</v>
      </c>
      <c r="Q102" s="161">
        <f t="shared" si="61"/>
        <v>0</v>
      </c>
    </row>
    <row r="103" spans="2:18" ht="12.75" customHeight="1">
      <c r="B103" s="3" t="s">
        <v>510</v>
      </c>
      <c r="F103" s="944">
        <f>'Acq Spread Cover'!J19</f>
        <v>0.05</v>
      </c>
      <c r="G103" s="3" t="s">
        <v>174</v>
      </c>
      <c r="L103" s="40">
        <f t="shared" ref="L103:Q103" si="62">-$F103*L213</f>
        <v>-0.56715499999999996</v>
      </c>
      <c r="M103" s="40">
        <f t="shared" si="62"/>
        <v>-0.56715499999999996</v>
      </c>
      <c r="N103" s="40">
        <f t="shared" si="62"/>
        <v>-0.56715499999999996</v>
      </c>
      <c r="O103" s="40">
        <f t="shared" si="62"/>
        <v>-0.56715499999999996</v>
      </c>
      <c r="P103" s="40">
        <f t="shared" si="62"/>
        <v>-0.56715499999999996</v>
      </c>
      <c r="Q103" s="40">
        <f t="shared" si="62"/>
        <v>-0.56715499999999996</v>
      </c>
    </row>
    <row r="104" spans="2:18" ht="12.75" customHeight="1">
      <c r="B104" s="3" t="s">
        <v>81</v>
      </c>
      <c r="L104" s="40">
        <f t="shared" ref="L104:Q104" si="63">-L201</f>
        <v>0</v>
      </c>
      <c r="M104" s="40">
        <f t="shared" si="63"/>
        <v>0</v>
      </c>
      <c r="N104" s="40">
        <f t="shared" si="63"/>
        <v>0</v>
      </c>
      <c r="O104" s="40">
        <f t="shared" si="63"/>
        <v>0</v>
      </c>
      <c r="P104" s="40">
        <f t="shared" si="63"/>
        <v>0</v>
      </c>
      <c r="Q104" s="40">
        <f t="shared" si="63"/>
        <v>0</v>
      </c>
    </row>
    <row r="105" spans="2:18" ht="12.75" customHeight="1">
      <c r="B105" s="3" t="s">
        <v>49</v>
      </c>
      <c r="L105" s="453">
        <v>0</v>
      </c>
      <c r="M105" s="453">
        <v>0</v>
      </c>
      <c r="N105" s="453">
        <v>0</v>
      </c>
      <c r="O105" s="453">
        <v>0</v>
      </c>
      <c r="P105" s="453">
        <v>0</v>
      </c>
      <c r="Q105" s="453">
        <v>0</v>
      </c>
    </row>
    <row r="106" spans="2:18" ht="12.75" customHeight="1">
      <c r="B106" s="3" t="s">
        <v>342</v>
      </c>
      <c r="F106" s="1094">
        <v>10</v>
      </c>
      <c r="G106" s="160" t="s">
        <v>173</v>
      </c>
      <c r="H106" s="160"/>
      <c r="I106" s="4"/>
      <c r="L106" s="755">
        <f t="shared" ref="L106:Q106" ca="1" si="64">L124</f>
        <v>-9.5</v>
      </c>
      <c r="M106" s="755">
        <f t="shared" ca="1" si="64"/>
        <v>0</v>
      </c>
      <c r="N106" s="755">
        <f t="shared" ca="1" si="64"/>
        <v>0</v>
      </c>
      <c r="O106" s="755">
        <f t="shared" ca="1" si="64"/>
        <v>0</v>
      </c>
      <c r="P106" s="755">
        <f t="shared" ca="1" si="64"/>
        <v>0</v>
      </c>
      <c r="Q106" s="755">
        <f t="shared" ca="1" si="64"/>
        <v>0</v>
      </c>
      <c r="R106" s="1056"/>
    </row>
    <row r="107" spans="2:18" ht="12.75" customHeight="1">
      <c r="B107" s="942" t="s">
        <v>324</v>
      </c>
      <c r="C107" s="942"/>
      <c r="I107" s="1094"/>
      <c r="L107" s="1090">
        <f t="shared" ref="L107:Q107" ca="1" si="65">SUM(L102:L106)</f>
        <v>-10.067155</v>
      </c>
      <c r="M107" s="1090">
        <f t="shared" ca="1" si="65"/>
        <v>-0.56715499999999996</v>
      </c>
      <c r="N107" s="1090">
        <f t="shared" ca="1" si="65"/>
        <v>-0.56715499999999996</v>
      </c>
      <c r="O107" s="1090">
        <f t="shared" ca="1" si="65"/>
        <v>-0.56715499999999996</v>
      </c>
      <c r="P107" s="1090">
        <f t="shared" ca="1" si="65"/>
        <v>-0.56715499999999996</v>
      </c>
      <c r="Q107" s="1090">
        <f t="shared" ca="1" si="65"/>
        <v>-0.56715499999999996</v>
      </c>
    </row>
    <row r="108" spans="2:18" ht="12.75" customHeight="1">
      <c r="I108" s="1094"/>
      <c r="L108" s="19"/>
      <c r="M108" s="68"/>
      <c r="N108" s="68"/>
      <c r="O108" s="68"/>
      <c r="P108" s="68"/>
      <c r="Q108" s="68"/>
    </row>
    <row r="109" spans="2:18" ht="12.75" customHeight="1">
      <c r="B109" s="3" t="s">
        <v>431</v>
      </c>
      <c r="L109" s="40">
        <f t="shared" ref="L109:Q109" ca="1" si="66">L96+L100+L107</f>
        <v>9.3715441316736552</v>
      </c>
      <c r="M109" s="40">
        <f t="shared" ca="1" si="66"/>
        <v>20.916290682219049</v>
      </c>
      <c r="N109" s="40">
        <f t="shared" ca="1" si="66"/>
        <v>24.465667568224355</v>
      </c>
      <c r="O109" s="40">
        <f t="shared" ca="1" si="66"/>
        <v>28.028379620989845</v>
      </c>
      <c r="P109" s="40">
        <f t="shared" ca="1" si="66"/>
        <v>31.650199985650318</v>
      </c>
      <c r="Q109" s="40">
        <f t="shared" ca="1" si="66"/>
        <v>35.725192252482096</v>
      </c>
    </row>
    <row r="110" spans="2:18" ht="12.75" customHeight="1">
      <c r="L110" s="40"/>
      <c r="M110" s="161"/>
      <c r="N110" s="161"/>
      <c r="O110" s="161"/>
      <c r="P110" s="161"/>
      <c r="Q110" s="161"/>
    </row>
    <row r="111" spans="2:18" ht="12.75" customHeight="1">
      <c r="B111" s="3" t="s">
        <v>158</v>
      </c>
      <c r="L111" s="755">
        <f t="shared" ref="L111:Q111" si="67">K58</f>
        <v>68.872413888888943</v>
      </c>
      <c r="M111" s="268">
        <f t="shared" ca="1" si="67"/>
        <v>78.243958020562602</v>
      </c>
      <c r="N111" s="268">
        <f t="shared" ca="1" si="67"/>
        <v>99.160248702781644</v>
      </c>
      <c r="O111" s="268">
        <f t="shared" ca="1" si="67"/>
        <v>123.62591627100599</v>
      </c>
      <c r="P111" s="268">
        <f t="shared" ca="1" si="67"/>
        <v>151.65429589199584</v>
      </c>
      <c r="Q111" s="268">
        <f t="shared" ca="1" si="67"/>
        <v>183.30449587764616</v>
      </c>
    </row>
    <row r="112" spans="2:18" ht="12.75" customHeight="1">
      <c r="B112" s="3" t="s">
        <v>83</v>
      </c>
      <c r="L112" s="1153">
        <f t="shared" ref="L112:Q112" ca="1" si="68">L111+L109</f>
        <v>78.243958020562602</v>
      </c>
      <c r="M112" s="1153">
        <f t="shared" ca="1" si="68"/>
        <v>99.160248702781644</v>
      </c>
      <c r="N112" s="1153">
        <f t="shared" ca="1" si="68"/>
        <v>123.62591627100599</v>
      </c>
      <c r="O112" s="1153">
        <f t="shared" ca="1" si="68"/>
        <v>151.65429589199584</v>
      </c>
      <c r="P112" s="1153">
        <f t="shared" ca="1" si="68"/>
        <v>183.30449587764616</v>
      </c>
      <c r="Q112" s="1153">
        <f t="shared" ca="1" si="68"/>
        <v>219.02968813012825</v>
      </c>
    </row>
    <row r="113" spans="1:17" ht="12.75" customHeight="1">
      <c r="L113" s="68"/>
      <c r="M113" s="68"/>
      <c r="N113" s="68"/>
      <c r="O113" s="68"/>
      <c r="P113" s="68"/>
      <c r="Q113" s="68"/>
    </row>
    <row r="114" spans="1:17" s="17" customFormat="1" ht="12.75" customHeight="1">
      <c r="B114" s="10" t="s">
        <v>84</v>
      </c>
      <c r="C114" s="10"/>
      <c r="D114" s="10"/>
      <c r="E114" s="10"/>
      <c r="F114" s="10"/>
      <c r="G114" s="10"/>
      <c r="H114" s="10"/>
      <c r="I114" s="10"/>
      <c r="J114" s="10"/>
      <c r="K114" s="10"/>
      <c r="L114" s="40">
        <f t="shared" ref="L114:Q114" si="69">L120</f>
        <v>9.5</v>
      </c>
      <c r="M114" s="40">
        <f t="shared" ca="1" si="69"/>
        <v>0</v>
      </c>
      <c r="N114" s="40">
        <f t="shared" ca="1" si="69"/>
        <v>0</v>
      </c>
      <c r="O114" s="40">
        <f t="shared" ca="1" si="69"/>
        <v>0</v>
      </c>
      <c r="P114" s="40">
        <f t="shared" ca="1" si="69"/>
        <v>0</v>
      </c>
      <c r="Q114" s="40">
        <f t="shared" ca="1" si="69"/>
        <v>0</v>
      </c>
    </row>
    <row r="115" spans="1:17" s="17" customFormat="1" ht="12.75" customHeight="1">
      <c r="B115" s="10" t="s">
        <v>85</v>
      </c>
      <c r="C115" s="10"/>
      <c r="D115" s="10"/>
      <c r="E115" s="10"/>
      <c r="F115" s="10"/>
      <c r="G115" s="10"/>
      <c r="H115" s="10"/>
      <c r="I115" s="10"/>
      <c r="J115" s="10"/>
      <c r="K115" s="10"/>
      <c r="L115" s="40">
        <f t="shared" ref="L115:Q115" ca="1" si="70">L125</f>
        <v>0</v>
      </c>
      <c r="M115" s="40">
        <f t="shared" ca="1" si="70"/>
        <v>0</v>
      </c>
      <c r="N115" s="40">
        <f t="shared" ca="1" si="70"/>
        <v>0</v>
      </c>
      <c r="O115" s="40">
        <f t="shared" ca="1" si="70"/>
        <v>0</v>
      </c>
      <c r="P115" s="40">
        <f t="shared" ca="1" si="70"/>
        <v>0</v>
      </c>
      <c r="Q115" s="40">
        <f t="shared" ca="1" si="70"/>
        <v>0</v>
      </c>
    </row>
    <row r="116" spans="1:17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</row>
    <row r="117" spans="1:17" ht="15.95" customHeight="1" thickBot="1">
      <c r="A117" s="4" t="s">
        <v>167</v>
      </c>
      <c r="B117" s="817" t="s">
        <v>226</v>
      </c>
      <c r="C117" s="817"/>
      <c r="D117" s="818"/>
      <c r="E117" s="818"/>
      <c r="F117" s="818"/>
      <c r="G117" s="818"/>
      <c r="H117" s="818"/>
      <c r="I117" s="818"/>
      <c r="J117" s="818"/>
      <c r="K117" s="818"/>
      <c r="L117" s="818"/>
      <c r="M117" s="818"/>
      <c r="N117" s="818"/>
      <c r="O117" s="818"/>
      <c r="P117" s="819"/>
      <c r="Q117" s="819"/>
    </row>
    <row r="118" spans="1:17" ht="15" customHeight="1">
      <c r="B118" s="640" t="str">
        <f>$B$7</f>
        <v>Fiscal Year Ended December 31,</v>
      </c>
      <c r="C118" s="640"/>
      <c r="D118" s="640"/>
      <c r="E118" s="640"/>
      <c r="F118" s="640"/>
      <c r="G118" s="640"/>
      <c r="H118" s="640"/>
      <c r="I118" s="959"/>
      <c r="J118" s="959"/>
      <c r="K118" s="1147">
        <f t="shared" ref="K118:Q118" si="71">K7</f>
        <v>2018</v>
      </c>
      <c r="L118" s="1148">
        <f t="shared" si="71"/>
        <v>2019</v>
      </c>
      <c r="M118" s="960">
        <f t="shared" si="71"/>
        <v>2020</v>
      </c>
      <c r="N118" s="960">
        <f t="shared" si="71"/>
        <v>2021</v>
      </c>
      <c r="O118" s="960">
        <f t="shared" si="71"/>
        <v>2022</v>
      </c>
      <c r="P118" s="960">
        <f t="shared" si="71"/>
        <v>2023</v>
      </c>
      <c r="Q118" s="960">
        <f t="shared" si="71"/>
        <v>2024</v>
      </c>
    </row>
    <row r="119" spans="1:17" s="17" customFormat="1" ht="15" customHeight="1">
      <c r="B119" s="274" t="s">
        <v>342</v>
      </c>
      <c r="C119" s="274"/>
      <c r="D119" s="10"/>
      <c r="E119" s="10"/>
      <c r="F119" s="10"/>
      <c r="G119" s="10"/>
      <c r="H119" s="10"/>
      <c r="I119" s="27"/>
      <c r="J119" s="27"/>
      <c r="K119" s="27"/>
      <c r="L119" s="27"/>
      <c r="M119" s="27"/>
      <c r="N119" s="27"/>
      <c r="O119" s="27"/>
      <c r="P119" s="27"/>
      <c r="Q119" s="27"/>
    </row>
    <row r="120" spans="1:17" s="17" customFormat="1" ht="12.75" customHeight="1">
      <c r="B120" s="10" t="s">
        <v>336</v>
      </c>
      <c r="C120" s="274"/>
      <c r="D120" s="10"/>
      <c r="E120" s="10"/>
      <c r="F120" s="10"/>
      <c r="G120" s="10"/>
      <c r="H120" s="10"/>
      <c r="I120" s="27"/>
      <c r="J120" s="27"/>
      <c r="L120" s="595">
        <f>K128</f>
        <v>9.5</v>
      </c>
      <c r="M120" s="595">
        <f ca="1">L125</f>
        <v>0</v>
      </c>
      <c r="N120" s="595">
        <f ca="1">M125</f>
        <v>0</v>
      </c>
      <c r="O120" s="595">
        <f ca="1">N125</f>
        <v>0</v>
      </c>
      <c r="P120" s="595">
        <f ca="1">O125</f>
        <v>0</v>
      </c>
      <c r="Q120" s="595">
        <f ca="1">P125</f>
        <v>0</v>
      </c>
    </row>
    <row r="121" spans="1:17" s="17" customFormat="1" ht="12.75" customHeight="1">
      <c r="B121" s="10" t="s">
        <v>337</v>
      </c>
      <c r="C121" s="274"/>
      <c r="D121" s="10"/>
      <c r="E121" s="10"/>
      <c r="F121" s="10"/>
      <c r="G121" s="10"/>
      <c r="H121" s="10"/>
      <c r="I121" s="27"/>
      <c r="J121" s="27"/>
      <c r="K121" s="1152"/>
      <c r="L121" s="32">
        <f t="shared" ref="L121:Q121" si="72">L111</f>
        <v>68.872413888888943</v>
      </c>
      <c r="M121" s="32">
        <f t="shared" ca="1" si="72"/>
        <v>78.243958020562602</v>
      </c>
      <c r="N121" s="32">
        <f t="shared" ca="1" si="72"/>
        <v>99.160248702781644</v>
      </c>
      <c r="O121" s="32">
        <f t="shared" ca="1" si="72"/>
        <v>123.62591627100599</v>
      </c>
      <c r="P121" s="32">
        <f t="shared" ca="1" si="72"/>
        <v>151.65429589199584</v>
      </c>
      <c r="Q121" s="32">
        <f t="shared" ca="1" si="72"/>
        <v>183.30449587764616</v>
      </c>
    </row>
    <row r="122" spans="1:17" s="17" customFormat="1" ht="12.75" customHeight="1">
      <c r="B122" s="10" t="s">
        <v>338</v>
      </c>
      <c r="C122" s="274"/>
      <c r="D122" s="10"/>
      <c r="E122" s="10"/>
      <c r="F122" s="10"/>
      <c r="G122" s="10"/>
      <c r="H122" s="10"/>
      <c r="I122" s="27"/>
      <c r="J122" s="27"/>
      <c r="K122" s="1152"/>
      <c r="L122" s="32">
        <f t="shared" ref="L122:Q122" ca="1" si="73">L96+L100+SUM(L102:L105)</f>
        <v>18.871544131673655</v>
      </c>
      <c r="M122" s="32">
        <f t="shared" ca="1" si="73"/>
        <v>20.916290682219049</v>
      </c>
      <c r="N122" s="32">
        <f t="shared" ca="1" si="73"/>
        <v>24.465667568224355</v>
      </c>
      <c r="O122" s="32">
        <f t="shared" ca="1" si="73"/>
        <v>28.028379620989845</v>
      </c>
      <c r="P122" s="32">
        <f t="shared" ca="1" si="73"/>
        <v>31.650199985650318</v>
      </c>
      <c r="Q122" s="32">
        <f t="shared" ca="1" si="73"/>
        <v>35.725192252482096</v>
      </c>
    </row>
    <row r="123" spans="1:17" s="17" customFormat="1" ht="12.75" customHeight="1">
      <c r="B123" s="10" t="s">
        <v>339</v>
      </c>
      <c r="C123" s="274"/>
      <c r="D123" s="10"/>
      <c r="E123" s="10"/>
      <c r="F123" s="10"/>
      <c r="G123" s="10"/>
      <c r="H123" s="10"/>
      <c r="I123" s="27"/>
      <c r="J123" s="27"/>
      <c r="K123" s="1152"/>
      <c r="L123" s="32">
        <f>-F106</f>
        <v>-10</v>
      </c>
      <c r="M123" s="32">
        <f>L123</f>
        <v>-10</v>
      </c>
      <c r="N123" s="32">
        <f>M123</f>
        <v>-10</v>
      </c>
      <c r="O123" s="32">
        <f>N123</f>
        <v>-10</v>
      </c>
      <c r="P123" s="32">
        <f>O123</f>
        <v>-10</v>
      </c>
      <c r="Q123" s="32">
        <f>P123</f>
        <v>-10</v>
      </c>
    </row>
    <row r="124" spans="1:17" s="17" customFormat="1" ht="12.75" customHeight="1">
      <c r="B124" s="10" t="s">
        <v>341</v>
      </c>
      <c r="C124" s="274"/>
      <c r="D124" s="10"/>
      <c r="E124" s="10"/>
      <c r="F124" s="10"/>
      <c r="G124" s="10"/>
      <c r="H124" s="10"/>
      <c r="I124" s="27"/>
      <c r="J124" s="27"/>
      <c r="K124" s="1152"/>
      <c r="L124" s="32">
        <f t="shared" ref="L124:Q124" ca="1" si="74">-MIN(SUM(L121:L123),L120)</f>
        <v>-9.5</v>
      </c>
      <c r="M124" s="32">
        <f t="shared" ca="1" si="74"/>
        <v>0</v>
      </c>
      <c r="N124" s="32">
        <f t="shared" ca="1" si="74"/>
        <v>0</v>
      </c>
      <c r="O124" s="32">
        <f t="shared" ca="1" si="74"/>
        <v>0</v>
      </c>
      <c r="P124" s="32">
        <f t="shared" ca="1" si="74"/>
        <v>0</v>
      </c>
      <c r="Q124" s="32">
        <f t="shared" ca="1" si="74"/>
        <v>0</v>
      </c>
    </row>
    <row r="125" spans="1:17" s="17" customFormat="1" ht="12.75" customHeight="1">
      <c r="B125" s="10" t="s">
        <v>340</v>
      </c>
      <c r="C125" s="274"/>
      <c r="D125" s="10"/>
      <c r="E125" s="10"/>
      <c r="F125" s="10"/>
      <c r="G125" s="10"/>
      <c r="H125" s="10"/>
      <c r="I125" s="27"/>
      <c r="J125" s="27"/>
      <c r="K125" s="1152"/>
      <c r="L125" s="1153">
        <f t="shared" ref="L125:Q125" ca="1" si="75">L120+L124</f>
        <v>0</v>
      </c>
      <c r="M125" s="1153">
        <f t="shared" ca="1" si="75"/>
        <v>0</v>
      </c>
      <c r="N125" s="1153">
        <f t="shared" ca="1" si="75"/>
        <v>0</v>
      </c>
      <c r="O125" s="1153">
        <f t="shared" ca="1" si="75"/>
        <v>0</v>
      </c>
      <c r="P125" s="1153">
        <f t="shared" ca="1" si="75"/>
        <v>0</v>
      </c>
      <c r="Q125" s="1153">
        <f t="shared" ca="1" si="75"/>
        <v>0</v>
      </c>
    </row>
    <row r="126" spans="1:17" s="17" customFormat="1" ht="12.75" customHeight="1">
      <c r="B126" s="10"/>
      <c r="C126" s="274"/>
      <c r="D126" s="10"/>
      <c r="E126" s="10"/>
      <c r="F126" s="10"/>
      <c r="G126" s="10"/>
      <c r="H126" s="10"/>
      <c r="I126" s="27"/>
      <c r="J126" s="27"/>
      <c r="K126" s="1152"/>
      <c r="L126" s="19"/>
      <c r="M126" s="19"/>
      <c r="N126" s="19"/>
      <c r="O126" s="19"/>
      <c r="P126" s="19"/>
      <c r="Q126" s="19"/>
    </row>
    <row r="127" spans="1:17" ht="12.75" customHeight="1">
      <c r="B127" s="139" t="s">
        <v>143</v>
      </c>
      <c r="C127" s="139"/>
      <c r="I127" s="142"/>
      <c r="J127" s="142"/>
      <c r="K127" s="1154"/>
      <c r="L127" s="822"/>
      <c r="M127" s="822"/>
      <c r="N127" s="822"/>
      <c r="O127" s="822"/>
      <c r="P127" s="822"/>
      <c r="Q127" s="822"/>
    </row>
    <row r="128" spans="1:17" ht="12.75" customHeight="1">
      <c r="B128" s="3" t="s">
        <v>86</v>
      </c>
      <c r="J128" s="1132"/>
      <c r="K128" s="185">
        <v>9.5</v>
      </c>
      <c r="L128" s="40">
        <f t="shared" ref="L128:Q128" ca="1" si="76">L125</f>
        <v>0</v>
      </c>
      <c r="M128" s="40">
        <f t="shared" ca="1" si="76"/>
        <v>0</v>
      </c>
      <c r="N128" s="40">
        <f t="shared" ca="1" si="76"/>
        <v>0</v>
      </c>
      <c r="O128" s="40">
        <f t="shared" ca="1" si="76"/>
        <v>0</v>
      </c>
      <c r="P128" s="40">
        <f t="shared" ca="1" si="76"/>
        <v>0</v>
      </c>
      <c r="Q128" s="40">
        <f t="shared" ca="1" si="76"/>
        <v>0</v>
      </c>
    </row>
    <row r="129" spans="2:17" ht="12.75" customHeight="1">
      <c r="B129" s="1" t="s">
        <v>309</v>
      </c>
      <c r="C129" s="1"/>
      <c r="J129" s="262"/>
      <c r="K129" s="190">
        <v>0</v>
      </c>
      <c r="L129" s="68">
        <f t="shared" ref="L129:Q131" si="77">K129-L139</f>
        <v>0</v>
      </c>
      <c r="M129" s="68">
        <f t="shared" si="77"/>
        <v>0</v>
      </c>
      <c r="N129" s="68">
        <f t="shared" si="77"/>
        <v>0</v>
      </c>
      <c r="O129" s="68">
        <f t="shared" si="77"/>
        <v>0</v>
      </c>
      <c r="P129" s="68">
        <f t="shared" si="77"/>
        <v>0</v>
      </c>
      <c r="Q129" s="68">
        <f t="shared" si="77"/>
        <v>0</v>
      </c>
    </row>
    <row r="130" spans="2:17" ht="12.75" customHeight="1">
      <c r="B130" s="1" t="s">
        <v>459</v>
      </c>
      <c r="C130" s="1"/>
      <c r="J130" s="262"/>
      <c r="K130" s="190">
        <v>0</v>
      </c>
      <c r="L130" s="68">
        <f t="shared" si="77"/>
        <v>0</v>
      </c>
      <c r="M130" s="68">
        <f t="shared" si="77"/>
        <v>0</v>
      </c>
      <c r="N130" s="68">
        <f t="shared" si="77"/>
        <v>0</v>
      </c>
      <c r="O130" s="68">
        <f t="shared" si="77"/>
        <v>0</v>
      </c>
      <c r="P130" s="68">
        <f t="shared" si="77"/>
        <v>0</v>
      </c>
      <c r="Q130" s="68">
        <f t="shared" si="77"/>
        <v>0</v>
      </c>
    </row>
    <row r="131" spans="2:17" ht="12.75" customHeight="1">
      <c r="B131" s="1" t="s">
        <v>138</v>
      </c>
      <c r="C131" s="1"/>
      <c r="J131" s="262"/>
      <c r="K131" s="190">
        <v>0</v>
      </c>
      <c r="L131" s="68">
        <f t="shared" si="77"/>
        <v>0</v>
      </c>
      <c r="M131" s="68">
        <f t="shared" si="77"/>
        <v>0</v>
      </c>
      <c r="N131" s="68">
        <f t="shared" si="77"/>
        <v>0</v>
      </c>
      <c r="O131" s="68">
        <f t="shared" si="77"/>
        <v>0</v>
      </c>
      <c r="P131" s="68">
        <f t="shared" si="77"/>
        <v>0</v>
      </c>
      <c r="Q131" s="68">
        <f t="shared" si="77"/>
        <v>0</v>
      </c>
    </row>
    <row r="132" spans="2:17" ht="12.75" customHeight="1">
      <c r="B132" s="151" t="s">
        <v>87</v>
      </c>
      <c r="C132" s="151"/>
      <c r="J132" s="351"/>
      <c r="K132" s="1079">
        <f>SUM(K128:K131)</f>
        <v>9.5</v>
      </c>
      <c r="L132" s="1121">
        <f t="shared" ref="L132:Q132" ca="1" si="78">SUM(L128:L131)</f>
        <v>0</v>
      </c>
      <c r="M132" s="1121">
        <f t="shared" ca="1" si="78"/>
        <v>0</v>
      </c>
      <c r="N132" s="1121">
        <f t="shared" ca="1" si="78"/>
        <v>0</v>
      </c>
      <c r="O132" s="1121">
        <f t="shared" ca="1" si="78"/>
        <v>0</v>
      </c>
      <c r="P132" s="1150">
        <f t="shared" ca="1" si="78"/>
        <v>0</v>
      </c>
      <c r="Q132" s="1150">
        <f t="shared" ca="1" si="78"/>
        <v>0</v>
      </c>
    </row>
    <row r="133" spans="2:17" ht="12.75" customHeight="1">
      <c r="B133" s="3" t="s">
        <v>52</v>
      </c>
      <c r="J133" s="351"/>
      <c r="K133" s="161">
        <f t="shared" ref="K133:Q135" si="79">K76</f>
        <v>1</v>
      </c>
      <c r="L133" s="161">
        <f t="shared" si="79"/>
        <v>1</v>
      </c>
      <c r="M133" s="161">
        <f t="shared" si="79"/>
        <v>1</v>
      </c>
      <c r="N133" s="161">
        <f t="shared" si="79"/>
        <v>1</v>
      </c>
      <c r="O133" s="161">
        <f t="shared" si="79"/>
        <v>1</v>
      </c>
      <c r="P133" s="161">
        <f t="shared" si="79"/>
        <v>1</v>
      </c>
      <c r="Q133" s="161">
        <f t="shared" si="79"/>
        <v>1</v>
      </c>
    </row>
    <row r="134" spans="2:17" ht="12.75" customHeight="1">
      <c r="B134" s="3" t="s">
        <v>53</v>
      </c>
      <c r="J134" s="351"/>
      <c r="K134" s="161">
        <f t="shared" si="79"/>
        <v>0.5</v>
      </c>
      <c r="L134" s="161">
        <f t="shared" si="79"/>
        <v>0.5</v>
      </c>
      <c r="M134" s="161">
        <f t="shared" si="79"/>
        <v>0.5</v>
      </c>
      <c r="N134" s="161">
        <f t="shared" si="79"/>
        <v>0.5</v>
      </c>
      <c r="O134" s="161">
        <f t="shared" si="79"/>
        <v>0.5</v>
      </c>
      <c r="P134" s="161">
        <f t="shared" si="79"/>
        <v>0.5</v>
      </c>
      <c r="Q134" s="161">
        <f t="shared" si="79"/>
        <v>0.5</v>
      </c>
    </row>
    <row r="135" spans="2:17" ht="12.75" customHeight="1">
      <c r="B135" s="3" t="s">
        <v>150</v>
      </c>
      <c r="J135" s="351"/>
      <c r="K135" s="268">
        <f t="shared" si="79"/>
        <v>77.686080555555634</v>
      </c>
      <c r="L135" s="268">
        <f t="shared" ca="1" si="79"/>
        <v>99.713081252885857</v>
      </c>
      <c r="M135" s="268">
        <f t="shared" ca="1" si="79"/>
        <v>125.72855914049212</v>
      </c>
      <c r="N135" s="268">
        <f t="shared" ca="1" si="79"/>
        <v>155.57912819981797</v>
      </c>
      <c r="O135" s="268">
        <f t="shared" ca="1" si="79"/>
        <v>189.27812359762359</v>
      </c>
      <c r="P135" s="268">
        <f t="shared" ca="1" si="79"/>
        <v>227.30776633219165</v>
      </c>
      <c r="Q135" s="268">
        <f t="shared" ca="1" si="79"/>
        <v>270.20983167720618</v>
      </c>
    </row>
    <row r="136" spans="2:17" ht="12.75" customHeight="1">
      <c r="B136" s="151" t="s">
        <v>88</v>
      </c>
      <c r="C136" s="151"/>
      <c r="J136" s="299"/>
      <c r="K136" s="1079">
        <f t="shared" ref="K136:Q136" si="80">SUM(K132:K135)</f>
        <v>88.686080555555634</v>
      </c>
      <c r="L136" s="1121">
        <f t="shared" ca="1" si="80"/>
        <v>101.21308125288586</v>
      </c>
      <c r="M136" s="1121">
        <f t="shared" ca="1" si="80"/>
        <v>127.22855914049212</v>
      </c>
      <c r="N136" s="1121">
        <f t="shared" ca="1" si="80"/>
        <v>157.07912819981797</v>
      </c>
      <c r="O136" s="1121">
        <f t="shared" ca="1" si="80"/>
        <v>190.77812359762359</v>
      </c>
      <c r="P136" s="1150">
        <f t="shared" ca="1" si="80"/>
        <v>228.80776633219165</v>
      </c>
      <c r="Q136" s="1150">
        <f t="shared" ca="1" si="80"/>
        <v>271.70983167720618</v>
      </c>
    </row>
    <row r="137" spans="2:17" ht="12.75" customHeight="1">
      <c r="B137" s="151"/>
      <c r="C137" s="151"/>
      <c r="J137" s="299"/>
      <c r="K137" s="68"/>
      <c r="L137" s="68"/>
      <c r="M137" s="68"/>
      <c r="N137" s="68"/>
      <c r="O137" s="68"/>
      <c r="P137" s="68"/>
      <c r="Q137" s="68"/>
    </row>
    <row r="138" spans="2:17" ht="12.75" customHeight="1">
      <c r="B138" s="139" t="s">
        <v>89</v>
      </c>
      <c r="C138" s="139"/>
      <c r="K138" s="161"/>
      <c r="L138" s="161"/>
      <c r="M138" s="161"/>
      <c r="N138" s="161"/>
      <c r="O138" s="161"/>
      <c r="P138" s="161"/>
      <c r="Q138" s="161"/>
    </row>
    <row r="139" spans="2:17" ht="12.75" customHeight="1">
      <c r="B139" s="3" t="str">
        <f>B129</f>
        <v>Term Loan</v>
      </c>
      <c r="K139" s="161"/>
      <c r="L139" s="201">
        <v>0</v>
      </c>
      <c r="M139" s="201">
        <v>0</v>
      </c>
      <c r="N139" s="201">
        <v>0</v>
      </c>
      <c r="O139" s="201">
        <v>0</v>
      </c>
      <c r="P139" s="201">
        <v>0</v>
      </c>
      <c r="Q139" s="201">
        <v>0</v>
      </c>
    </row>
    <row r="140" spans="2:17" ht="12.75" customHeight="1">
      <c r="B140" s="3" t="str">
        <f>B130</f>
        <v>Senior Notes</v>
      </c>
      <c r="K140" s="161"/>
      <c r="L140" s="201">
        <v>0</v>
      </c>
      <c r="M140" s="201">
        <v>0</v>
      </c>
      <c r="N140" s="201">
        <v>0</v>
      </c>
      <c r="O140" s="201">
        <v>0</v>
      </c>
      <c r="P140" s="201">
        <v>0</v>
      </c>
      <c r="Q140" s="201">
        <v>0</v>
      </c>
    </row>
    <row r="141" spans="2:17" ht="12.75" customHeight="1">
      <c r="B141" s="3" t="str">
        <f>B131</f>
        <v>Subordinated Notes</v>
      </c>
      <c r="K141" s="68"/>
      <c r="L141" s="201">
        <v>0</v>
      </c>
      <c r="M141" s="201">
        <v>0</v>
      </c>
      <c r="N141" s="201">
        <v>0</v>
      </c>
      <c r="O141" s="201">
        <v>0</v>
      </c>
      <c r="P141" s="201">
        <v>0</v>
      </c>
      <c r="Q141" s="201">
        <v>0</v>
      </c>
    </row>
    <row r="142" spans="2:17" ht="12.75" customHeight="1">
      <c r="B142" s="151" t="s">
        <v>90</v>
      </c>
      <c r="C142" s="151"/>
      <c r="K142" s="68"/>
      <c r="L142" s="1121">
        <f t="shared" ref="L142:Q142" si="81">SUM(L139:L141)</f>
        <v>0</v>
      </c>
      <c r="M142" s="1121">
        <f t="shared" si="81"/>
        <v>0</v>
      </c>
      <c r="N142" s="1121">
        <f t="shared" si="81"/>
        <v>0</v>
      </c>
      <c r="O142" s="1121">
        <f t="shared" si="81"/>
        <v>0</v>
      </c>
      <c r="P142" s="1121">
        <f t="shared" si="81"/>
        <v>0</v>
      </c>
      <c r="Q142" s="1121">
        <f t="shared" si="81"/>
        <v>0</v>
      </c>
    </row>
    <row r="143" spans="2:17" ht="12.75" customHeight="1">
      <c r="B143" s="151"/>
      <c r="C143" s="151"/>
      <c r="K143" s="161"/>
      <c r="L143" s="68"/>
      <c r="M143" s="68"/>
      <c r="N143" s="68"/>
      <c r="O143" s="68"/>
      <c r="P143" s="68"/>
      <c r="Q143" s="68"/>
    </row>
    <row r="144" spans="2:17" ht="12.75" customHeight="1">
      <c r="B144" s="139" t="s">
        <v>121</v>
      </c>
      <c r="C144" s="139"/>
      <c r="E144" s="142"/>
      <c r="F144" s="4"/>
      <c r="G144" s="4"/>
      <c r="H144" s="4"/>
      <c r="K144" s="161"/>
      <c r="L144" s="161"/>
      <c r="M144" s="161"/>
      <c r="N144" s="161"/>
      <c r="O144" s="161"/>
      <c r="P144" s="161"/>
      <c r="Q144" s="161"/>
    </row>
    <row r="145" spans="1:17" ht="12.75" customHeight="1">
      <c r="B145" s="3" t="str">
        <f>B128</f>
        <v>Revolver</v>
      </c>
      <c r="E145" s="779"/>
      <c r="F145" s="956" t="s">
        <v>373</v>
      </c>
      <c r="G145" s="4"/>
      <c r="H145" s="4"/>
      <c r="K145" s="161"/>
      <c r="L145" s="161">
        <f t="shared" ref="L145:Q145" ca="1" si="82">AVERAGE(K128:L128)*L165</f>
        <v>0.24224999999999999</v>
      </c>
      <c r="M145" s="161">
        <f t="shared" ca="1" si="82"/>
        <v>0</v>
      </c>
      <c r="N145" s="161">
        <f t="shared" ca="1" si="82"/>
        <v>0</v>
      </c>
      <c r="O145" s="161">
        <f t="shared" ca="1" si="82"/>
        <v>0</v>
      </c>
      <c r="P145" s="161">
        <f t="shared" ca="1" si="82"/>
        <v>0</v>
      </c>
      <c r="Q145" s="161">
        <f t="shared" ca="1" si="82"/>
        <v>0</v>
      </c>
    </row>
    <row r="146" spans="1:17" ht="12.75" customHeight="1">
      <c r="B146" s="3" t="s">
        <v>452</v>
      </c>
      <c r="E146" s="779"/>
      <c r="F146" s="1155">
        <v>250</v>
      </c>
      <c r="G146" s="4"/>
      <c r="H146" s="4"/>
      <c r="K146" s="161"/>
      <c r="L146" s="68">
        <f t="shared" ref="L146:Q146" ca="1" si="83">($F146-AVERAGE(K128:L128))*L166</f>
        <v>0</v>
      </c>
      <c r="M146" s="68">
        <f t="shared" ca="1" si="83"/>
        <v>0</v>
      </c>
      <c r="N146" s="68">
        <f t="shared" ca="1" si="83"/>
        <v>0</v>
      </c>
      <c r="O146" s="68">
        <f t="shared" ca="1" si="83"/>
        <v>0</v>
      </c>
      <c r="P146" s="68">
        <f t="shared" ca="1" si="83"/>
        <v>0</v>
      </c>
      <c r="Q146" s="68">
        <f t="shared" ca="1" si="83"/>
        <v>0</v>
      </c>
    </row>
    <row r="147" spans="1:17" ht="12.75" customHeight="1">
      <c r="B147" s="3" t="str">
        <f>B129</f>
        <v>Term Loan</v>
      </c>
      <c r="E147" s="779"/>
      <c r="F147" s="1156"/>
      <c r="G147" s="4"/>
      <c r="H147" s="4"/>
      <c r="K147" s="161"/>
      <c r="L147" s="68">
        <f t="shared" ref="L147:Q149" si="84">AVERAGE(K129:L129)*L167</f>
        <v>0</v>
      </c>
      <c r="M147" s="68">
        <f t="shared" si="84"/>
        <v>0</v>
      </c>
      <c r="N147" s="68">
        <f t="shared" si="84"/>
        <v>0</v>
      </c>
      <c r="O147" s="68">
        <f t="shared" si="84"/>
        <v>0</v>
      </c>
      <c r="P147" s="68">
        <f t="shared" si="84"/>
        <v>0</v>
      </c>
      <c r="Q147" s="68">
        <f t="shared" si="84"/>
        <v>0</v>
      </c>
    </row>
    <row r="148" spans="1:17" ht="12.75" customHeight="1">
      <c r="B148" s="3" t="str">
        <f>B130</f>
        <v>Senior Notes</v>
      </c>
      <c r="E148" s="779"/>
      <c r="F148" s="653"/>
      <c r="G148" s="4"/>
      <c r="H148" s="4"/>
      <c r="K148" s="161"/>
      <c r="L148" s="68">
        <f t="shared" si="84"/>
        <v>0</v>
      </c>
      <c r="M148" s="68">
        <f t="shared" si="84"/>
        <v>0</v>
      </c>
      <c r="N148" s="68">
        <f t="shared" si="84"/>
        <v>0</v>
      </c>
      <c r="O148" s="68">
        <f t="shared" si="84"/>
        <v>0</v>
      </c>
      <c r="P148" s="68">
        <f t="shared" si="84"/>
        <v>0</v>
      </c>
      <c r="Q148" s="68">
        <f t="shared" si="84"/>
        <v>0</v>
      </c>
    </row>
    <row r="149" spans="1:17" ht="12.75" customHeight="1">
      <c r="B149" s="3" t="str">
        <f>B131</f>
        <v>Subordinated Notes</v>
      </c>
      <c r="E149" s="779"/>
      <c r="F149" s="653"/>
      <c r="G149" s="4"/>
      <c r="H149" s="4"/>
      <c r="K149" s="161"/>
      <c r="L149" s="68">
        <f t="shared" si="84"/>
        <v>0</v>
      </c>
      <c r="M149" s="68">
        <f t="shared" si="84"/>
        <v>0</v>
      </c>
      <c r="N149" s="68">
        <f t="shared" si="84"/>
        <v>0</v>
      </c>
      <c r="O149" s="68">
        <f t="shared" si="84"/>
        <v>0</v>
      </c>
      <c r="P149" s="68">
        <f t="shared" si="84"/>
        <v>0</v>
      </c>
      <c r="Q149" s="68">
        <f t="shared" si="84"/>
        <v>0</v>
      </c>
    </row>
    <row r="150" spans="1:17" ht="12.75" customHeight="1">
      <c r="B150" s="3" t="s">
        <v>49</v>
      </c>
      <c r="E150" s="779"/>
      <c r="F150" s="4"/>
      <c r="G150" s="4"/>
      <c r="H150" s="4"/>
      <c r="K150" s="161"/>
      <c r="L150" s="190">
        <v>0</v>
      </c>
      <c r="M150" s="190">
        <v>0</v>
      </c>
      <c r="N150" s="190">
        <v>0</v>
      </c>
      <c r="O150" s="190">
        <v>0</v>
      </c>
      <c r="P150" s="190">
        <v>0</v>
      </c>
      <c r="Q150" s="190">
        <v>0</v>
      </c>
    </row>
    <row r="151" spans="1:17" ht="12.75" customHeight="1">
      <c r="B151" s="151" t="s">
        <v>92</v>
      </c>
      <c r="C151" s="151"/>
      <c r="E151" s="779"/>
      <c r="F151" s="4"/>
      <c r="G151" s="4"/>
      <c r="H151" s="4"/>
      <c r="K151" s="161"/>
      <c r="L151" s="1157">
        <f t="shared" ref="L151:Q151" ca="1" si="85">SUM(L145:L150)</f>
        <v>0.24224999999999999</v>
      </c>
      <c r="M151" s="1158">
        <f t="shared" ca="1" si="85"/>
        <v>0</v>
      </c>
      <c r="N151" s="1158">
        <f t="shared" ca="1" si="85"/>
        <v>0</v>
      </c>
      <c r="O151" s="1158">
        <f t="shared" ca="1" si="85"/>
        <v>0</v>
      </c>
      <c r="P151" s="1159">
        <f t="shared" ca="1" si="85"/>
        <v>0</v>
      </c>
      <c r="Q151" s="1159">
        <f t="shared" ca="1" si="85"/>
        <v>0</v>
      </c>
    </row>
    <row r="152" spans="1:17" ht="12.75" customHeight="1">
      <c r="B152" s="3" t="s">
        <v>343</v>
      </c>
      <c r="E152" s="779"/>
      <c r="F152" s="1160"/>
      <c r="G152" s="4"/>
      <c r="H152" s="4"/>
      <c r="K152" s="161"/>
      <c r="L152" s="268">
        <f t="shared" ref="L152:Q152" ca="1" si="86">-AVERAGE(K58:L58)*L170</f>
        <v>-0.36779092977362887</v>
      </c>
      <c r="M152" s="268">
        <f t="shared" ca="1" si="86"/>
        <v>-0.44351051680836068</v>
      </c>
      <c r="N152" s="268">
        <f t="shared" ca="1" si="86"/>
        <v>-0.55696541243446906</v>
      </c>
      <c r="O152" s="268">
        <f t="shared" ca="1" si="86"/>
        <v>-0.68820053040750451</v>
      </c>
      <c r="P152" s="268">
        <f t="shared" ca="1" si="86"/>
        <v>-0.83739697942410507</v>
      </c>
      <c r="Q152" s="268">
        <f t="shared" ca="1" si="86"/>
        <v>-1.0058354600194361</v>
      </c>
    </row>
    <row r="153" spans="1:17" ht="12.75" customHeight="1">
      <c r="B153" s="151" t="s">
        <v>75</v>
      </c>
      <c r="C153" s="151"/>
      <c r="E153" s="4"/>
      <c r="F153" s="4"/>
      <c r="G153" s="4"/>
      <c r="H153" s="4"/>
      <c r="K153" s="161"/>
      <c r="L153" s="1157">
        <f t="shared" ref="L153:Q153" ca="1" si="87">SUM(L151:L152)</f>
        <v>-0.12554092977362888</v>
      </c>
      <c r="M153" s="1157">
        <f t="shared" ca="1" si="87"/>
        <v>-0.44351051680836068</v>
      </c>
      <c r="N153" s="1157">
        <f t="shared" ca="1" si="87"/>
        <v>-0.55696541243446906</v>
      </c>
      <c r="O153" s="1157">
        <f t="shared" ca="1" si="87"/>
        <v>-0.68820053040750451</v>
      </c>
      <c r="P153" s="1157">
        <f t="shared" ca="1" si="87"/>
        <v>-0.83739697942410507</v>
      </c>
      <c r="Q153" s="1157">
        <f t="shared" ca="1" si="87"/>
        <v>-1.0058354600194361</v>
      </c>
    </row>
    <row r="154" spans="1:17" ht="12.75" customHeight="1">
      <c r="L154" s="294"/>
      <c r="M154" s="294"/>
      <c r="N154" s="294"/>
      <c r="O154" s="294"/>
      <c r="P154" s="294"/>
      <c r="Q154" s="294"/>
    </row>
    <row r="155" spans="1:17" ht="15.95" customHeight="1" thickBot="1">
      <c r="A155" s="4" t="s">
        <v>167</v>
      </c>
      <c r="B155" s="817" t="s">
        <v>468</v>
      </c>
      <c r="C155" s="817"/>
      <c r="D155" s="818"/>
      <c r="E155" s="818"/>
      <c r="F155" s="818"/>
      <c r="G155" s="818"/>
      <c r="H155" s="818"/>
      <c r="I155" s="818"/>
      <c r="J155" s="818"/>
      <c r="K155" s="818"/>
      <c r="L155" s="818"/>
      <c r="M155" s="818"/>
      <c r="N155" s="818"/>
      <c r="O155" s="818"/>
      <c r="P155" s="819"/>
      <c r="Q155" s="819"/>
    </row>
    <row r="156" spans="1:17" ht="15" customHeight="1">
      <c r="B156" s="640" t="str">
        <f>+B7</f>
        <v>Fiscal Year Ended December 31,</v>
      </c>
      <c r="C156" s="640"/>
      <c r="D156" s="640"/>
      <c r="E156" s="640"/>
      <c r="F156" s="640"/>
      <c r="G156" s="640"/>
      <c r="H156" s="640"/>
      <c r="I156" s="959"/>
      <c r="J156" s="959"/>
      <c r="K156" s="1147"/>
      <c r="L156" s="1148">
        <f t="shared" ref="L156:Q156" si="88">L7</f>
        <v>2019</v>
      </c>
      <c r="M156" s="960">
        <f t="shared" si="88"/>
        <v>2020</v>
      </c>
      <c r="N156" s="960">
        <f t="shared" si="88"/>
        <v>2021</v>
      </c>
      <c r="O156" s="960">
        <f t="shared" si="88"/>
        <v>2022</v>
      </c>
      <c r="P156" s="960">
        <f t="shared" si="88"/>
        <v>2023</v>
      </c>
      <c r="Q156" s="960">
        <f t="shared" si="88"/>
        <v>2024</v>
      </c>
    </row>
    <row r="157" spans="1:17" ht="15" customHeight="1">
      <c r="B157" s="139" t="s">
        <v>453</v>
      </c>
      <c r="J157" s="200"/>
      <c r="K157" s="200"/>
      <c r="L157" s="200"/>
      <c r="M157" s="200"/>
      <c r="N157" s="200"/>
      <c r="O157" s="200"/>
      <c r="P157" s="200"/>
      <c r="Q157" s="200"/>
    </row>
    <row r="158" spans="1:17" ht="12.75" customHeight="1">
      <c r="B158" s="3" t="s">
        <v>454</v>
      </c>
      <c r="J158" s="200"/>
      <c r="K158" s="200"/>
      <c r="L158" s="1358">
        <f>+'Tar Proj'!L158</f>
        <v>260</v>
      </c>
      <c r="M158" s="1358">
        <f>+'Tar Proj'!M158</f>
        <v>260</v>
      </c>
      <c r="N158" s="1358">
        <f>+'Tar Proj'!N158</f>
        <v>270</v>
      </c>
      <c r="O158" s="1358">
        <f>+'Tar Proj'!O158</f>
        <v>280</v>
      </c>
      <c r="P158" s="1358">
        <f>+'Tar Proj'!P158</f>
        <v>290</v>
      </c>
      <c r="Q158" s="1358">
        <f>+'Tar Proj'!Q158</f>
        <v>300</v>
      </c>
    </row>
    <row r="159" spans="1:17" ht="12.75" customHeight="1">
      <c r="B159" s="3" t="s">
        <v>455</v>
      </c>
      <c r="J159" s="200"/>
      <c r="K159" s="200"/>
      <c r="L159" s="1358">
        <f>+'Tar Proj'!L159</f>
        <v>260</v>
      </c>
      <c r="M159" s="1358">
        <f>+'Tar Proj'!M159</f>
        <v>265</v>
      </c>
      <c r="N159" s="1358">
        <f>+'Tar Proj'!N159</f>
        <v>275</v>
      </c>
      <c r="O159" s="1358">
        <f>+'Tar Proj'!O159</f>
        <v>285</v>
      </c>
      <c r="P159" s="1358">
        <f>+'Tar Proj'!P159</f>
        <v>295</v>
      </c>
      <c r="Q159" s="1358">
        <f>+'Tar Proj'!Q159</f>
        <v>305</v>
      </c>
    </row>
    <row r="160" spans="1:17" ht="12.75" customHeight="1">
      <c r="B160" s="3" t="s">
        <v>456</v>
      </c>
      <c r="J160" s="200"/>
      <c r="K160" s="200"/>
      <c r="L160" s="1358">
        <f>+'Tar Proj'!L160</f>
        <v>260</v>
      </c>
      <c r="M160" s="1358">
        <f>+'Tar Proj'!M160</f>
        <v>270</v>
      </c>
      <c r="N160" s="1358">
        <f>+'Tar Proj'!N160</f>
        <v>280</v>
      </c>
      <c r="O160" s="1358">
        <f>+'Tar Proj'!O160</f>
        <v>290</v>
      </c>
      <c r="P160" s="1358">
        <f>+'Tar Proj'!P160</f>
        <v>300</v>
      </c>
      <c r="Q160" s="1358">
        <f>+'Tar Proj'!Q160</f>
        <v>310</v>
      </c>
    </row>
    <row r="161" spans="1:17" ht="12.75" customHeight="1">
      <c r="B161" s="151" t="s">
        <v>457</v>
      </c>
      <c r="J161" s="200"/>
      <c r="K161" s="200"/>
      <c r="L161" s="1161">
        <f t="shared" ref="L161:Q161" si="89">AVERAGE(L158:L160)</f>
        <v>260</v>
      </c>
      <c r="M161" s="1162">
        <f t="shared" si="89"/>
        <v>265</v>
      </c>
      <c r="N161" s="1162">
        <f t="shared" si="89"/>
        <v>275</v>
      </c>
      <c r="O161" s="1162">
        <f t="shared" si="89"/>
        <v>285</v>
      </c>
      <c r="P161" s="1162">
        <f t="shared" si="89"/>
        <v>295</v>
      </c>
      <c r="Q161" s="1163">
        <f t="shared" si="89"/>
        <v>305</v>
      </c>
    </row>
    <row r="162" spans="1:17" ht="12.75" customHeight="1">
      <c r="B162" s="151"/>
      <c r="J162" s="200"/>
      <c r="K162" s="200"/>
      <c r="L162" s="200"/>
      <c r="M162" s="200"/>
      <c r="N162" s="200"/>
      <c r="O162" s="200"/>
      <c r="P162" s="200"/>
      <c r="Q162" s="200"/>
    </row>
    <row r="163" spans="1:17" ht="12.75" customHeight="1">
      <c r="B163" s="151"/>
      <c r="E163" s="142" t="s">
        <v>466</v>
      </c>
      <c r="G163" s="363" t="s">
        <v>460</v>
      </c>
      <c r="H163" s="363"/>
      <c r="J163" s="200"/>
      <c r="K163" s="200"/>
      <c r="L163" s="200"/>
      <c r="M163" s="200"/>
      <c r="N163" s="200"/>
      <c r="O163" s="200"/>
      <c r="P163" s="200"/>
      <c r="Q163" s="200"/>
    </row>
    <row r="164" spans="1:17" ht="12.75" customHeight="1">
      <c r="B164" s="379" t="s">
        <v>458</v>
      </c>
      <c r="E164" s="142" t="s">
        <v>463</v>
      </c>
      <c r="F164" s="104" t="s">
        <v>467</v>
      </c>
      <c r="G164" s="104" t="s">
        <v>461</v>
      </c>
      <c r="H164" s="104" t="s">
        <v>462</v>
      </c>
      <c r="J164" s="200"/>
      <c r="K164" s="200"/>
      <c r="L164" s="200"/>
      <c r="M164" s="200"/>
      <c r="N164" s="200"/>
      <c r="O164" s="200"/>
      <c r="P164" s="200"/>
      <c r="Q164" s="200"/>
    </row>
    <row r="165" spans="1:17" ht="12.75" customHeight="1">
      <c r="B165" s="160" t="str">
        <f>+B145</f>
        <v>Revolver</v>
      </c>
      <c r="E165" s="1164" t="s">
        <v>464</v>
      </c>
      <c r="F165" s="1165">
        <v>0</v>
      </c>
      <c r="G165" s="1166">
        <v>250</v>
      </c>
      <c r="H165" s="1167">
        <v>0.02</v>
      </c>
      <c r="J165" s="200"/>
      <c r="K165" s="200"/>
      <c r="L165" s="1006">
        <f t="shared" ref="L165:Q170" si="90">IF($E165="F",$F165,(MAX(L$161,$H165)+$G165)/10000)</f>
        <v>5.0999999999999997E-2</v>
      </c>
      <c r="M165" s="1006">
        <f t="shared" si="90"/>
        <v>5.1499999999999997E-2</v>
      </c>
      <c r="N165" s="1006">
        <f t="shared" si="90"/>
        <v>5.2499999999999998E-2</v>
      </c>
      <c r="O165" s="1006">
        <f t="shared" si="90"/>
        <v>5.3499999999999999E-2</v>
      </c>
      <c r="P165" s="1006">
        <f t="shared" si="90"/>
        <v>5.45E-2</v>
      </c>
      <c r="Q165" s="1006">
        <f t="shared" si="90"/>
        <v>5.5500000000000001E-2</v>
      </c>
    </row>
    <row r="166" spans="1:17" ht="12.75" customHeight="1">
      <c r="B166" s="160" t="str">
        <f>+B146</f>
        <v>Undrawn Revolver Fee</v>
      </c>
      <c r="E166" s="778" t="s">
        <v>465</v>
      </c>
      <c r="F166" s="779">
        <v>0</v>
      </c>
      <c r="G166" s="780">
        <v>25</v>
      </c>
      <c r="H166" s="780">
        <v>0.02</v>
      </c>
      <c r="J166" s="200"/>
      <c r="K166" s="200"/>
      <c r="L166" s="1006">
        <f t="shared" si="90"/>
        <v>0</v>
      </c>
      <c r="M166" s="1006">
        <f t="shared" si="90"/>
        <v>0</v>
      </c>
      <c r="N166" s="1006">
        <f t="shared" si="90"/>
        <v>0</v>
      </c>
      <c r="O166" s="1006">
        <f t="shared" si="90"/>
        <v>0</v>
      </c>
      <c r="P166" s="1006">
        <f t="shared" si="90"/>
        <v>0</v>
      </c>
      <c r="Q166" s="1006">
        <f t="shared" si="90"/>
        <v>0</v>
      </c>
    </row>
    <row r="167" spans="1:17" ht="12.75" customHeight="1">
      <c r="B167" s="160" t="str">
        <f>+B147</f>
        <v>Term Loan</v>
      </c>
      <c r="E167" s="778" t="s">
        <v>464</v>
      </c>
      <c r="F167" s="779">
        <v>0</v>
      </c>
      <c r="G167" s="780">
        <v>400</v>
      </c>
      <c r="H167" s="780">
        <v>100</v>
      </c>
      <c r="J167" s="200"/>
      <c r="K167" s="200"/>
      <c r="L167" s="1006">
        <f t="shared" si="90"/>
        <v>6.6000000000000003E-2</v>
      </c>
      <c r="M167" s="1006">
        <f t="shared" si="90"/>
        <v>6.6500000000000004E-2</v>
      </c>
      <c r="N167" s="1006">
        <f t="shared" si="90"/>
        <v>6.7500000000000004E-2</v>
      </c>
      <c r="O167" s="1006">
        <f t="shared" si="90"/>
        <v>6.8500000000000005E-2</v>
      </c>
      <c r="P167" s="1006">
        <f t="shared" si="90"/>
        <v>6.9500000000000006E-2</v>
      </c>
      <c r="Q167" s="1006">
        <f t="shared" si="90"/>
        <v>7.0499999999999993E-2</v>
      </c>
    </row>
    <row r="168" spans="1:17" ht="12.75" customHeight="1">
      <c r="B168" s="160" t="str">
        <f>+B148</f>
        <v>Senior Notes</v>
      </c>
      <c r="E168" s="778" t="s">
        <v>465</v>
      </c>
      <c r="F168" s="779">
        <v>0.05</v>
      </c>
      <c r="G168" s="780">
        <v>0</v>
      </c>
      <c r="H168" s="780">
        <v>0</v>
      </c>
      <c r="J168" s="200"/>
      <c r="K168" s="200"/>
      <c r="L168" s="1006">
        <f t="shared" si="90"/>
        <v>0.05</v>
      </c>
      <c r="M168" s="1006">
        <f t="shared" si="90"/>
        <v>0.05</v>
      </c>
      <c r="N168" s="1006">
        <f t="shared" si="90"/>
        <v>0.05</v>
      </c>
      <c r="O168" s="1006">
        <f t="shared" si="90"/>
        <v>0.05</v>
      </c>
      <c r="P168" s="1006">
        <f t="shared" si="90"/>
        <v>0.05</v>
      </c>
      <c r="Q168" s="1006">
        <f t="shared" si="90"/>
        <v>0.05</v>
      </c>
    </row>
    <row r="169" spans="1:17" ht="12.75" customHeight="1">
      <c r="B169" s="160" t="str">
        <f>+B149</f>
        <v>Subordinated Notes</v>
      </c>
      <c r="E169" s="778" t="s">
        <v>465</v>
      </c>
      <c r="F169" s="779">
        <v>0.08</v>
      </c>
      <c r="G169" s="780">
        <v>0</v>
      </c>
      <c r="H169" s="780">
        <v>0.02</v>
      </c>
      <c r="J169" s="200"/>
      <c r="K169" s="200"/>
      <c r="L169" s="1006">
        <f t="shared" si="90"/>
        <v>0.08</v>
      </c>
      <c r="M169" s="1006">
        <f t="shared" si="90"/>
        <v>0.08</v>
      </c>
      <c r="N169" s="1006">
        <f t="shared" si="90"/>
        <v>0.08</v>
      </c>
      <c r="O169" s="1006">
        <f t="shared" si="90"/>
        <v>0.08</v>
      </c>
      <c r="P169" s="1006">
        <f t="shared" si="90"/>
        <v>0.08</v>
      </c>
      <c r="Q169" s="1006">
        <f t="shared" si="90"/>
        <v>0.08</v>
      </c>
    </row>
    <row r="170" spans="1:17" ht="12.75" customHeight="1">
      <c r="B170" s="160" t="str">
        <f>+B152</f>
        <v>Interest Income</v>
      </c>
      <c r="E170" s="778" t="s">
        <v>465</v>
      </c>
      <c r="F170" s="779">
        <v>5.0000000000000001E-3</v>
      </c>
      <c r="G170" s="780">
        <v>0</v>
      </c>
      <c r="H170" s="780">
        <v>0.02</v>
      </c>
      <c r="J170" s="200"/>
      <c r="K170" s="200"/>
      <c r="L170" s="1006">
        <f t="shared" si="90"/>
        <v>5.0000000000000001E-3</v>
      </c>
      <c r="M170" s="1006">
        <f t="shared" si="90"/>
        <v>5.0000000000000001E-3</v>
      </c>
      <c r="N170" s="1006">
        <f t="shared" si="90"/>
        <v>5.0000000000000001E-3</v>
      </c>
      <c r="O170" s="1006">
        <f t="shared" si="90"/>
        <v>5.0000000000000001E-3</v>
      </c>
      <c r="P170" s="1006">
        <f t="shared" si="90"/>
        <v>5.0000000000000001E-3</v>
      </c>
      <c r="Q170" s="1006">
        <f t="shared" si="90"/>
        <v>5.0000000000000001E-3</v>
      </c>
    </row>
    <row r="171" spans="1:17" ht="12.75" customHeight="1">
      <c r="J171" s="200"/>
      <c r="K171" s="200"/>
      <c r="L171" s="200"/>
      <c r="M171" s="200"/>
      <c r="N171" s="200"/>
      <c r="O171" s="200"/>
      <c r="P171" s="200"/>
      <c r="Q171" s="200"/>
    </row>
    <row r="172" spans="1:17" ht="15.95" customHeight="1" thickBot="1">
      <c r="A172" s="4" t="s">
        <v>167</v>
      </c>
      <c r="B172" s="817" t="s">
        <v>449</v>
      </c>
      <c r="C172" s="817"/>
      <c r="D172" s="818"/>
      <c r="E172" s="818"/>
      <c r="F172" s="818"/>
      <c r="G172" s="818"/>
      <c r="H172" s="818"/>
      <c r="I172" s="818"/>
      <c r="J172" s="818"/>
      <c r="K172" s="818"/>
      <c r="L172" s="818"/>
      <c r="M172" s="818"/>
      <c r="N172" s="818"/>
      <c r="O172" s="818"/>
      <c r="P172" s="819"/>
      <c r="Q172" s="819"/>
    </row>
    <row r="173" spans="1:17" ht="15" customHeight="1">
      <c r="B173" s="640" t="str">
        <f>+B7</f>
        <v>Fiscal Year Ended December 31,</v>
      </c>
      <c r="C173" s="640"/>
      <c r="D173" s="640"/>
      <c r="E173" s="640"/>
      <c r="F173" s="640"/>
      <c r="G173" s="640"/>
      <c r="H173" s="640"/>
      <c r="I173" s="959"/>
      <c r="J173" s="959">
        <f t="shared" ref="J173:Q173" si="91">J7</f>
        <v>2017</v>
      </c>
      <c r="K173" s="1147">
        <f t="shared" si="91"/>
        <v>2018</v>
      </c>
      <c r="L173" s="1148">
        <f t="shared" si="91"/>
        <v>2019</v>
      </c>
      <c r="M173" s="960">
        <f t="shared" si="91"/>
        <v>2020</v>
      </c>
      <c r="N173" s="960">
        <f t="shared" si="91"/>
        <v>2021</v>
      </c>
      <c r="O173" s="960">
        <f t="shared" si="91"/>
        <v>2022</v>
      </c>
      <c r="P173" s="960">
        <f t="shared" si="91"/>
        <v>2023</v>
      </c>
      <c r="Q173" s="960">
        <f t="shared" si="91"/>
        <v>2024</v>
      </c>
    </row>
    <row r="174" spans="1:17" ht="15" customHeight="1">
      <c r="B174" s="3" t="s">
        <v>61</v>
      </c>
      <c r="J174" s="200">
        <f t="shared" ref="J174:Q174" si="92">IF((J70+J74+SUM(J76:J78))&gt;0,(J70+J74)/(J70+J74+SUM(J76:J78)),"NM")</f>
        <v>0.11961691851173556</v>
      </c>
      <c r="K174" s="200">
        <f t="shared" si="92"/>
        <v>0.10711940296029786</v>
      </c>
      <c r="L174" s="200">
        <f t="shared" ca="1" si="92"/>
        <v>0</v>
      </c>
      <c r="M174" s="200">
        <f t="shared" ca="1" si="92"/>
        <v>0</v>
      </c>
      <c r="N174" s="200">
        <f t="shared" ca="1" si="92"/>
        <v>0</v>
      </c>
      <c r="O174" s="200">
        <f t="shared" ca="1" si="92"/>
        <v>0</v>
      </c>
      <c r="P174" s="200">
        <f t="shared" ca="1" si="92"/>
        <v>0</v>
      </c>
      <c r="Q174" s="200">
        <f t="shared" ca="1" si="92"/>
        <v>0</v>
      </c>
    </row>
    <row r="175" spans="1:17" ht="12.75" customHeight="1">
      <c r="B175" s="3" t="s">
        <v>62</v>
      </c>
      <c r="J175" s="200">
        <f t="shared" ref="J175:Q175" si="93">IF(J70+J74+SUM(J76:J78)-J58&gt;0,(J70+J74-J58)/(J70+J74+SUM(J76:J78)-J58),"NM")</f>
        <v>-1.7842981303909979</v>
      </c>
      <c r="K175" s="200">
        <f>IF(K70+K74+SUM(K76:K78)-K58&gt;0,(K70+K74-K58)/(K70+K74+SUM(K76:K78)-K58),"NM")</f>
        <v>-2.9965384442836864</v>
      </c>
      <c r="L175" s="200">
        <f t="shared" ca="1" si="93"/>
        <v>-3.4064843150152959</v>
      </c>
      <c r="M175" s="200">
        <f t="shared" ca="1" si="93"/>
        <v>-3.532818582822761</v>
      </c>
      <c r="N175" s="200">
        <f t="shared" ca="1" si="93"/>
        <v>-3.6954871936984826</v>
      </c>
      <c r="O175" s="200">
        <f t="shared" ca="1" si="93"/>
        <v>-3.8762642815283948</v>
      </c>
      <c r="P175" s="200">
        <f t="shared" ca="1" si="93"/>
        <v>-4.0283806866311789</v>
      </c>
      <c r="Q175" s="200">
        <f t="shared" ca="1" si="93"/>
        <v>-4.1577276252937887</v>
      </c>
    </row>
    <row r="176" spans="1:17" ht="12.75" customHeight="1">
      <c r="J176" s="200"/>
      <c r="K176" s="200"/>
      <c r="L176" s="200"/>
      <c r="M176" s="200"/>
      <c r="N176" s="200"/>
      <c r="O176" s="200"/>
      <c r="P176" s="200"/>
      <c r="Q176" s="200"/>
    </row>
    <row r="177" spans="2:17" ht="12.75" customHeight="1">
      <c r="B177" s="139" t="s">
        <v>450</v>
      </c>
      <c r="J177" s="200"/>
      <c r="K177" s="200"/>
      <c r="L177" s="200"/>
      <c r="M177" s="200"/>
      <c r="N177" s="200"/>
      <c r="O177" s="200"/>
      <c r="P177" s="200"/>
      <c r="Q177" s="200"/>
    </row>
    <row r="178" spans="2:17" ht="12.75" customHeight="1">
      <c r="B178" s="3" t="str">
        <f>+B36</f>
        <v>EBITDA</v>
      </c>
      <c r="J178" s="353">
        <f t="shared" ref="J178:Q178" si="94">J36</f>
        <v>29.034999999999993</v>
      </c>
      <c r="K178" s="353">
        <f t="shared" si="94"/>
        <v>31.938499999999994</v>
      </c>
      <c r="L178" s="353">
        <f t="shared" si="94"/>
        <v>40</v>
      </c>
      <c r="M178" s="353">
        <f t="shared" si="94"/>
        <v>45</v>
      </c>
      <c r="N178" s="353">
        <f t="shared" si="94"/>
        <v>51.428571428571431</v>
      </c>
      <c r="O178" s="353">
        <f t="shared" si="94"/>
        <v>57.857142857142854</v>
      </c>
      <c r="P178" s="353">
        <f t="shared" si="94"/>
        <v>65.089285714285708</v>
      </c>
      <c r="Q178" s="353">
        <f t="shared" si="94"/>
        <v>73.225446428571431</v>
      </c>
    </row>
    <row r="179" spans="2:17" ht="12.75" customHeight="1">
      <c r="B179" s="3" t="s">
        <v>451</v>
      </c>
      <c r="J179" s="103">
        <f>'Acq Income Statement'!K116</f>
        <v>1.7</v>
      </c>
      <c r="K179" s="103">
        <f>'Acq Income Statement'!L116</f>
        <v>1.9</v>
      </c>
      <c r="L179" s="128">
        <v>0</v>
      </c>
      <c r="M179" s="128">
        <v>0</v>
      </c>
      <c r="N179" s="128">
        <v>0</v>
      </c>
      <c r="O179" s="128">
        <v>0</v>
      </c>
      <c r="P179" s="128">
        <v>0</v>
      </c>
      <c r="Q179" s="128">
        <v>0</v>
      </c>
    </row>
    <row r="180" spans="2:17" ht="12.75" customHeight="1">
      <c r="B180" s="151" t="s">
        <v>436</v>
      </c>
      <c r="J180" s="863">
        <f t="shared" ref="J180:Q180" si="95">SUM(J178:J179)</f>
        <v>30.734999999999992</v>
      </c>
      <c r="K180" s="863">
        <f t="shared" si="95"/>
        <v>33.838499999999996</v>
      </c>
      <c r="L180" s="863">
        <f t="shared" si="95"/>
        <v>40</v>
      </c>
      <c r="M180" s="863">
        <f t="shared" si="95"/>
        <v>45</v>
      </c>
      <c r="N180" s="863">
        <f t="shared" si="95"/>
        <v>51.428571428571431</v>
      </c>
      <c r="O180" s="863">
        <f t="shared" si="95"/>
        <v>57.857142857142854</v>
      </c>
      <c r="P180" s="863">
        <f t="shared" si="95"/>
        <v>65.089285714285708</v>
      </c>
      <c r="Q180" s="863">
        <f t="shared" si="95"/>
        <v>73.225446428571431</v>
      </c>
    </row>
    <row r="181" spans="2:17" ht="12.75" customHeight="1">
      <c r="J181" s="200"/>
      <c r="K181" s="200"/>
      <c r="L181" s="200"/>
      <c r="M181" s="200"/>
      <c r="N181" s="200"/>
      <c r="O181" s="200"/>
      <c r="P181" s="200"/>
      <c r="Q181" s="200"/>
    </row>
    <row r="182" spans="2:17" ht="12.75" customHeight="1">
      <c r="B182" s="3" t="str">
        <f>+B38</f>
        <v>EBITDAR</v>
      </c>
      <c r="J182" s="353">
        <f>J38</f>
        <v>32.634999999999991</v>
      </c>
      <c r="K182" s="353">
        <f t="shared" ref="K182:Q182" si="96">K38</f>
        <v>35.938499999999991</v>
      </c>
      <c r="L182" s="353">
        <f t="shared" si="96"/>
        <v>44.8</v>
      </c>
      <c r="M182" s="353">
        <f t="shared" si="96"/>
        <v>50.6</v>
      </c>
      <c r="N182" s="353">
        <f t="shared" si="96"/>
        <v>57.828571428571429</v>
      </c>
      <c r="O182" s="353">
        <f t="shared" si="96"/>
        <v>65.05714285714285</v>
      </c>
      <c r="P182" s="353">
        <f t="shared" si="96"/>
        <v>73.189285714285703</v>
      </c>
      <c r="Q182" s="353">
        <f t="shared" si="96"/>
        <v>82.337946428571428</v>
      </c>
    </row>
    <row r="183" spans="2:17" ht="12.75" customHeight="1">
      <c r="B183" s="3" t="s">
        <v>451</v>
      </c>
      <c r="J183" s="343">
        <f t="shared" ref="J183:Q183" si="97">J179</f>
        <v>1.7</v>
      </c>
      <c r="K183" s="343">
        <f t="shared" si="97"/>
        <v>1.9</v>
      </c>
      <c r="L183" s="343">
        <f t="shared" si="97"/>
        <v>0</v>
      </c>
      <c r="M183" s="343">
        <f t="shared" si="97"/>
        <v>0</v>
      </c>
      <c r="N183" s="343">
        <f t="shared" si="97"/>
        <v>0</v>
      </c>
      <c r="O183" s="343">
        <f t="shared" si="97"/>
        <v>0</v>
      </c>
      <c r="P183" s="343">
        <f t="shared" si="97"/>
        <v>0</v>
      </c>
      <c r="Q183" s="343">
        <f t="shared" si="97"/>
        <v>0</v>
      </c>
    </row>
    <row r="184" spans="2:17" ht="12.75" customHeight="1">
      <c r="B184" s="151" t="s">
        <v>446</v>
      </c>
      <c r="J184" s="863">
        <f>SUM(J182:J183)</f>
        <v>34.334999999999994</v>
      </c>
      <c r="K184" s="863">
        <f t="shared" ref="K184:Q184" si="98">SUM(K182:K183)</f>
        <v>37.838499999999989</v>
      </c>
      <c r="L184" s="863">
        <f t="shared" si="98"/>
        <v>44.8</v>
      </c>
      <c r="M184" s="863">
        <f t="shared" si="98"/>
        <v>50.6</v>
      </c>
      <c r="N184" s="863">
        <f t="shared" si="98"/>
        <v>57.828571428571429</v>
      </c>
      <c r="O184" s="863">
        <f t="shared" si="98"/>
        <v>65.05714285714285</v>
      </c>
      <c r="P184" s="863">
        <f t="shared" si="98"/>
        <v>73.189285714285703</v>
      </c>
      <c r="Q184" s="863">
        <f t="shared" si="98"/>
        <v>82.337946428571428</v>
      </c>
    </row>
    <row r="185" spans="2:17" ht="12.75" customHeight="1">
      <c r="J185" s="200"/>
      <c r="K185" s="200"/>
      <c r="L185" s="200"/>
      <c r="M185" s="200"/>
      <c r="N185" s="200"/>
      <c r="O185" s="200"/>
      <c r="P185" s="200"/>
      <c r="Q185" s="200"/>
    </row>
    <row r="186" spans="2:17" ht="12.75" customHeight="1">
      <c r="B186" s="109" t="str">
        <f>'Acq Sum Financials'!A43</f>
        <v>Adjusted Debt / EBITDAR</v>
      </c>
      <c r="C186" s="109"/>
      <c r="D186" s="109"/>
      <c r="E186" s="907">
        <f>'Acq Balance Sheet'!D52</f>
        <v>8</v>
      </c>
      <c r="J186" s="144">
        <f t="shared" ref="J186:Q186" si="99">IF(AND((J70+J74+J37*$E186)&gt;0,182&gt;0),(J70+J74+J37*$E186)/J184,"NM")</f>
        <v>1.1183923110528617</v>
      </c>
      <c r="K186" s="144">
        <f t="shared" si="99"/>
        <v>1.0967665208715993</v>
      </c>
      <c r="L186" s="144">
        <f t="shared" ca="1" si="99"/>
        <v>0.85714285714285721</v>
      </c>
      <c r="M186" s="144">
        <f t="shared" ca="1" si="99"/>
        <v>0.88537549407114635</v>
      </c>
      <c r="N186" s="144">
        <f t="shared" ca="1" si="99"/>
        <v>0.88537549407114624</v>
      </c>
      <c r="O186" s="144">
        <f t="shared" ca="1" si="99"/>
        <v>0.88537549407114635</v>
      </c>
      <c r="P186" s="144">
        <f t="shared" ca="1" si="99"/>
        <v>0.88537549407114635</v>
      </c>
      <c r="Q186" s="144">
        <f t="shared" ca="1" si="99"/>
        <v>0.88537549407114635</v>
      </c>
    </row>
    <row r="187" spans="2:17" ht="12.75" customHeight="1">
      <c r="B187" s="109" t="str">
        <f>'Acq Sum Financials'!B44</f>
        <v>Total Debt / EBITDA</v>
      </c>
      <c r="C187" s="109"/>
      <c r="D187" s="109"/>
      <c r="E187" s="109"/>
      <c r="J187" s="144">
        <f t="shared" ref="J187:Q187" si="100">IF(AND((J70+J74)&gt;0,J180&gt;0),(J70+J74)/J180,"NM")</f>
        <v>0.312347486578819</v>
      </c>
      <c r="K187" s="144">
        <f t="shared" si="100"/>
        <v>0.28074530490417721</v>
      </c>
      <c r="L187" s="144" t="str">
        <f t="shared" ca="1" si="100"/>
        <v>NM</v>
      </c>
      <c r="M187" s="144" t="str">
        <f t="shared" ca="1" si="100"/>
        <v>NM</v>
      </c>
      <c r="N187" s="144" t="str">
        <f t="shared" ca="1" si="100"/>
        <v>NM</v>
      </c>
      <c r="O187" s="144" t="str">
        <f t="shared" ca="1" si="100"/>
        <v>NM</v>
      </c>
      <c r="P187" s="144" t="str">
        <f t="shared" ca="1" si="100"/>
        <v>NM</v>
      </c>
      <c r="Q187" s="144" t="str">
        <f t="shared" ca="1" si="100"/>
        <v>NM</v>
      </c>
    </row>
    <row r="188" spans="2:17" ht="12.75" customHeight="1">
      <c r="B188" s="109" t="str">
        <f>'Acq Sum Financials'!B45</f>
        <v>Net Debt / EBITDA</v>
      </c>
      <c r="C188" s="109"/>
      <c r="D188" s="109"/>
      <c r="E188" s="109"/>
      <c r="J188" s="144" t="str">
        <f t="shared" ref="J188:Q188" si="101">IF(AND((J70+J74-J58)&gt;0,J180&gt;0),(J70+J74-J58)/J180,"NM")</f>
        <v>NM</v>
      </c>
      <c r="K188" s="144" t="str">
        <f t="shared" si="101"/>
        <v>NM</v>
      </c>
      <c r="L188" s="144" t="str">
        <f t="shared" ca="1" si="101"/>
        <v>NM</v>
      </c>
      <c r="M188" s="144" t="str">
        <f t="shared" ca="1" si="101"/>
        <v>NM</v>
      </c>
      <c r="N188" s="144" t="str">
        <f t="shared" ca="1" si="101"/>
        <v>NM</v>
      </c>
      <c r="O188" s="144" t="str">
        <f t="shared" ca="1" si="101"/>
        <v>NM</v>
      </c>
      <c r="P188" s="144" t="str">
        <f t="shared" ca="1" si="101"/>
        <v>NM</v>
      </c>
      <c r="Q188" s="144" t="str">
        <f t="shared" ca="1" si="101"/>
        <v>NM</v>
      </c>
    </row>
    <row r="189" spans="2:17" ht="12.75" customHeight="1">
      <c r="B189" s="3" t="str">
        <f>"Sr. Secured Debt /"&amp;RIGHT(B188,LEN(B188)-FIND("/",B188))</f>
        <v>Sr. Secured Debt / EBITDA</v>
      </c>
      <c r="J189" s="144"/>
      <c r="K189" s="144">
        <f t="shared" ref="K189:Q189" si="102">IF(AND((K128+K129)&gt;0,K180&gt;0),(K128+K129)/K180,"NM")</f>
        <v>0.28074530490417721</v>
      </c>
      <c r="L189" s="144" t="str">
        <f t="shared" ca="1" si="102"/>
        <v>NM</v>
      </c>
      <c r="M189" s="144" t="str">
        <f t="shared" ca="1" si="102"/>
        <v>NM</v>
      </c>
      <c r="N189" s="144" t="str">
        <f t="shared" ca="1" si="102"/>
        <v>NM</v>
      </c>
      <c r="O189" s="144" t="str">
        <f t="shared" ca="1" si="102"/>
        <v>NM</v>
      </c>
      <c r="P189" s="144" t="str">
        <f t="shared" ca="1" si="102"/>
        <v>NM</v>
      </c>
      <c r="Q189" s="144" t="str">
        <f t="shared" ca="1" si="102"/>
        <v>NM</v>
      </c>
    </row>
    <row r="190" spans="2:17" ht="12.75" customHeight="1">
      <c r="L190" s="294"/>
      <c r="M190" s="294"/>
      <c r="N190" s="294"/>
      <c r="O190" s="294"/>
      <c r="P190" s="294"/>
      <c r="Q190" s="294"/>
    </row>
    <row r="191" spans="2:17" ht="12.75" customHeight="1">
      <c r="B191" s="109" t="str">
        <f>'Acq Sum Financials'!B46</f>
        <v>EBITDA / Interest, Net</v>
      </c>
      <c r="C191" s="109"/>
      <c r="D191" s="109"/>
      <c r="E191" s="109"/>
      <c r="J191" s="144">
        <f>IF(AND(J36&gt;0,J15&gt;0),J36/J15,"NM")</f>
        <v>43.661654135338331</v>
      </c>
      <c r="K191" s="144">
        <f>IF(AND(K36&gt;0,K15&gt;0),K36/K15,"NM")</f>
        <v>48.538753799392076</v>
      </c>
      <c r="L191" s="144" t="str">
        <f t="shared" ref="L191:Q191" ca="1" si="103">IF(AND(L180&gt;0,L15&gt;0),L180/L15,"NM")</f>
        <v>NM</v>
      </c>
      <c r="M191" s="144" t="str">
        <f t="shared" ca="1" si="103"/>
        <v>NM</v>
      </c>
      <c r="N191" s="144" t="str">
        <f t="shared" ca="1" si="103"/>
        <v>NM</v>
      </c>
      <c r="O191" s="144" t="str">
        <f t="shared" ca="1" si="103"/>
        <v>NM</v>
      </c>
      <c r="P191" s="144" t="str">
        <f t="shared" ca="1" si="103"/>
        <v>NM</v>
      </c>
      <c r="Q191" s="144" t="str">
        <f t="shared" ca="1" si="103"/>
        <v>NM</v>
      </c>
    </row>
    <row r="192" spans="2:17" ht="12.75" customHeight="1">
      <c r="B192" s="109" t="str">
        <f>'Acq Sum Financials'!B47</f>
        <v>(EBITDA - Capex) / Interest, Net</v>
      </c>
      <c r="C192" s="109"/>
      <c r="D192" s="109"/>
      <c r="E192" s="109"/>
      <c r="J192" s="144">
        <f>IF(AND((J36+J98)&gt;0,J15&gt;0),(J36+J98)/J15,"NM")</f>
        <v>43.661654135338331</v>
      </c>
      <c r="K192" s="144">
        <f>IF(AND((K36+K98)&gt;0,K15&gt;0),(K36+K98)/K15,"NM")</f>
        <v>48.538753799392076</v>
      </c>
      <c r="L192" s="144" t="str">
        <f t="shared" ref="L192:Q192" ca="1" si="104">IF(AND((L180+L98)&gt;0,L15&gt;0),(L180+L98)/L15,"NM")</f>
        <v>NM</v>
      </c>
      <c r="M192" s="144" t="str">
        <f t="shared" ca="1" si="104"/>
        <v>NM</v>
      </c>
      <c r="N192" s="144" t="str">
        <f t="shared" ca="1" si="104"/>
        <v>NM</v>
      </c>
      <c r="O192" s="144" t="str">
        <f t="shared" ca="1" si="104"/>
        <v>NM</v>
      </c>
      <c r="P192" s="144" t="str">
        <f t="shared" ca="1" si="104"/>
        <v>NM</v>
      </c>
      <c r="Q192" s="144" t="str">
        <f t="shared" ca="1" si="104"/>
        <v>NM</v>
      </c>
    </row>
    <row r="193" spans="1:18" ht="12.75" customHeight="1">
      <c r="J193" s="200"/>
      <c r="K193" s="200"/>
      <c r="L193" s="200"/>
      <c r="M193" s="200"/>
      <c r="N193" s="200"/>
      <c r="O193" s="200"/>
      <c r="P193" s="200"/>
      <c r="Q193" s="200"/>
    </row>
    <row r="194" spans="1:18" ht="15.95" customHeight="1" thickBot="1">
      <c r="A194" s="4" t="s">
        <v>167</v>
      </c>
      <c r="B194" s="817" t="s">
        <v>311</v>
      </c>
      <c r="C194" s="817"/>
      <c r="D194" s="818"/>
      <c r="E194" s="818"/>
      <c r="F194" s="818"/>
      <c r="G194" s="818"/>
      <c r="H194" s="818"/>
      <c r="I194" s="818"/>
      <c r="J194" s="818"/>
      <c r="K194" s="818"/>
      <c r="L194" s="818"/>
      <c r="M194" s="818"/>
      <c r="N194" s="818"/>
      <c r="O194" s="818"/>
      <c r="P194" s="819"/>
      <c r="Q194" s="819"/>
    </row>
    <row r="195" spans="1:18" ht="15" customHeight="1">
      <c r="B195" s="895" t="str">
        <f>$B$7</f>
        <v>Fiscal Year Ended December 31,</v>
      </c>
      <c r="C195" s="1146"/>
      <c r="D195" s="1146"/>
      <c r="E195" s="1146"/>
      <c r="F195" s="1146"/>
      <c r="G195" s="1146"/>
      <c r="H195" s="1146"/>
      <c r="I195" s="959"/>
      <c r="J195" s="959"/>
      <c r="K195" s="1147"/>
      <c r="L195" s="1148">
        <f t="shared" ref="L195:Q195" si="105">L7</f>
        <v>2019</v>
      </c>
      <c r="M195" s="960">
        <f t="shared" si="105"/>
        <v>2020</v>
      </c>
      <c r="N195" s="960">
        <f t="shared" si="105"/>
        <v>2021</v>
      </c>
      <c r="O195" s="960">
        <f t="shared" si="105"/>
        <v>2022</v>
      </c>
      <c r="P195" s="960">
        <f t="shared" si="105"/>
        <v>2023</v>
      </c>
      <c r="Q195" s="960">
        <f t="shared" si="105"/>
        <v>2024</v>
      </c>
    </row>
    <row r="196" spans="1:18" s="17" customFormat="1" ht="15" customHeight="1">
      <c r="B196" s="10" t="s">
        <v>310</v>
      </c>
      <c r="C196" s="10"/>
      <c r="D196" s="10"/>
      <c r="E196" s="10"/>
      <c r="F196" s="10"/>
      <c r="G196" s="27"/>
      <c r="H196" s="27"/>
      <c r="I196" s="572">
        <f>afy+1</f>
        <v>2019</v>
      </c>
      <c r="J196" s="572">
        <f>afy+2</f>
        <v>2020</v>
      </c>
      <c r="L196" s="33"/>
      <c r="M196" s="33">
        <f ca="1">M26</f>
        <v>2.1640405822357822</v>
      </c>
      <c r="N196" s="33">
        <f ca="1">N26</f>
        <v>2.4762479157706321</v>
      </c>
      <c r="O196" s="33">
        <f ca="1">O26</f>
        <v>2.7895408393658023</v>
      </c>
      <c r="P196" s="33">
        <f ca="1">P26</f>
        <v>3.1420904390886593</v>
      </c>
      <c r="Q196" s="33">
        <f ca="1">Q26</f>
        <v>3.5387449129848649</v>
      </c>
      <c r="R196" s="1168">
        <f ca="1">Q196*(1+altg)</f>
        <v>3.892619404283352</v>
      </c>
    </row>
    <row r="197" spans="1:18" s="17" customFormat="1" ht="12.75" customHeight="1">
      <c r="B197" s="10" t="s">
        <v>537</v>
      </c>
      <c r="C197" s="10"/>
      <c r="D197" s="10"/>
      <c r="E197" s="10"/>
      <c r="F197" s="10"/>
      <c r="G197" s="10"/>
      <c r="H197" s="10"/>
      <c r="I197" s="972">
        <f>'Acq Spread Cover'!J30</f>
        <v>31.764705882352942</v>
      </c>
      <c r="J197" s="972">
        <f>'Acq Spread Cover'!J31</f>
        <v>31.764705882352942</v>
      </c>
      <c r="L197" s="1169"/>
      <c r="M197" s="973">
        <f ca="1">$I197*M196</f>
        <v>68.740112612195432</v>
      </c>
      <c r="N197" s="973">
        <f ca="1">$I197*N196</f>
        <v>78.657286736243606</v>
      </c>
      <c r="O197" s="973">
        <f ca="1">$I197*O196</f>
        <v>88.608944309266661</v>
      </c>
      <c r="P197" s="973">
        <f ca="1">$I197*P196</f>
        <v>99.807578653404477</v>
      </c>
      <c r="Q197" s="973">
        <f ca="1">$I197*Q196</f>
        <v>112.40719135363689</v>
      </c>
      <c r="R197" s="37"/>
    </row>
    <row r="198" spans="1:18" s="17" customFormat="1" ht="12.75" customHeight="1">
      <c r="B198" s="10" t="s">
        <v>421</v>
      </c>
      <c r="C198" s="10"/>
      <c r="D198" s="10"/>
      <c r="E198" s="10"/>
      <c r="F198" s="10"/>
      <c r="G198" s="10"/>
      <c r="H198" s="10"/>
      <c r="I198" s="975"/>
      <c r="L198" s="1170">
        <v>0.05</v>
      </c>
      <c r="M198" s="888">
        <f>L198</f>
        <v>0.05</v>
      </c>
      <c r="N198" s="888">
        <f>M198</f>
        <v>0.05</v>
      </c>
      <c r="O198" s="888">
        <f>N198</f>
        <v>0.05</v>
      </c>
      <c r="P198" s="888">
        <f>O198</f>
        <v>0.05</v>
      </c>
      <c r="Q198" s="888">
        <f>P198</f>
        <v>0.05</v>
      </c>
      <c r="R198" s="37"/>
    </row>
    <row r="199" spans="1:18" s="437" customFormat="1" ht="12.75" customHeight="1">
      <c r="B199" s="10" t="s">
        <v>312</v>
      </c>
      <c r="C199" s="257"/>
      <c r="D199" s="257"/>
      <c r="E199" s="257"/>
      <c r="F199" s="257"/>
      <c r="G199" s="257"/>
      <c r="H199" s="257"/>
      <c r="I199" s="977"/>
      <c r="L199" s="1171">
        <f>aprice*(1+L198)</f>
        <v>28.35</v>
      </c>
      <c r="M199" s="978">
        <f ca="1">M197*(1+M198)</f>
        <v>72.177118242805207</v>
      </c>
      <c r="N199" s="978">
        <f ca="1">N197*(1+N198)</f>
        <v>82.590151073055793</v>
      </c>
      <c r="O199" s="978">
        <f ca="1">O197*(1+O198)</f>
        <v>93.039391524729993</v>
      </c>
      <c r="P199" s="978">
        <f ca="1">P197*(1+P198)</f>
        <v>104.7979575860747</v>
      </c>
      <c r="Q199" s="978">
        <f ca="1">Q197*(1+Q198)</f>
        <v>118.02755092131873</v>
      </c>
      <c r="R199" s="979"/>
    </row>
    <row r="200" spans="1:18" s="17" customFormat="1" ht="12.75" customHeight="1">
      <c r="B200" s="10"/>
      <c r="C200" s="10"/>
      <c r="D200" s="10"/>
      <c r="E200" s="10"/>
      <c r="F200" s="10"/>
      <c r="G200" s="27"/>
      <c r="H200" s="27"/>
      <c r="I200" s="27"/>
      <c r="L200" s="980"/>
      <c r="M200" s="980"/>
      <c r="N200" s="980"/>
      <c r="O200" s="980"/>
      <c r="P200" s="980"/>
      <c r="Q200" s="980"/>
      <c r="R200" s="10"/>
    </row>
    <row r="201" spans="1:18" s="17" customFormat="1" ht="12.75" customHeight="1">
      <c r="B201" s="10" t="s">
        <v>469</v>
      </c>
      <c r="C201" s="10"/>
      <c r="D201" s="10"/>
      <c r="E201" s="10"/>
      <c r="F201" s="10"/>
      <c r="G201" s="27"/>
      <c r="H201" s="27"/>
      <c r="I201" s="27"/>
      <c r="L201" s="59">
        <v>0</v>
      </c>
      <c r="M201" s="59">
        <v>0</v>
      </c>
      <c r="N201" s="59">
        <v>0</v>
      </c>
      <c r="O201" s="59">
        <v>0</v>
      </c>
      <c r="P201" s="59">
        <v>0</v>
      </c>
      <c r="Q201" s="59">
        <v>0</v>
      </c>
      <c r="R201" s="10"/>
    </row>
    <row r="202" spans="1:18" s="17" customFormat="1" ht="12.75" customHeight="1">
      <c r="B202" s="10"/>
      <c r="C202" s="10"/>
      <c r="D202" s="10"/>
      <c r="E202" s="10"/>
      <c r="F202" s="10"/>
      <c r="G202" s="27"/>
      <c r="H202" s="27"/>
      <c r="I202" s="27"/>
      <c r="L202" s="980"/>
      <c r="M202" s="980"/>
      <c r="N202" s="980"/>
      <c r="O202" s="980"/>
      <c r="P202" s="980"/>
      <c r="Q202" s="980"/>
      <c r="R202" s="10"/>
    </row>
    <row r="203" spans="1:18" s="17" customFormat="1" ht="12.75" customHeight="1">
      <c r="B203" s="10" t="s">
        <v>472</v>
      </c>
      <c r="C203" s="10"/>
      <c r="D203" s="10"/>
      <c r="E203" s="10"/>
      <c r="F203" s="10"/>
      <c r="G203" s="27"/>
      <c r="H203" s="27"/>
      <c r="I203" s="27"/>
      <c r="L203" s="925">
        <f>L209+(adshares-ashares)</f>
        <v>12.283795925925926</v>
      </c>
      <c r="M203" s="32">
        <f>+L206</f>
        <v>12.283795925925926</v>
      </c>
      <c r="N203" s="32">
        <f>+M206</f>
        <v>12.283795925925926</v>
      </c>
      <c r="O203" s="32">
        <f>+N206</f>
        <v>12.283795925925926</v>
      </c>
      <c r="P203" s="32">
        <f>+O206</f>
        <v>12.283795925925926</v>
      </c>
      <c r="Q203" s="32">
        <f>+P206</f>
        <v>12.283795925925926</v>
      </c>
      <c r="R203" s="10"/>
    </row>
    <row r="204" spans="1:18" s="17" customFormat="1" ht="12.75" customHeight="1">
      <c r="B204" s="10" t="s">
        <v>470</v>
      </c>
      <c r="C204" s="10"/>
      <c r="D204" s="10"/>
      <c r="E204" s="10"/>
      <c r="F204" s="10"/>
      <c r="G204" s="27"/>
      <c r="H204" s="27"/>
      <c r="I204" s="27"/>
      <c r="L204" s="35">
        <v>0</v>
      </c>
      <c r="M204" s="35">
        <v>0</v>
      </c>
      <c r="N204" s="35">
        <v>0</v>
      </c>
      <c r="O204" s="35">
        <v>0</v>
      </c>
      <c r="P204" s="35">
        <v>0</v>
      </c>
      <c r="Q204" s="35">
        <v>0</v>
      </c>
      <c r="R204" s="10"/>
    </row>
    <row r="205" spans="1:18" s="17" customFormat="1" ht="12.75" customHeight="1">
      <c r="B205" s="10" t="s">
        <v>414</v>
      </c>
      <c r="C205" s="10"/>
      <c r="D205" s="10"/>
      <c r="E205" s="10"/>
      <c r="F205" s="10"/>
      <c r="G205" s="27"/>
      <c r="H205" s="27"/>
      <c r="I205" s="27"/>
      <c r="L205" s="32">
        <f t="shared" ref="L205:Q205" si="106">IF(L201=0,0,-L201/L199)</f>
        <v>0</v>
      </c>
      <c r="M205" s="32">
        <f t="shared" si="106"/>
        <v>0</v>
      </c>
      <c r="N205" s="32">
        <f t="shared" si="106"/>
        <v>0</v>
      </c>
      <c r="O205" s="32">
        <f t="shared" si="106"/>
        <v>0</v>
      </c>
      <c r="P205" s="32">
        <f t="shared" si="106"/>
        <v>0</v>
      </c>
      <c r="Q205" s="32">
        <f t="shared" si="106"/>
        <v>0</v>
      </c>
      <c r="R205" s="10"/>
    </row>
    <row r="206" spans="1:18" s="17" customFormat="1" ht="12.75" customHeight="1">
      <c r="B206" s="10" t="s">
        <v>415</v>
      </c>
      <c r="C206" s="10"/>
      <c r="D206" s="10"/>
      <c r="E206" s="10"/>
      <c r="F206" s="10"/>
      <c r="G206" s="27"/>
      <c r="H206" s="27"/>
      <c r="I206" s="27"/>
      <c r="L206" s="951">
        <f t="shared" ref="L206:Q206" si="107">SUM(L203:L205)</f>
        <v>12.283795925925926</v>
      </c>
      <c r="M206" s="951">
        <f t="shared" si="107"/>
        <v>12.283795925925926</v>
      </c>
      <c r="N206" s="951">
        <f t="shared" si="107"/>
        <v>12.283795925925926</v>
      </c>
      <c r="O206" s="951">
        <f t="shared" si="107"/>
        <v>12.283795925925926</v>
      </c>
      <c r="P206" s="951">
        <f t="shared" si="107"/>
        <v>12.283795925925926</v>
      </c>
      <c r="Q206" s="951">
        <f t="shared" si="107"/>
        <v>12.283795925925926</v>
      </c>
      <c r="R206" s="10"/>
    </row>
    <row r="207" spans="1:18" s="17" customFormat="1" ht="12.75" customHeight="1">
      <c r="B207" s="17" t="s">
        <v>191</v>
      </c>
      <c r="F207" s="17" t="s">
        <v>416</v>
      </c>
      <c r="G207" s="1172">
        <v>0.5</v>
      </c>
      <c r="H207" s="1172"/>
      <c r="I207" s="27"/>
      <c r="L207" s="32">
        <f t="shared" ref="L207:Q207" si="108">((L203+L204)*$G207)+(L206*(1-$G207))</f>
        <v>12.283795925925926</v>
      </c>
      <c r="M207" s="32">
        <f t="shared" si="108"/>
        <v>12.283795925925926</v>
      </c>
      <c r="N207" s="32">
        <f t="shared" si="108"/>
        <v>12.283795925925926</v>
      </c>
      <c r="O207" s="32">
        <f t="shared" si="108"/>
        <v>12.283795925925926</v>
      </c>
      <c r="P207" s="32">
        <f t="shared" si="108"/>
        <v>12.283795925925926</v>
      </c>
      <c r="Q207" s="32">
        <f t="shared" si="108"/>
        <v>12.283795925925926</v>
      </c>
    </row>
    <row r="208" spans="1:18" s="17" customFormat="1" ht="12.75" customHeight="1">
      <c r="B208" s="10"/>
      <c r="C208" s="10"/>
      <c r="D208" s="10"/>
      <c r="E208" s="10"/>
      <c r="F208" s="10"/>
      <c r="G208" s="10"/>
      <c r="H208" s="10"/>
      <c r="I208" s="986"/>
      <c r="J208" s="986"/>
      <c r="K208" s="986"/>
      <c r="L208" s="987"/>
      <c r="M208" s="987"/>
      <c r="N208" s="987"/>
      <c r="O208" s="987"/>
      <c r="P208" s="987"/>
      <c r="Q208" s="987"/>
    </row>
    <row r="209" spans="1:18" s="17" customFormat="1" ht="12.75" customHeight="1">
      <c r="B209" s="10" t="s">
        <v>471</v>
      </c>
      <c r="C209" s="10"/>
      <c r="D209" s="10"/>
      <c r="E209" s="10"/>
      <c r="F209" s="10"/>
      <c r="G209" s="27"/>
      <c r="H209" s="27"/>
      <c r="I209" s="27"/>
      <c r="L209" s="925">
        <f>afyshares</f>
        <v>11.3431</v>
      </c>
      <c r="M209" s="32">
        <f>+L212</f>
        <v>11.3431</v>
      </c>
      <c r="N209" s="32">
        <f>+M212</f>
        <v>11.3431</v>
      </c>
      <c r="O209" s="32">
        <f>+N212</f>
        <v>11.3431</v>
      </c>
      <c r="P209" s="32">
        <f>+O212</f>
        <v>11.3431</v>
      </c>
      <c r="Q209" s="32">
        <f>+P212</f>
        <v>11.3431</v>
      </c>
      <c r="R209" s="10"/>
    </row>
    <row r="210" spans="1:18" s="17" customFormat="1" ht="12.75" customHeight="1">
      <c r="B210" s="10" t="s">
        <v>470</v>
      </c>
      <c r="C210" s="10"/>
      <c r="D210" s="10"/>
      <c r="E210" s="10"/>
      <c r="F210" s="10"/>
      <c r="G210" s="27"/>
      <c r="H210" s="27"/>
      <c r="I210" s="27"/>
      <c r="L210" s="32">
        <f>+L204</f>
        <v>0</v>
      </c>
      <c r="M210" s="32">
        <f t="shared" ref="M210:Q211" si="109">+M204</f>
        <v>0</v>
      </c>
      <c r="N210" s="32">
        <f t="shared" si="109"/>
        <v>0</v>
      </c>
      <c r="O210" s="32">
        <f t="shared" si="109"/>
        <v>0</v>
      </c>
      <c r="P210" s="32">
        <f t="shared" si="109"/>
        <v>0</v>
      </c>
      <c r="Q210" s="32">
        <f t="shared" si="109"/>
        <v>0</v>
      </c>
      <c r="R210" s="10"/>
    </row>
    <row r="211" spans="1:18" s="17" customFormat="1" ht="12.75" customHeight="1">
      <c r="B211" s="10" t="s">
        <v>414</v>
      </c>
      <c r="C211" s="10"/>
      <c r="D211" s="10"/>
      <c r="E211" s="10"/>
      <c r="F211" s="10"/>
      <c r="G211" s="27"/>
      <c r="H211" s="27"/>
      <c r="I211" s="27"/>
      <c r="L211" s="32">
        <f>+L205</f>
        <v>0</v>
      </c>
      <c r="M211" s="32">
        <f t="shared" si="109"/>
        <v>0</v>
      </c>
      <c r="N211" s="32">
        <f t="shared" si="109"/>
        <v>0</v>
      </c>
      <c r="O211" s="32">
        <f t="shared" si="109"/>
        <v>0</v>
      </c>
      <c r="P211" s="32">
        <f t="shared" si="109"/>
        <v>0</v>
      </c>
      <c r="Q211" s="32">
        <f t="shared" si="109"/>
        <v>0</v>
      </c>
      <c r="R211" s="10"/>
    </row>
    <row r="212" spans="1:18" s="17" customFormat="1" ht="12.75" customHeight="1">
      <c r="B212" s="10" t="s">
        <v>415</v>
      </c>
      <c r="C212" s="10"/>
      <c r="D212" s="10"/>
      <c r="E212" s="10"/>
      <c r="F212" s="10"/>
      <c r="G212" s="27"/>
      <c r="H212" s="27"/>
      <c r="I212" s="27"/>
      <c r="L212" s="951">
        <f t="shared" ref="L212:Q212" si="110">SUM(L209:L211)</f>
        <v>11.3431</v>
      </c>
      <c r="M212" s="951">
        <f t="shared" si="110"/>
        <v>11.3431</v>
      </c>
      <c r="N212" s="951">
        <f t="shared" si="110"/>
        <v>11.3431</v>
      </c>
      <c r="O212" s="951">
        <f t="shared" si="110"/>
        <v>11.3431</v>
      </c>
      <c r="P212" s="951">
        <f t="shared" si="110"/>
        <v>11.3431</v>
      </c>
      <c r="Q212" s="951">
        <f t="shared" si="110"/>
        <v>11.3431</v>
      </c>
      <c r="R212" s="10"/>
    </row>
    <row r="213" spans="1:18" s="17" customFormat="1" ht="12.75" customHeight="1">
      <c r="B213" s="17" t="s">
        <v>473</v>
      </c>
      <c r="F213" s="17" t="s">
        <v>416</v>
      </c>
      <c r="G213" s="988">
        <f>+G207</f>
        <v>0.5</v>
      </c>
      <c r="H213" s="988"/>
      <c r="I213" s="27"/>
      <c r="L213" s="32">
        <f t="shared" ref="L213:Q213" si="111">((L209+L210)*$G213)+(L212*(1-$G213))</f>
        <v>11.3431</v>
      </c>
      <c r="M213" s="32">
        <f t="shared" si="111"/>
        <v>11.3431</v>
      </c>
      <c r="N213" s="32">
        <f t="shared" si="111"/>
        <v>11.3431</v>
      </c>
      <c r="O213" s="32">
        <f t="shared" si="111"/>
        <v>11.3431</v>
      </c>
      <c r="P213" s="32">
        <f t="shared" si="111"/>
        <v>11.3431</v>
      </c>
      <c r="Q213" s="32">
        <f t="shared" si="111"/>
        <v>11.3431</v>
      </c>
    </row>
    <row r="214" spans="1:18" s="17" customFormat="1" ht="12.75" customHeight="1">
      <c r="B214" s="323"/>
      <c r="C214" s="10"/>
      <c r="D214" s="10"/>
      <c r="E214" s="10"/>
      <c r="F214" s="10"/>
      <c r="G214" s="10"/>
      <c r="H214" s="10"/>
      <c r="I214" s="986"/>
      <c r="J214" s="986"/>
      <c r="K214" s="986"/>
      <c r="L214" s="987"/>
      <c r="M214" s="987"/>
      <c r="N214" s="987"/>
      <c r="O214" s="987"/>
      <c r="P214" s="987"/>
      <c r="Q214" s="987"/>
    </row>
    <row r="215" spans="1:18" ht="15.95" customHeight="1" thickBot="1">
      <c r="A215" s="4" t="s">
        <v>167</v>
      </c>
      <c r="B215" s="817" t="s">
        <v>126</v>
      </c>
      <c r="C215" s="817"/>
      <c r="D215" s="818"/>
      <c r="E215" s="818"/>
      <c r="F215" s="818"/>
      <c r="G215" s="818"/>
      <c r="H215" s="818"/>
      <c r="I215" s="818"/>
      <c r="J215" s="818"/>
      <c r="K215" s="818"/>
      <c r="L215" s="818"/>
      <c r="M215" s="818"/>
      <c r="N215" s="818"/>
      <c r="O215" s="818"/>
      <c r="P215" s="819"/>
      <c r="Q215" s="819"/>
    </row>
    <row r="216" spans="1:18" ht="15" customHeight="1">
      <c r="B216" s="640" t="str">
        <f>$B$7</f>
        <v>Fiscal Year Ended December 31,</v>
      </c>
      <c r="C216" s="640"/>
      <c r="D216" s="640"/>
      <c r="E216" s="640"/>
      <c r="F216" s="640"/>
      <c r="G216" s="640"/>
      <c r="H216" s="640"/>
      <c r="I216" s="959">
        <f t="shared" ref="I216:Q216" si="112">I7</f>
        <v>2016</v>
      </c>
      <c r="J216" s="959">
        <f t="shared" si="112"/>
        <v>2017</v>
      </c>
      <c r="K216" s="1147">
        <f t="shared" si="112"/>
        <v>2018</v>
      </c>
      <c r="L216" s="1148">
        <f t="shared" si="112"/>
        <v>2019</v>
      </c>
      <c r="M216" s="960">
        <f t="shared" si="112"/>
        <v>2020</v>
      </c>
      <c r="N216" s="960">
        <f t="shared" si="112"/>
        <v>2021</v>
      </c>
      <c r="O216" s="960">
        <f t="shared" si="112"/>
        <v>2022</v>
      </c>
      <c r="P216" s="960">
        <f t="shared" si="112"/>
        <v>2023</v>
      </c>
      <c r="Q216" s="960">
        <f t="shared" si="112"/>
        <v>2024</v>
      </c>
    </row>
    <row r="217" spans="1:18" s="17" customFormat="1" ht="15" customHeight="1">
      <c r="B217" s="10" t="s">
        <v>122</v>
      </c>
      <c r="C217" s="10"/>
      <c r="D217" s="10"/>
      <c r="E217" s="10"/>
      <c r="F217" s="10"/>
      <c r="G217" s="10"/>
      <c r="H217" s="10"/>
      <c r="I217" s="986">
        <f>-'Acq Cash Flow'!I15</f>
        <v>7</v>
      </c>
      <c r="J217" s="986">
        <f>-'Acq Cash Flow'!J15</f>
        <v>8</v>
      </c>
      <c r="K217" s="986">
        <f>-'Acq Cash Flow'!K15</f>
        <v>9</v>
      </c>
      <c r="L217" s="886">
        <f t="shared" ref="L217:Q217" si="113">L8*L218</f>
        <v>10</v>
      </c>
      <c r="M217" s="886">
        <f t="shared" si="113"/>
        <v>12</v>
      </c>
      <c r="N217" s="886">
        <f t="shared" si="113"/>
        <v>13.714285714285715</v>
      </c>
      <c r="O217" s="886">
        <f t="shared" si="113"/>
        <v>15.428571428571429</v>
      </c>
      <c r="P217" s="886">
        <f t="shared" si="113"/>
        <v>17.357142857142858</v>
      </c>
      <c r="Q217" s="886">
        <f t="shared" si="113"/>
        <v>19.526785714285715</v>
      </c>
    </row>
    <row r="218" spans="1:18" s="17" customFormat="1" ht="12.75" customHeight="1">
      <c r="B218" s="323" t="s">
        <v>300</v>
      </c>
      <c r="C218" s="10"/>
      <c r="D218" s="10"/>
      <c r="E218" s="10"/>
      <c r="F218" s="10"/>
      <c r="G218" s="10"/>
      <c r="H218" s="10"/>
      <c r="I218" s="889">
        <f>I217/I8</f>
        <v>8.7499999999999994E-2</v>
      </c>
      <c r="J218" s="889">
        <f>J217/J8</f>
        <v>8.8888888888888892E-2</v>
      </c>
      <c r="K218" s="889">
        <f>K217/K8</f>
        <v>0.09</v>
      </c>
      <c r="L218" s="1096">
        <f>+L286/L270</f>
        <v>8.3333333333333329E-2</v>
      </c>
      <c r="M218" s="1096">
        <f>+M286/M270</f>
        <v>8.5714285714285715E-2</v>
      </c>
      <c r="N218" s="889">
        <f>M218</f>
        <v>8.5714285714285715E-2</v>
      </c>
      <c r="O218" s="889">
        <f>N218</f>
        <v>8.5714285714285715E-2</v>
      </c>
      <c r="P218" s="889">
        <f>O218</f>
        <v>8.5714285714285715E-2</v>
      </c>
      <c r="Q218" s="889">
        <f>P218</f>
        <v>8.5714285714285715E-2</v>
      </c>
    </row>
    <row r="219" spans="1:18" s="17" customFormat="1" ht="12.75" customHeight="1">
      <c r="B219" s="323"/>
      <c r="C219" s="10"/>
      <c r="D219" s="10"/>
      <c r="E219" s="10"/>
      <c r="F219" s="10"/>
      <c r="G219" s="10"/>
      <c r="H219" s="10"/>
      <c r="I219" s="986"/>
      <c r="J219" s="986"/>
      <c r="K219" s="986"/>
      <c r="L219" s="987"/>
      <c r="M219" s="987"/>
      <c r="N219" s="987"/>
      <c r="O219" s="987"/>
      <c r="P219" s="987"/>
      <c r="Q219" s="987"/>
    </row>
    <row r="220" spans="1:18" s="17" customFormat="1" ht="12.75" customHeight="1">
      <c r="B220" s="10" t="s">
        <v>362</v>
      </c>
      <c r="C220" s="10"/>
      <c r="D220" s="10"/>
      <c r="E220" s="10"/>
      <c r="F220" s="10"/>
      <c r="G220" s="10"/>
      <c r="H220" s="10"/>
      <c r="I220" s="886">
        <f>I35</f>
        <v>2.6</v>
      </c>
      <c r="J220" s="886">
        <f>J35</f>
        <v>2.7</v>
      </c>
      <c r="K220" s="886">
        <f>K35</f>
        <v>2.9</v>
      </c>
      <c r="L220" s="886">
        <f t="shared" ref="L220:Q220" si="114">L8*L221</f>
        <v>10</v>
      </c>
      <c r="M220" s="886">
        <f t="shared" si="114"/>
        <v>10</v>
      </c>
      <c r="N220" s="886">
        <f t="shared" si="114"/>
        <v>11.428571428571427</v>
      </c>
      <c r="O220" s="886">
        <f t="shared" si="114"/>
        <v>12.857142857142856</v>
      </c>
      <c r="P220" s="886">
        <f t="shared" si="114"/>
        <v>14.464285714285714</v>
      </c>
      <c r="Q220" s="886">
        <f t="shared" si="114"/>
        <v>16.272321428571427</v>
      </c>
    </row>
    <row r="221" spans="1:18" s="17" customFormat="1" ht="12.75" customHeight="1">
      <c r="B221" s="323" t="s">
        <v>300</v>
      </c>
      <c r="C221" s="10"/>
      <c r="D221" s="10"/>
      <c r="E221" s="10"/>
      <c r="F221" s="10"/>
      <c r="G221" s="10"/>
      <c r="H221" s="10"/>
      <c r="I221" s="889">
        <f>I220/I8</f>
        <v>3.2500000000000001E-2</v>
      </c>
      <c r="J221" s="889">
        <f>J220/J8</f>
        <v>3.0000000000000002E-2</v>
      </c>
      <c r="K221" s="889">
        <f>K220/K8</f>
        <v>2.8999999999999998E-2</v>
      </c>
      <c r="L221" s="1096">
        <f>+L283/L270</f>
        <v>8.3333333333333329E-2</v>
      </c>
      <c r="M221" s="1096">
        <f>+M283/M270</f>
        <v>7.1428571428571425E-2</v>
      </c>
      <c r="N221" s="889">
        <f>M221</f>
        <v>7.1428571428571425E-2</v>
      </c>
      <c r="O221" s="889">
        <f>N221</f>
        <v>7.1428571428571425E-2</v>
      </c>
      <c r="P221" s="889">
        <f>O221</f>
        <v>7.1428571428571425E-2</v>
      </c>
      <c r="Q221" s="889">
        <f>P221</f>
        <v>7.1428571428571425E-2</v>
      </c>
    </row>
    <row r="222" spans="1:18" ht="12.75" customHeight="1">
      <c r="I222" s="620"/>
      <c r="J222" s="620"/>
      <c r="K222" s="620"/>
      <c r="L222" s="185"/>
      <c r="M222" s="185"/>
      <c r="N222" s="185"/>
      <c r="O222" s="185"/>
      <c r="P222" s="185"/>
      <c r="Q222" s="185"/>
    </row>
    <row r="223" spans="1:18" ht="12.75" customHeight="1">
      <c r="B223" s="139" t="s">
        <v>94</v>
      </c>
      <c r="C223" s="139"/>
    </row>
    <row r="224" spans="1:18" ht="12.75" customHeight="1">
      <c r="B224" s="3" t="s">
        <v>39</v>
      </c>
      <c r="J224" s="153">
        <f>J59</f>
        <v>16.681000000000001</v>
      </c>
      <c r="K224" s="153">
        <f>K59</f>
        <v>12.850999999999999</v>
      </c>
      <c r="L224" s="153">
        <f t="shared" ref="L224:Q224" si="115">(L226*L8)/365</f>
        <v>15.421199999999999</v>
      </c>
      <c r="M224" s="153">
        <f t="shared" si="115"/>
        <v>17.991399999999999</v>
      </c>
      <c r="N224" s="153">
        <f t="shared" si="115"/>
        <v>20.561599999999999</v>
      </c>
      <c r="O224" s="153">
        <f t="shared" si="115"/>
        <v>23.131799999999998</v>
      </c>
      <c r="P224" s="153">
        <f t="shared" si="115"/>
        <v>26.023274999999995</v>
      </c>
      <c r="Q224" s="153">
        <f t="shared" si="115"/>
        <v>29.276184374999996</v>
      </c>
    </row>
    <row r="225" spans="2:17" ht="12.75" customHeight="1">
      <c r="B225" s="151" t="s">
        <v>257</v>
      </c>
      <c r="C225" s="151"/>
      <c r="J225" s="141">
        <f t="shared" ref="J225:Q225" si="116">J224/J8</f>
        <v>0.18534444444444445</v>
      </c>
      <c r="K225" s="141">
        <f t="shared" si="116"/>
        <v>0.12850999999999999</v>
      </c>
      <c r="L225" s="141">
        <f t="shared" si="116"/>
        <v>0.12850999999999999</v>
      </c>
      <c r="M225" s="141">
        <f t="shared" si="116"/>
        <v>0.12850999999999999</v>
      </c>
      <c r="N225" s="141">
        <f t="shared" si="116"/>
        <v>0.12850999999999999</v>
      </c>
      <c r="O225" s="141">
        <f t="shared" si="116"/>
        <v>0.12850999999999999</v>
      </c>
      <c r="P225" s="141">
        <f t="shared" si="116"/>
        <v>0.12850999999999999</v>
      </c>
      <c r="Q225" s="141">
        <f t="shared" si="116"/>
        <v>0.12850999999999999</v>
      </c>
    </row>
    <row r="226" spans="2:17" ht="12.75" customHeight="1">
      <c r="B226" s="151" t="s">
        <v>95</v>
      </c>
      <c r="C226" s="151"/>
      <c r="J226" s="161">
        <f>J225*365</f>
        <v>67.650722222222228</v>
      </c>
      <c r="K226" s="161">
        <f>K225*365</f>
        <v>46.906149999999997</v>
      </c>
      <c r="L226" s="201">
        <f t="shared" ref="L226:Q226" si="117">K226</f>
        <v>46.906149999999997</v>
      </c>
      <c r="M226" s="201">
        <f t="shared" si="117"/>
        <v>46.906149999999997</v>
      </c>
      <c r="N226" s="161">
        <f t="shared" si="117"/>
        <v>46.906149999999997</v>
      </c>
      <c r="O226" s="161">
        <f t="shared" si="117"/>
        <v>46.906149999999997</v>
      </c>
      <c r="P226" s="161">
        <f t="shared" si="117"/>
        <v>46.906149999999997</v>
      </c>
      <c r="Q226" s="161">
        <f t="shared" si="117"/>
        <v>46.906149999999997</v>
      </c>
    </row>
    <row r="227" spans="2:17" ht="12.75" customHeight="1">
      <c r="B227" s="151"/>
      <c r="C227" s="151"/>
      <c r="J227" s="161"/>
      <c r="K227" s="161"/>
      <c r="L227" s="161"/>
      <c r="M227" s="201"/>
      <c r="N227" s="201"/>
      <c r="O227" s="201"/>
      <c r="P227" s="201"/>
      <c r="Q227" s="201"/>
    </row>
    <row r="228" spans="2:17" ht="12.75" customHeight="1">
      <c r="B228" s="3" t="s">
        <v>40</v>
      </c>
      <c r="J228" s="153">
        <f>J60</f>
        <v>10.482666666666701</v>
      </c>
      <c r="K228" s="153">
        <f>K60</f>
        <v>11.956666666666701</v>
      </c>
      <c r="L228" s="153">
        <f t="shared" ref="L228:Q228" si="118">L9/L230</f>
        <v>14.492929292929333</v>
      </c>
      <c r="M228" s="153">
        <f t="shared" si="118"/>
        <v>16.908417508417553</v>
      </c>
      <c r="N228" s="153">
        <f t="shared" si="118"/>
        <v>19.323905723905778</v>
      </c>
      <c r="O228" s="153">
        <f t="shared" si="118"/>
        <v>21.739393939393999</v>
      </c>
      <c r="P228" s="153">
        <f t="shared" si="118"/>
        <v>24.45681818181825</v>
      </c>
      <c r="Q228" s="153">
        <f t="shared" si="118"/>
        <v>27.513920454545531</v>
      </c>
    </row>
    <row r="229" spans="2:17" ht="12.75" customHeight="1">
      <c r="B229" s="151" t="s">
        <v>96</v>
      </c>
      <c r="C229" s="151"/>
      <c r="J229" s="141">
        <f t="shared" ref="J229:Q229" si="119">J228/J9</f>
        <v>0.2398779557589634</v>
      </c>
      <c r="K229" s="141">
        <f t="shared" si="119"/>
        <v>0.24154882154882223</v>
      </c>
      <c r="L229" s="141">
        <f t="shared" si="119"/>
        <v>0.24154882154882221</v>
      </c>
      <c r="M229" s="141">
        <f t="shared" si="119"/>
        <v>0.24154882154882218</v>
      </c>
      <c r="N229" s="141">
        <f t="shared" si="119"/>
        <v>0.24154882154882223</v>
      </c>
      <c r="O229" s="141">
        <f t="shared" si="119"/>
        <v>0.24154882154882221</v>
      </c>
      <c r="P229" s="141">
        <f t="shared" si="119"/>
        <v>0.24154882154882221</v>
      </c>
      <c r="Q229" s="141">
        <f t="shared" si="119"/>
        <v>0.24154882154882221</v>
      </c>
    </row>
    <row r="230" spans="2:17" ht="12.75" customHeight="1">
      <c r="B230" s="151" t="s">
        <v>97</v>
      </c>
      <c r="C230" s="151"/>
      <c r="J230" s="161">
        <f>1/J229</f>
        <v>4.1687865683032177</v>
      </c>
      <c r="K230" s="161">
        <f>1/K229</f>
        <v>4.1399498187900639</v>
      </c>
      <c r="L230" s="201">
        <f t="shared" ref="L230:Q230" si="120">K230</f>
        <v>4.1399498187900639</v>
      </c>
      <c r="M230" s="201">
        <f t="shared" si="120"/>
        <v>4.1399498187900639</v>
      </c>
      <c r="N230" s="161">
        <f t="shared" si="120"/>
        <v>4.1399498187900639</v>
      </c>
      <c r="O230" s="161">
        <f t="shared" si="120"/>
        <v>4.1399498187900639</v>
      </c>
      <c r="P230" s="161">
        <f t="shared" si="120"/>
        <v>4.1399498187900639</v>
      </c>
      <c r="Q230" s="161">
        <f t="shared" si="120"/>
        <v>4.1399498187900639</v>
      </c>
    </row>
    <row r="231" spans="2:17" ht="12.75" customHeight="1">
      <c r="B231" s="151"/>
      <c r="C231" s="151"/>
      <c r="J231" s="161"/>
      <c r="K231" s="161"/>
      <c r="L231" s="161"/>
      <c r="M231" s="201"/>
      <c r="N231" s="201"/>
      <c r="O231" s="201"/>
      <c r="P231" s="201"/>
      <c r="Q231" s="201"/>
    </row>
    <row r="232" spans="2:17" ht="12.75" customHeight="1">
      <c r="B232" s="3" t="s">
        <v>367</v>
      </c>
      <c r="J232" s="153">
        <f>J61</f>
        <v>4.2530000000000001</v>
      </c>
      <c r="K232" s="153">
        <f>K61</f>
        <v>5.8770000000000007</v>
      </c>
      <c r="L232" s="153">
        <f t="shared" ref="L232:Q232" si="121">L233*L8</f>
        <v>7.0524000000000013</v>
      </c>
      <c r="M232" s="153">
        <f t="shared" si="121"/>
        <v>8.227800000000002</v>
      </c>
      <c r="N232" s="153">
        <f t="shared" si="121"/>
        <v>9.4032000000000018</v>
      </c>
      <c r="O232" s="153">
        <f t="shared" si="121"/>
        <v>10.578600000000002</v>
      </c>
      <c r="P232" s="153">
        <f t="shared" si="121"/>
        <v>11.900925000000003</v>
      </c>
      <c r="Q232" s="153">
        <f t="shared" si="121"/>
        <v>13.388540625000003</v>
      </c>
    </row>
    <row r="233" spans="2:17" ht="12.75" customHeight="1">
      <c r="B233" s="151" t="s">
        <v>368</v>
      </c>
      <c r="C233" s="151"/>
      <c r="J233" s="141">
        <f>J232/J8</f>
        <v>4.7255555555555558E-2</v>
      </c>
      <c r="K233" s="141">
        <f>K232/K8</f>
        <v>5.877000000000001E-2</v>
      </c>
      <c r="L233" s="372">
        <f t="shared" ref="L233:Q233" si="122">K233</f>
        <v>5.877000000000001E-2</v>
      </c>
      <c r="M233" s="372">
        <f t="shared" si="122"/>
        <v>5.877000000000001E-2</v>
      </c>
      <c r="N233" s="141">
        <f t="shared" si="122"/>
        <v>5.877000000000001E-2</v>
      </c>
      <c r="O233" s="141">
        <f t="shared" si="122"/>
        <v>5.877000000000001E-2</v>
      </c>
      <c r="P233" s="141">
        <f t="shared" si="122"/>
        <v>5.877000000000001E-2</v>
      </c>
      <c r="Q233" s="141">
        <f t="shared" si="122"/>
        <v>5.877000000000001E-2</v>
      </c>
    </row>
    <row r="234" spans="2:17" ht="12.75" customHeight="1">
      <c r="B234" s="151"/>
      <c r="C234" s="151"/>
      <c r="J234" s="141"/>
      <c r="K234" s="141"/>
      <c r="L234" s="141"/>
      <c r="M234" s="372"/>
      <c r="N234" s="372"/>
      <c r="O234" s="372"/>
      <c r="P234" s="372"/>
      <c r="Q234" s="372"/>
    </row>
    <row r="235" spans="2:17" ht="12.75" customHeight="1">
      <c r="B235" s="3" t="s">
        <v>48</v>
      </c>
      <c r="J235" s="153">
        <f>J71</f>
        <v>7.3150000000000004</v>
      </c>
      <c r="K235" s="153">
        <f>K71</f>
        <v>6.3860000000000001</v>
      </c>
      <c r="L235" s="153">
        <f t="shared" ref="L235:Q235" si="123">(L237*L9)/365</f>
        <v>7.7406060606060612</v>
      </c>
      <c r="M235" s="153">
        <f t="shared" si="123"/>
        <v>9.0307070707070718</v>
      </c>
      <c r="N235" s="153">
        <f t="shared" si="123"/>
        <v>10.320808080808082</v>
      </c>
      <c r="O235" s="153">
        <f t="shared" si="123"/>
        <v>11.610909090909091</v>
      </c>
      <c r="P235" s="153">
        <f t="shared" si="123"/>
        <v>13.062272727272727</v>
      </c>
      <c r="Q235" s="153">
        <f t="shared" si="123"/>
        <v>14.695056818181818</v>
      </c>
    </row>
    <row r="236" spans="2:17" ht="12.75" customHeight="1">
      <c r="B236" s="151" t="s">
        <v>98</v>
      </c>
      <c r="C236" s="151"/>
      <c r="J236" s="141">
        <f t="shared" ref="J236:Q236" si="124">J235/J60</f>
        <v>0.69781862121597338</v>
      </c>
      <c r="K236" s="141">
        <f t="shared" si="124"/>
        <v>0.53409534429885552</v>
      </c>
      <c r="L236" s="141">
        <f t="shared" si="124"/>
        <v>0.53409534429885552</v>
      </c>
      <c r="M236" s="141">
        <f t="shared" si="124"/>
        <v>0.53409534429885563</v>
      </c>
      <c r="N236" s="141">
        <f t="shared" si="124"/>
        <v>0.53409534429885552</v>
      </c>
      <c r="O236" s="141">
        <f t="shared" si="124"/>
        <v>0.53409534429885552</v>
      </c>
      <c r="P236" s="141">
        <f t="shared" si="124"/>
        <v>0.53409534429885552</v>
      </c>
      <c r="Q236" s="141">
        <f t="shared" si="124"/>
        <v>0.53409534429885552</v>
      </c>
    </row>
    <row r="237" spans="2:17" ht="12.75" customHeight="1">
      <c r="B237" s="151" t="s">
        <v>99</v>
      </c>
      <c r="C237" s="151"/>
      <c r="J237" s="161">
        <f>J235/J9*365</f>
        <v>61.097826086956523</v>
      </c>
      <c r="K237" s="161">
        <f>K235/K9*365</f>
        <v>47.088686868686871</v>
      </c>
      <c r="L237" s="201">
        <f t="shared" ref="L237:Q237" si="125">K237</f>
        <v>47.088686868686871</v>
      </c>
      <c r="M237" s="201">
        <f t="shared" si="125"/>
        <v>47.088686868686871</v>
      </c>
      <c r="N237" s="161">
        <f t="shared" si="125"/>
        <v>47.088686868686871</v>
      </c>
      <c r="O237" s="161">
        <f t="shared" si="125"/>
        <v>47.088686868686871</v>
      </c>
      <c r="P237" s="161">
        <f t="shared" si="125"/>
        <v>47.088686868686871</v>
      </c>
      <c r="Q237" s="161">
        <f t="shared" si="125"/>
        <v>47.088686868686871</v>
      </c>
    </row>
    <row r="238" spans="2:17" ht="12.75" customHeight="1">
      <c r="B238" s="151"/>
      <c r="C238" s="151"/>
      <c r="J238" s="161"/>
      <c r="K238" s="161"/>
      <c r="L238" s="161"/>
      <c r="M238" s="201"/>
      <c r="N238" s="201"/>
      <c r="O238" s="201"/>
      <c r="P238" s="201"/>
      <c r="Q238" s="201"/>
    </row>
    <row r="239" spans="2:17" ht="12.75" customHeight="1">
      <c r="B239" s="3" t="s">
        <v>100</v>
      </c>
      <c r="J239" s="153">
        <f>J72</f>
        <v>8.3670000000000009</v>
      </c>
      <c r="K239" s="153">
        <f>K72</f>
        <v>8.859</v>
      </c>
      <c r="L239" s="153">
        <f t="shared" ref="L239:Q239" si="126">L8*L240</f>
        <v>10.630800000000001</v>
      </c>
      <c r="M239" s="153">
        <f t="shared" si="126"/>
        <v>12.4026</v>
      </c>
      <c r="N239" s="153">
        <f t="shared" si="126"/>
        <v>14.1744</v>
      </c>
      <c r="O239" s="153">
        <f t="shared" si="126"/>
        <v>15.946200000000001</v>
      </c>
      <c r="P239" s="153">
        <f t="shared" si="126"/>
        <v>17.939475000000002</v>
      </c>
      <c r="Q239" s="153">
        <f t="shared" si="126"/>
        <v>20.181909375</v>
      </c>
    </row>
    <row r="240" spans="2:17" ht="12.75" customHeight="1">
      <c r="B240" s="151" t="s">
        <v>259</v>
      </c>
      <c r="C240" s="151"/>
      <c r="J240" s="141">
        <f>J239/J8</f>
        <v>9.296666666666667E-2</v>
      </c>
      <c r="K240" s="141">
        <f>K239/K8</f>
        <v>8.8590000000000002E-2</v>
      </c>
      <c r="L240" s="372">
        <f t="shared" ref="L240:Q240" si="127">K240</f>
        <v>8.8590000000000002E-2</v>
      </c>
      <c r="M240" s="372">
        <f t="shared" si="127"/>
        <v>8.8590000000000002E-2</v>
      </c>
      <c r="N240" s="141">
        <f t="shared" si="127"/>
        <v>8.8590000000000002E-2</v>
      </c>
      <c r="O240" s="141">
        <f t="shared" si="127"/>
        <v>8.8590000000000002E-2</v>
      </c>
      <c r="P240" s="141">
        <f t="shared" si="127"/>
        <v>8.8590000000000002E-2</v>
      </c>
      <c r="Q240" s="141">
        <f t="shared" si="127"/>
        <v>8.8590000000000002E-2</v>
      </c>
    </row>
    <row r="241" spans="1:17" ht="12.75" customHeight="1">
      <c r="J241" s="1075"/>
      <c r="K241" s="1075"/>
      <c r="L241" s="1075"/>
      <c r="M241" s="1176"/>
      <c r="N241" s="1176"/>
      <c r="O241" s="1176"/>
      <c r="P241" s="1176"/>
      <c r="Q241" s="1176"/>
    </row>
    <row r="242" spans="1:17" s="17" customFormat="1" ht="15.95" customHeight="1" thickBot="1">
      <c r="A242" s="17" t="s">
        <v>167</v>
      </c>
      <c r="B242" s="817" t="s">
        <v>181</v>
      </c>
      <c r="C242" s="817"/>
      <c r="D242" s="818"/>
      <c r="E242" s="818"/>
      <c r="F242" s="818"/>
      <c r="G242" s="818"/>
      <c r="H242" s="818"/>
      <c r="I242" s="818"/>
      <c r="J242" s="818"/>
      <c r="K242" s="818"/>
      <c r="L242" s="818"/>
      <c r="M242" s="818"/>
      <c r="N242" s="818"/>
      <c r="O242" s="818"/>
      <c r="P242" s="819"/>
      <c r="Q242" s="819"/>
    </row>
    <row r="243" spans="1:17">
      <c r="B243" s="1177"/>
      <c r="C243" s="1177"/>
      <c r="D243" s="8"/>
      <c r="E243" s="8"/>
      <c r="F243" s="8"/>
      <c r="G243" s="8"/>
      <c r="H243" s="8"/>
      <c r="I243" s="4"/>
      <c r="J243" s="8"/>
      <c r="K243" s="8"/>
      <c r="L243" s="8"/>
      <c r="M243" s="8"/>
      <c r="N243" s="8"/>
      <c r="O243" s="8"/>
    </row>
    <row r="244" spans="1:17" s="17" customFormat="1" ht="12.75" customHeight="1">
      <c r="B244" s="211" t="s">
        <v>182</v>
      </c>
      <c r="C244" s="1178">
        <v>1</v>
      </c>
      <c r="D244" s="257" t="str">
        <f>INDEX(C247:C251,acase)</f>
        <v>Wall street consensus</v>
      </c>
      <c r="E244" s="437"/>
      <c r="F244" s="437"/>
      <c r="G244" s="437"/>
      <c r="H244" s="437"/>
      <c r="I244" s="1217" t="str">
        <f>$B$7</f>
        <v>Fiscal Year Ended December 31,</v>
      </c>
      <c r="J244" s="1218"/>
      <c r="K244" s="1218"/>
      <c r="L244" s="1179">
        <f t="shared" ref="L244:Q244" si="128">L$7</f>
        <v>2019</v>
      </c>
      <c r="M244" s="1180">
        <f t="shared" si="128"/>
        <v>2020</v>
      </c>
      <c r="N244" s="1180">
        <f t="shared" si="128"/>
        <v>2021</v>
      </c>
      <c r="O244" s="1180">
        <f t="shared" si="128"/>
        <v>2022</v>
      </c>
      <c r="P244" s="1180">
        <f t="shared" si="128"/>
        <v>2023</v>
      </c>
      <c r="Q244" s="1180">
        <f t="shared" si="128"/>
        <v>2024</v>
      </c>
    </row>
    <row r="245" spans="1:17" s="17" customFormat="1" ht="12.75" customHeight="1">
      <c r="B245" s="257"/>
      <c r="C245" s="257"/>
      <c r="D245" s="257"/>
      <c r="E245" s="257"/>
      <c r="F245" s="257"/>
      <c r="G245" s="437"/>
      <c r="H245" s="437"/>
      <c r="I245" s="1219"/>
      <c r="J245" s="1219"/>
      <c r="K245" s="1220"/>
      <c r="L245" s="1221"/>
      <c r="M245" s="1221"/>
      <c r="N245" s="1221"/>
      <c r="O245" s="1222"/>
      <c r="P245" s="1222"/>
      <c r="Q245" s="1222"/>
    </row>
    <row r="246" spans="1:17" ht="12.75" customHeight="1">
      <c r="B246" s="1184" t="s">
        <v>182</v>
      </c>
      <c r="C246" s="211" t="s">
        <v>319</v>
      </c>
      <c r="D246" s="4"/>
      <c r="E246" s="211" t="s">
        <v>317</v>
      </c>
      <c r="F246" s="4"/>
      <c r="G246" s="4"/>
      <c r="H246" s="4"/>
      <c r="I246" s="1223" t="s">
        <v>260</v>
      </c>
      <c r="K246" s="1224">
        <f>$C$244</f>
        <v>1</v>
      </c>
      <c r="L246" s="1187">
        <f t="shared" ref="L246:Q246" si="129">INDEX(L247:L251,$K246)</f>
        <v>0.19999999999999996</v>
      </c>
      <c r="M246" s="368">
        <f t="shared" si="129"/>
        <v>0.16666666666666674</v>
      </c>
      <c r="N246" s="368">
        <f t="shared" si="129"/>
        <v>0.14285714285714279</v>
      </c>
      <c r="O246" s="368">
        <f t="shared" si="129"/>
        <v>0.125</v>
      </c>
      <c r="P246" s="368">
        <f t="shared" si="129"/>
        <v>0.125</v>
      </c>
      <c r="Q246" s="1225">
        <f t="shared" si="129"/>
        <v>0.125</v>
      </c>
    </row>
    <row r="247" spans="1:17" ht="12.75" customHeight="1">
      <c r="B247" s="1189">
        <v>1</v>
      </c>
      <c r="C247" s="1190" t="s">
        <v>669</v>
      </c>
      <c r="D247" s="156"/>
      <c r="E247" s="1190" t="s">
        <v>670</v>
      </c>
      <c r="F247" s="156"/>
      <c r="G247" s="4"/>
      <c r="H247" s="4"/>
      <c r="I247" s="4"/>
      <c r="J247" s="4"/>
      <c r="K247" s="1191">
        <v>1</v>
      </c>
      <c r="L247" s="372">
        <f>+Inputs!D35/'Acq Income Statement'!L7-1</f>
        <v>0.19999999999999996</v>
      </c>
      <c r="M247" s="372">
        <f>+Inputs!E35/Inputs!D35-1</f>
        <v>0.16666666666666674</v>
      </c>
      <c r="N247" s="141">
        <f>+Inputs!F35/Inputs!E35-1</f>
        <v>0.14285714285714279</v>
      </c>
      <c r="O247" s="141">
        <f>+Inputs!G35/Inputs!F35-1</f>
        <v>0.125</v>
      </c>
      <c r="P247" s="141">
        <f t="shared" ref="N247:Q251" si="130">+O247</f>
        <v>0.125</v>
      </c>
      <c r="Q247" s="141">
        <f t="shared" si="130"/>
        <v>0.125</v>
      </c>
    </row>
    <row r="248" spans="1:17" ht="12.75" customHeight="1">
      <c r="B248" s="778">
        <v>2</v>
      </c>
      <c r="C248" s="926" t="s">
        <v>423</v>
      </c>
      <c r="D248" s="4"/>
      <c r="E248" s="1" t="s">
        <v>401</v>
      </c>
      <c r="F248" s="4"/>
      <c r="G248" s="4"/>
      <c r="H248" s="4"/>
      <c r="K248" s="1192">
        <f>K247+1</f>
        <v>2</v>
      </c>
      <c r="L248" s="372">
        <v>0</v>
      </c>
      <c r="M248" s="372">
        <v>0</v>
      </c>
      <c r="N248" s="141">
        <f t="shared" si="130"/>
        <v>0</v>
      </c>
      <c r="O248" s="141">
        <f t="shared" si="130"/>
        <v>0</v>
      </c>
      <c r="P248" s="141">
        <f t="shared" si="130"/>
        <v>0</v>
      </c>
      <c r="Q248" s="141">
        <f t="shared" si="130"/>
        <v>0</v>
      </c>
    </row>
    <row r="249" spans="1:17" ht="12.75" customHeight="1">
      <c r="B249" s="778">
        <v>3</v>
      </c>
      <c r="C249" s="926" t="s">
        <v>424</v>
      </c>
      <c r="D249" s="4"/>
      <c r="E249" s="1" t="s">
        <v>401</v>
      </c>
      <c r="F249" s="4"/>
      <c r="G249" s="4"/>
      <c r="H249" s="4"/>
      <c r="K249" s="1192">
        <f>K248+1</f>
        <v>3</v>
      </c>
      <c r="L249" s="372">
        <v>0</v>
      </c>
      <c r="M249" s="372">
        <v>0</v>
      </c>
      <c r="N249" s="141">
        <f t="shared" si="130"/>
        <v>0</v>
      </c>
      <c r="O249" s="141">
        <f t="shared" si="130"/>
        <v>0</v>
      </c>
      <c r="P249" s="141">
        <f t="shared" si="130"/>
        <v>0</v>
      </c>
      <c r="Q249" s="141">
        <f t="shared" si="130"/>
        <v>0</v>
      </c>
    </row>
    <row r="250" spans="1:17" ht="12.75" customHeight="1">
      <c r="B250" s="778">
        <v>4</v>
      </c>
      <c r="C250" s="926" t="s">
        <v>425</v>
      </c>
      <c r="D250" s="4"/>
      <c r="E250" s="1" t="s">
        <v>401</v>
      </c>
      <c r="F250" s="4"/>
      <c r="G250" s="4"/>
      <c r="H250" s="4"/>
      <c r="K250" s="1192">
        <f>K249+1</f>
        <v>4</v>
      </c>
      <c r="L250" s="372">
        <v>0</v>
      </c>
      <c r="M250" s="372">
        <v>0</v>
      </c>
      <c r="N250" s="141">
        <f t="shared" si="130"/>
        <v>0</v>
      </c>
      <c r="O250" s="141">
        <f t="shared" si="130"/>
        <v>0</v>
      </c>
      <c r="P250" s="141">
        <f t="shared" si="130"/>
        <v>0</v>
      </c>
      <c r="Q250" s="141">
        <f t="shared" si="130"/>
        <v>0</v>
      </c>
    </row>
    <row r="251" spans="1:17" ht="12.75" customHeight="1">
      <c r="B251" s="778">
        <v>5</v>
      </c>
      <c r="C251" s="926" t="s">
        <v>426</v>
      </c>
      <c r="D251" s="4"/>
      <c r="E251" s="1" t="s">
        <v>401</v>
      </c>
      <c r="F251" s="4"/>
      <c r="G251" s="4"/>
      <c r="H251" s="4"/>
      <c r="K251" s="1192">
        <f>K250+1</f>
        <v>5</v>
      </c>
      <c r="L251" s="372">
        <v>0</v>
      </c>
      <c r="M251" s="372">
        <v>0</v>
      </c>
      <c r="N251" s="141">
        <f t="shared" si="130"/>
        <v>0</v>
      </c>
      <c r="O251" s="141">
        <f t="shared" si="130"/>
        <v>0</v>
      </c>
      <c r="P251" s="141">
        <f t="shared" si="130"/>
        <v>0</v>
      </c>
      <c r="Q251" s="141">
        <f t="shared" si="130"/>
        <v>0</v>
      </c>
    </row>
    <row r="252" spans="1:17" ht="12.75" customHeight="1">
      <c r="I252" s="4"/>
      <c r="J252" s="4"/>
      <c r="K252" s="4"/>
    </row>
    <row r="253" spans="1:17" s="17" customFormat="1" ht="12.75" customHeight="1">
      <c r="B253" s="257"/>
      <c r="E253" s="10"/>
      <c r="F253" s="10"/>
      <c r="I253" s="1185" t="s">
        <v>74</v>
      </c>
      <c r="J253" s="3"/>
      <c r="K253" s="1186">
        <f>$C$244</f>
        <v>1</v>
      </c>
      <c r="L253" s="1187">
        <f t="shared" ref="L253:Q253" si="131">INDEX(L254:L258,$K253)</f>
        <v>0.5</v>
      </c>
      <c r="M253" s="368">
        <f t="shared" si="131"/>
        <v>0.5</v>
      </c>
      <c r="N253" s="368">
        <f t="shared" si="131"/>
        <v>0.5</v>
      </c>
      <c r="O253" s="368">
        <f t="shared" si="131"/>
        <v>0.5</v>
      </c>
      <c r="P253" s="368">
        <f t="shared" si="131"/>
        <v>0.5</v>
      </c>
      <c r="Q253" s="1225">
        <f t="shared" si="131"/>
        <v>0.5</v>
      </c>
    </row>
    <row r="254" spans="1:17" s="17" customFormat="1" ht="12.75" customHeight="1">
      <c r="E254" s="10"/>
      <c r="F254" s="10"/>
      <c r="G254" s="10"/>
      <c r="H254" s="10"/>
      <c r="I254" s="10"/>
      <c r="J254" s="10"/>
      <c r="K254" s="1195">
        <f>K247</f>
        <v>1</v>
      </c>
      <c r="L254" s="372">
        <v>0.5</v>
      </c>
      <c r="M254" s="372">
        <v>0.5</v>
      </c>
      <c r="N254" s="141">
        <f t="shared" ref="N254:Q258" si="132">+M254</f>
        <v>0.5</v>
      </c>
      <c r="O254" s="141">
        <f t="shared" si="132"/>
        <v>0.5</v>
      </c>
      <c r="P254" s="141">
        <f t="shared" si="132"/>
        <v>0.5</v>
      </c>
      <c r="Q254" s="141">
        <f t="shared" si="132"/>
        <v>0.5</v>
      </c>
    </row>
    <row r="255" spans="1:17" s="17" customFormat="1" ht="12.75" customHeight="1">
      <c r="B255" s="10"/>
      <c r="C255" s="10"/>
      <c r="E255" s="10"/>
      <c r="F255" s="10"/>
      <c r="G255" s="10"/>
      <c r="H255" s="10"/>
      <c r="I255" s="10"/>
      <c r="J255" s="10"/>
      <c r="K255" s="1192">
        <f>K254+1</f>
        <v>2</v>
      </c>
      <c r="L255" s="372">
        <v>0</v>
      </c>
      <c r="M255" s="372">
        <v>0</v>
      </c>
      <c r="N255" s="141">
        <f t="shared" si="132"/>
        <v>0</v>
      </c>
      <c r="O255" s="141">
        <f t="shared" si="132"/>
        <v>0</v>
      </c>
      <c r="P255" s="141">
        <f t="shared" si="132"/>
        <v>0</v>
      </c>
      <c r="Q255" s="141">
        <f t="shared" si="132"/>
        <v>0</v>
      </c>
    </row>
    <row r="256" spans="1:17" s="17" customFormat="1" ht="12.75" customHeight="1">
      <c r="B256" s="10"/>
      <c r="C256" s="10"/>
      <c r="E256" s="10"/>
      <c r="F256" s="10"/>
      <c r="G256" s="10"/>
      <c r="H256" s="10"/>
      <c r="I256" s="10"/>
      <c r="J256" s="10"/>
      <c r="K256" s="1192">
        <f>K255+1</f>
        <v>3</v>
      </c>
      <c r="L256" s="372">
        <v>0</v>
      </c>
      <c r="M256" s="372">
        <v>0</v>
      </c>
      <c r="N256" s="141">
        <f t="shared" si="132"/>
        <v>0</v>
      </c>
      <c r="O256" s="141">
        <f t="shared" si="132"/>
        <v>0</v>
      </c>
      <c r="P256" s="141">
        <f t="shared" si="132"/>
        <v>0</v>
      </c>
      <c r="Q256" s="141">
        <f t="shared" si="132"/>
        <v>0</v>
      </c>
    </row>
    <row r="257" spans="1:19" s="17" customFormat="1" ht="12.75" customHeight="1">
      <c r="B257" s="10"/>
      <c r="C257" s="10"/>
      <c r="E257" s="10"/>
      <c r="F257" s="10"/>
      <c r="G257" s="10"/>
      <c r="H257" s="10"/>
      <c r="I257" s="10"/>
      <c r="J257" s="10"/>
      <c r="K257" s="1192">
        <f>K256+1</f>
        <v>4</v>
      </c>
      <c r="L257" s="372">
        <v>0</v>
      </c>
      <c r="M257" s="372">
        <v>0</v>
      </c>
      <c r="N257" s="141">
        <f t="shared" si="132"/>
        <v>0</v>
      </c>
      <c r="O257" s="141">
        <f t="shared" si="132"/>
        <v>0</v>
      </c>
      <c r="P257" s="141">
        <f t="shared" si="132"/>
        <v>0</v>
      </c>
      <c r="Q257" s="141">
        <f t="shared" si="132"/>
        <v>0</v>
      </c>
    </row>
    <row r="258" spans="1:19" s="17" customFormat="1" ht="12.75" customHeight="1">
      <c r="B258" s="10"/>
      <c r="C258" s="10"/>
      <c r="E258" s="10"/>
      <c r="F258" s="10"/>
      <c r="G258" s="10"/>
      <c r="H258" s="10"/>
      <c r="I258" s="10"/>
      <c r="J258" s="10"/>
      <c r="K258" s="1192">
        <f>K257+1</f>
        <v>5</v>
      </c>
      <c r="L258" s="372">
        <v>0</v>
      </c>
      <c r="M258" s="372">
        <v>0</v>
      </c>
      <c r="N258" s="141">
        <f t="shared" si="132"/>
        <v>0</v>
      </c>
      <c r="O258" s="141">
        <f t="shared" si="132"/>
        <v>0</v>
      </c>
      <c r="P258" s="141">
        <f t="shared" si="132"/>
        <v>0</v>
      </c>
      <c r="Q258" s="141">
        <f t="shared" si="132"/>
        <v>0</v>
      </c>
      <c r="S258" s="1062"/>
    </row>
    <row r="259" spans="1:19" ht="12.75" customHeight="1">
      <c r="I259" s="4"/>
      <c r="J259" s="4"/>
      <c r="K259" s="4"/>
      <c r="L259" s="10"/>
      <c r="M259" s="1226"/>
      <c r="N259" s="1226"/>
      <c r="O259" s="1226"/>
      <c r="P259" s="1226"/>
      <c r="Q259" s="1226"/>
      <c r="S259" s="303"/>
    </row>
    <row r="260" spans="1:19" ht="12.75" customHeight="1">
      <c r="B260" s="4"/>
      <c r="C260" s="257"/>
      <c r="G260" s="4"/>
      <c r="H260" s="4"/>
      <c r="I260" s="256" t="s">
        <v>318</v>
      </c>
      <c r="J260" s="10"/>
      <c r="K260" s="1186">
        <f>$C$244</f>
        <v>1</v>
      </c>
      <c r="L260" s="1227">
        <f t="shared" ref="L260:Q260" si="133">INDEX(L261:L265,$K260)</f>
        <v>0.25</v>
      </c>
      <c r="M260" s="368">
        <f t="shared" si="133"/>
        <v>0.25</v>
      </c>
      <c r="N260" s="368">
        <f t="shared" si="133"/>
        <v>0.25</v>
      </c>
      <c r="O260" s="368">
        <f t="shared" si="133"/>
        <v>0.25</v>
      </c>
      <c r="P260" s="368">
        <f t="shared" si="133"/>
        <v>0.25</v>
      </c>
      <c r="Q260" s="1225">
        <f t="shared" si="133"/>
        <v>0.25</v>
      </c>
      <c r="S260" s="303"/>
    </row>
    <row r="261" spans="1:19" ht="12.75" customHeight="1">
      <c r="B261" s="4"/>
      <c r="C261" s="1228"/>
      <c r="K261" s="1195">
        <f>K247</f>
        <v>1</v>
      </c>
      <c r="L261" s="372">
        <v>0.25</v>
      </c>
      <c r="M261" s="372">
        <v>0.25</v>
      </c>
      <c r="N261" s="141">
        <f t="shared" ref="N261:Q265" si="134">+M261</f>
        <v>0.25</v>
      </c>
      <c r="O261" s="141">
        <f t="shared" si="134"/>
        <v>0.25</v>
      </c>
      <c r="P261" s="141">
        <f t="shared" si="134"/>
        <v>0.25</v>
      </c>
      <c r="Q261" s="141">
        <f t="shared" si="134"/>
        <v>0.25</v>
      </c>
      <c r="S261" s="303"/>
    </row>
    <row r="262" spans="1:19" ht="12.75" customHeight="1">
      <c r="K262" s="1192">
        <f>K261+1</f>
        <v>2</v>
      </c>
      <c r="L262" s="372">
        <v>0</v>
      </c>
      <c r="M262" s="372">
        <v>0</v>
      </c>
      <c r="N262" s="141">
        <f t="shared" si="134"/>
        <v>0</v>
      </c>
      <c r="O262" s="141">
        <f t="shared" si="134"/>
        <v>0</v>
      </c>
      <c r="P262" s="141">
        <f t="shared" si="134"/>
        <v>0</v>
      </c>
      <c r="Q262" s="141">
        <f t="shared" si="134"/>
        <v>0</v>
      </c>
      <c r="S262" s="303"/>
    </row>
    <row r="263" spans="1:19" ht="12.75" customHeight="1">
      <c r="B263" s="4"/>
      <c r="C263" s="4"/>
      <c r="D263" s="4"/>
      <c r="E263" s="4"/>
      <c r="F263" s="4"/>
      <c r="G263" s="4"/>
      <c r="H263" s="4"/>
      <c r="K263" s="1192">
        <f>K262+1</f>
        <v>3</v>
      </c>
      <c r="L263" s="372">
        <v>0</v>
      </c>
      <c r="M263" s="372">
        <v>0</v>
      </c>
      <c r="N263" s="141">
        <f t="shared" si="134"/>
        <v>0</v>
      </c>
      <c r="O263" s="141">
        <f t="shared" si="134"/>
        <v>0</v>
      </c>
      <c r="P263" s="141">
        <f t="shared" si="134"/>
        <v>0</v>
      </c>
      <c r="Q263" s="141">
        <f t="shared" si="134"/>
        <v>0</v>
      </c>
      <c r="S263" s="303"/>
    </row>
    <row r="264" spans="1:19" ht="12.75" customHeight="1">
      <c r="B264" s="4"/>
      <c r="C264" s="4"/>
      <c r="D264" s="4"/>
      <c r="E264" s="4"/>
      <c r="F264" s="4"/>
      <c r="G264" s="4"/>
      <c r="H264" s="4"/>
      <c r="I264" s="4"/>
      <c r="J264" s="4"/>
      <c r="K264" s="1192">
        <f>K263+1</f>
        <v>4</v>
      </c>
      <c r="L264" s="372">
        <v>0</v>
      </c>
      <c r="M264" s="372">
        <v>0</v>
      </c>
      <c r="N264" s="141">
        <f t="shared" si="134"/>
        <v>0</v>
      </c>
      <c r="O264" s="141">
        <f t="shared" si="134"/>
        <v>0</v>
      </c>
      <c r="P264" s="141">
        <f t="shared" si="134"/>
        <v>0</v>
      </c>
      <c r="Q264" s="141">
        <f t="shared" si="134"/>
        <v>0</v>
      </c>
    </row>
    <row r="265" spans="1:19" ht="12.75" customHeight="1">
      <c r="B265" s="4"/>
      <c r="C265" s="4"/>
      <c r="D265" s="4"/>
      <c r="E265" s="4"/>
      <c r="F265" s="4"/>
      <c r="G265" s="4"/>
      <c r="H265" s="4"/>
      <c r="I265" s="4"/>
      <c r="J265" s="4"/>
      <c r="K265" s="1192">
        <f>K264+1</f>
        <v>5</v>
      </c>
      <c r="L265" s="372">
        <v>0</v>
      </c>
      <c r="M265" s="372">
        <v>0</v>
      </c>
      <c r="N265" s="141">
        <f t="shared" si="134"/>
        <v>0</v>
      </c>
      <c r="O265" s="141">
        <f t="shared" si="134"/>
        <v>0</v>
      </c>
      <c r="P265" s="141">
        <f t="shared" si="134"/>
        <v>0</v>
      </c>
      <c r="Q265" s="141">
        <f t="shared" si="134"/>
        <v>0</v>
      </c>
    </row>
    <row r="267" spans="1:19" ht="16.5" thickBot="1">
      <c r="A267" s="17" t="s">
        <v>167</v>
      </c>
      <c r="B267" s="1196" t="s">
        <v>474</v>
      </c>
      <c r="C267" s="1196"/>
      <c r="D267" s="1197"/>
      <c r="E267" s="1197"/>
      <c r="F267" s="1197"/>
      <c r="G267" s="1197"/>
      <c r="H267" s="1197"/>
      <c r="I267" s="1197"/>
      <c r="J267" s="1197"/>
      <c r="K267" s="1197"/>
      <c r="L267" s="1197"/>
      <c r="M267" s="1197"/>
      <c r="N267" s="1197"/>
      <c r="O267" s="1197"/>
      <c r="P267" s="1060"/>
      <c r="Q267" s="1060"/>
    </row>
    <row r="269" spans="1:19">
      <c r="K269" s="1198">
        <f>+K$7</f>
        <v>2018</v>
      </c>
      <c r="L269" s="1199">
        <f t="shared" ref="L269:Q269" si="135">+L$7</f>
        <v>2019</v>
      </c>
      <c r="M269" s="1200">
        <f t="shared" si="135"/>
        <v>2020</v>
      </c>
      <c r="N269" s="1200">
        <f t="shared" si="135"/>
        <v>2021</v>
      </c>
      <c r="O269" s="1200">
        <f t="shared" si="135"/>
        <v>2022</v>
      </c>
      <c r="P269" s="1200">
        <f t="shared" si="135"/>
        <v>2023</v>
      </c>
      <c r="Q269" s="1200">
        <f t="shared" si="135"/>
        <v>2024</v>
      </c>
    </row>
    <row r="270" spans="1:19">
      <c r="I270" s="3" t="s">
        <v>254</v>
      </c>
      <c r="K270" s="353">
        <f>+K8</f>
        <v>100</v>
      </c>
      <c r="L270" s="352">
        <f>Inputs!D35</f>
        <v>120</v>
      </c>
      <c r="M270" s="352">
        <f>Inputs!E35</f>
        <v>140</v>
      </c>
      <c r="N270" s="353">
        <f>(M270/L270)*M270</f>
        <v>163.33333333333334</v>
      </c>
      <c r="O270" s="353">
        <f>(N270/M270)*N270</f>
        <v>190.55555555555557</v>
      </c>
      <c r="P270" s="353">
        <f>(O270/N270)*O270</f>
        <v>222.31481481481484</v>
      </c>
      <c r="Q270" s="353">
        <f>(P270/O270)*P270</f>
        <v>259.36728395061732</v>
      </c>
    </row>
    <row r="271" spans="1:19">
      <c r="I271" s="3" t="s">
        <v>73</v>
      </c>
      <c r="L271" s="822">
        <f t="shared" ref="L271:Q271" si="136">+L272-L270</f>
        <v>-60</v>
      </c>
      <c r="M271" s="822">
        <f t="shared" si="136"/>
        <v>-70</v>
      </c>
      <c r="N271" s="822">
        <f t="shared" si="136"/>
        <v>-81.666666666666671</v>
      </c>
      <c r="O271" s="822">
        <f t="shared" si="136"/>
        <v>-95.277777777777786</v>
      </c>
      <c r="P271" s="822">
        <f t="shared" si="136"/>
        <v>-111.15740740740742</v>
      </c>
      <c r="Q271" s="822">
        <f t="shared" si="136"/>
        <v>-129.68364197530866</v>
      </c>
    </row>
    <row r="272" spans="1:19">
      <c r="I272" s="3" t="s">
        <v>117</v>
      </c>
      <c r="L272" s="1201">
        <f>Inputs!D36*L270</f>
        <v>60</v>
      </c>
      <c r="M272" s="1201">
        <f>Inputs!E36*M270</f>
        <v>70</v>
      </c>
      <c r="N272" s="1202">
        <f>(M272/M$270)*N$270</f>
        <v>81.666666666666671</v>
      </c>
      <c r="O272" s="1202">
        <f t="shared" ref="O272:Q276" si="137">(N272/N$270)*O$270</f>
        <v>95.277777777777786</v>
      </c>
      <c r="P272" s="1202">
        <f t="shared" si="137"/>
        <v>111.15740740740742</v>
      </c>
      <c r="Q272" s="1202">
        <f t="shared" si="137"/>
        <v>129.68364197530866</v>
      </c>
    </row>
    <row r="273" spans="1:17">
      <c r="I273" s="3" t="s">
        <v>119</v>
      </c>
      <c r="L273" s="822">
        <f t="shared" ref="L273:Q273" si="138">+L274-L272</f>
        <v>-30</v>
      </c>
      <c r="M273" s="822">
        <f t="shared" si="138"/>
        <v>-35</v>
      </c>
      <c r="N273" s="822">
        <f t="shared" si="138"/>
        <v>-40.833333333333336</v>
      </c>
      <c r="O273" s="822">
        <f t="shared" si="138"/>
        <v>-47.638888888888893</v>
      </c>
      <c r="P273" s="822">
        <f t="shared" si="138"/>
        <v>-55.578703703703709</v>
      </c>
      <c r="Q273" s="822">
        <f t="shared" si="138"/>
        <v>-64.84182098765433</v>
      </c>
    </row>
    <row r="274" spans="1:17">
      <c r="I274" s="3" t="s">
        <v>64</v>
      </c>
      <c r="K274" s="661"/>
      <c r="L274" s="1203">
        <f>Inputs!D37</f>
        <v>30</v>
      </c>
      <c r="M274" s="1203">
        <f>Inputs!E37</f>
        <v>35</v>
      </c>
      <c r="N274" s="1202">
        <f>(M274/M$270)*N$270</f>
        <v>40.833333333333336</v>
      </c>
      <c r="O274" s="1202">
        <f t="shared" si="137"/>
        <v>47.638888888888893</v>
      </c>
      <c r="P274" s="1202">
        <f t="shared" si="137"/>
        <v>55.578703703703709</v>
      </c>
      <c r="Q274" s="1202">
        <f t="shared" si="137"/>
        <v>64.84182098765433</v>
      </c>
    </row>
    <row r="275" spans="1:17">
      <c r="I275" s="3" t="s">
        <v>75</v>
      </c>
      <c r="L275" s="822">
        <f t="shared" ref="L275:Q275" si="139">+L276-L274</f>
        <v>-15</v>
      </c>
      <c r="M275" s="822">
        <f t="shared" si="139"/>
        <v>-10</v>
      </c>
      <c r="N275" s="822">
        <f t="shared" si="139"/>
        <v>-11.666666666666668</v>
      </c>
      <c r="O275" s="822">
        <f t="shared" si="139"/>
        <v>-13.611111111111114</v>
      </c>
      <c r="P275" s="822">
        <f t="shared" si="139"/>
        <v>-15.879629629629633</v>
      </c>
      <c r="Q275" s="822">
        <f t="shared" si="139"/>
        <v>-18.526234567901234</v>
      </c>
    </row>
    <row r="276" spans="1:17">
      <c r="I276" s="3" t="s">
        <v>76</v>
      </c>
      <c r="L276" s="1203">
        <f>Inputs!D38</f>
        <v>15</v>
      </c>
      <c r="M276" s="1203">
        <f>Inputs!E38</f>
        <v>25</v>
      </c>
      <c r="N276" s="1202">
        <f>(M276/M$270)*N$270</f>
        <v>29.166666666666668</v>
      </c>
      <c r="O276" s="1202">
        <f t="shared" si="137"/>
        <v>34.027777777777779</v>
      </c>
      <c r="P276" s="1202">
        <f t="shared" si="137"/>
        <v>39.699074074074076</v>
      </c>
      <c r="Q276" s="1202">
        <f t="shared" si="137"/>
        <v>46.315586419753096</v>
      </c>
    </row>
    <row r="277" spans="1:17">
      <c r="I277" s="3" t="s">
        <v>130</v>
      </c>
      <c r="L277" s="822">
        <f t="shared" ref="L277:Q277" si="140">+L278-L276</f>
        <v>-5</v>
      </c>
      <c r="M277" s="822">
        <f t="shared" si="140"/>
        <v>-10</v>
      </c>
      <c r="N277" s="822">
        <f t="shared" si="140"/>
        <v>-12.666666666666668</v>
      </c>
      <c r="O277" s="822">
        <f t="shared" si="140"/>
        <v>-15.877777777777776</v>
      </c>
      <c r="P277" s="822">
        <f t="shared" si="140"/>
        <v>-19.734074074074073</v>
      </c>
      <c r="Q277" s="822">
        <f t="shared" si="140"/>
        <v>-24.354086419753092</v>
      </c>
    </row>
    <row r="278" spans="1:17">
      <c r="I278" s="3" t="s">
        <v>65</v>
      </c>
      <c r="L278" s="1203">
        <f>Inputs!D39</f>
        <v>10</v>
      </c>
      <c r="M278" s="1203">
        <f>Inputs!E39</f>
        <v>15</v>
      </c>
      <c r="N278" s="1204">
        <f>+M278*(1+altg)</f>
        <v>16.5</v>
      </c>
      <c r="O278" s="1204">
        <f>+N278*(1+altg)</f>
        <v>18.150000000000002</v>
      </c>
      <c r="P278" s="1204">
        <f>+O278*(1+altg)</f>
        <v>19.965000000000003</v>
      </c>
      <c r="Q278" s="1204">
        <f>+P278*(1+altg)</f>
        <v>21.961500000000004</v>
      </c>
    </row>
    <row r="279" spans="1:17">
      <c r="I279" s="3" t="s">
        <v>191</v>
      </c>
      <c r="L279" s="822">
        <f t="shared" ref="L279:Q279" si="141">+L278/L280</f>
        <v>11.764705882352942</v>
      </c>
      <c r="M279" s="822">
        <f t="shared" si="141"/>
        <v>17.647058823529413</v>
      </c>
      <c r="N279" s="822">
        <f t="shared" si="141"/>
        <v>17.647058823529409</v>
      </c>
      <c r="O279" s="822">
        <f t="shared" si="141"/>
        <v>17.647058823529409</v>
      </c>
      <c r="P279" s="822">
        <f t="shared" si="141"/>
        <v>17.647058823529409</v>
      </c>
      <c r="Q279" s="822">
        <f t="shared" si="141"/>
        <v>17.647058823529409</v>
      </c>
    </row>
    <row r="280" spans="1:17">
      <c r="I280" s="3" t="s">
        <v>310</v>
      </c>
      <c r="L280" s="1203">
        <f>Inputs!D41</f>
        <v>0.85</v>
      </c>
      <c r="M280" s="1203">
        <f>Inputs!E41</f>
        <v>0.85</v>
      </c>
      <c r="N280" s="1204">
        <f>+M280*(1+altg)</f>
        <v>0.93500000000000005</v>
      </c>
      <c r="O280" s="1204">
        <f>+N280*(1+altg)</f>
        <v>1.0285000000000002</v>
      </c>
      <c r="P280" s="1204">
        <f>+O280*(1+altg)</f>
        <v>1.1313500000000003</v>
      </c>
      <c r="Q280" s="1204">
        <f>+P280*(1+altg)</f>
        <v>1.2444850000000005</v>
      </c>
    </row>
    <row r="281" spans="1:17">
      <c r="L281" s="822"/>
      <c r="M281" s="822"/>
      <c r="N281" s="822"/>
      <c r="O281" s="822"/>
      <c r="P281" s="822"/>
      <c r="Q281" s="822"/>
    </row>
    <row r="282" spans="1:17">
      <c r="I282" s="3" t="s">
        <v>64</v>
      </c>
      <c r="L282" s="343">
        <f t="shared" ref="L282:Q282" si="142">+L274</f>
        <v>30</v>
      </c>
      <c r="M282" s="343">
        <f t="shared" si="142"/>
        <v>35</v>
      </c>
      <c r="N282" s="343">
        <f t="shared" si="142"/>
        <v>40.833333333333336</v>
      </c>
      <c r="O282" s="343">
        <f t="shared" si="142"/>
        <v>47.638888888888893</v>
      </c>
      <c r="P282" s="343">
        <f t="shared" si="142"/>
        <v>55.578703703703709</v>
      </c>
      <c r="Q282" s="343">
        <f t="shared" si="142"/>
        <v>64.84182098765433</v>
      </c>
    </row>
    <row r="283" spans="1:17">
      <c r="I283" s="3" t="s">
        <v>78</v>
      </c>
      <c r="L283" s="822">
        <f t="shared" ref="L283:Q283" si="143">+L284-L282</f>
        <v>10</v>
      </c>
      <c r="M283" s="822">
        <f t="shared" si="143"/>
        <v>10</v>
      </c>
      <c r="N283" s="822">
        <f t="shared" si="143"/>
        <v>11.666666666666671</v>
      </c>
      <c r="O283" s="822">
        <f t="shared" si="143"/>
        <v>13.611111111111114</v>
      </c>
      <c r="P283" s="822">
        <f t="shared" si="143"/>
        <v>15.879629629629633</v>
      </c>
      <c r="Q283" s="822">
        <f t="shared" si="143"/>
        <v>18.526234567901241</v>
      </c>
    </row>
    <row r="284" spans="1:17">
      <c r="I284" s="3" t="s">
        <v>63</v>
      </c>
      <c r="L284" s="1203">
        <f>Inputs!D43</f>
        <v>40</v>
      </c>
      <c r="M284" s="1203">
        <f>Inputs!E43</f>
        <v>45</v>
      </c>
      <c r="N284" s="1202">
        <f>(M284/M$270)*N$270</f>
        <v>52.500000000000007</v>
      </c>
      <c r="O284" s="1202">
        <f>(N284/N$270)*O$270</f>
        <v>61.250000000000007</v>
      </c>
      <c r="P284" s="1202">
        <f>(O284/O$270)*P$270</f>
        <v>71.458333333333343</v>
      </c>
      <c r="Q284" s="1202">
        <f>(P284/P$270)*Q$270</f>
        <v>83.368055555555571</v>
      </c>
    </row>
    <row r="285" spans="1:17">
      <c r="L285" s="343"/>
      <c r="M285" s="343"/>
      <c r="N285" s="343"/>
      <c r="O285" s="343"/>
      <c r="P285" s="343"/>
      <c r="Q285" s="343"/>
    </row>
    <row r="286" spans="1:17">
      <c r="I286" s="3" t="s">
        <v>122</v>
      </c>
      <c r="L286" s="921">
        <f>Inputs!D44</f>
        <v>10</v>
      </c>
      <c r="M286" s="921">
        <f>Inputs!E44</f>
        <v>12</v>
      </c>
      <c r="N286" s="1205">
        <f>(M286/M$270)*N$270</f>
        <v>14.000000000000002</v>
      </c>
      <c r="O286" s="1205">
        <f>(N286/N$270)*O$270</f>
        <v>16.333333333333336</v>
      </c>
      <c r="P286" s="1205">
        <f>(O286/O$270)*P$270</f>
        <v>19.055555555555557</v>
      </c>
      <c r="Q286" s="1205">
        <f>(P286/P$270)*Q$270</f>
        <v>22.231481481481485</v>
      </c>
    </row>
    <row r="287" spans="1:17">
      <c r="L287" s="161"/>
      <c r="M287" s="161"/>
      <c r="N287" s="161"/>
      <c r="O287" s="161"/>
      <c r="P287" s="161"/>
      <c r="Q287" s="161"/>
    </row>
    <row r="288" spans="1:17" s="17" customFormat="1" ht="15.95" customHeight="1" thickBot="1">
      <c r="A288" s="17" t="s">
        <v>167</v>
      </c>
      <c r="B288" s="1196" t="s">
        <v>382</v>
      </c>
      <c r="C288" s="1196"/>
      <c r="D288" s="1197"/>
      <c r="E288" s="1197"/>
      <c r="F288" s="1197"/>
      <c r="G288" s="1197"/>
      <c r="H288" s="1197"/>
      <c r="I288" s="1197"/>
      <c r="J288" s="1197"/>
      <c r="K288" s="1197"/>
      <c r="L288" s="1197"/>
      <c r="M288" s="1197"/>
      <c r="N288" s="1197"/>
      <c r="O288" s="1197"/>
      <c r="P288" s="1060"/>
      <c r="Q288" s="1060"/>
    </row>
    <row r="290" spans="9:17">
      <c r="K290" s="1198">
        <f>+K$7</f>
        <v>2018</v>
      </c>
      <c r="L290" s="1199">
        <f t="shared" ref="L290:Q290" si="144">+L$7</f>
        <v>2019</v>
      </c>
      <c r="M290" s="1200">
        <f t="shared" si="144"/>
        <v>2020</v>
      </c>
      <c r="N290" s="1200">
        <f t="shared" si="144"/>
        <v>2021</v>
      </c>
      <c r="O290" s="1200">
        <f t="shared" si="144"/>
        <v>2022</v>
      </c>
      <c r="P290" s="1200">
        <f t="shared" si="144"/>
        <v>2023</v>
      </c>
      <c r="Q290" s="1200">
        <f t="shared" si="144"/>
        <v>2024</v>
      </c>
    </row>
    <row r="291" spans="9:17">
      <c r="I291" s="3" t="s">
        <v>383</v>
      </c>
      <c r="L291" s="138">
        <f t="shared" ref="L291:Q291" ca="1" si="145">L26</f>
        <v>1.8393463904462517</v>
      </c>
      <c r="M291" s="138">
        <f t="shared" ca="1" si="145"/>
        <v>2.1640405822357822</v>
      </c>
      <c r="N291" s="138">
        <f t="shared" ca="1" si="145"/>
        <v>2.4762479157706321</v>
      </c>
      <c r="O291" s="138">
        <f t="shared" ca="1" si="145"/>
        <v>2.7895408393658023</v>
      </c>
      <c r="P291" s="138">
        <f t="shared" ca="1" si="145"/>
        <v>3.1420904390886593</v>
      </c>
      <c r="Q291" s="138">
        <f t="shared" ca="1" si="145"/>
        <v>3.5387449129848649</v>
      </c>
    </row>
    <row r="293" spans="9:17">
      <c r="I293" s="3" t="s">
        <v>384</v>
      </c>
      <c r="L293" s="108">
        <f>Inputs!D41</f>
        <v>0.85</v>
      </c>
      <c r="M293" s="108">
        <f>Inputs!E41</f>
        <v>0.85</v>
      </c>
      <c r="N293" s="108">
        <f>Inputs!F41</f>
        <v>0.93500000000000005</v>
      </c>
      <c r="O293" s="108">
        <f>Inputs!G41</f>
        <v>1.0285000000000002</v>
      </c>
      <c r="P293" s="108">
        <f>O293*(1+altg)</f>
        <v>1.1313500000000003</v>
      </c>
      <c r="Q293" s="108">
        <f>P293*(1+altg)</f>
        <v>1.2444850000000005</v>
      </c>
    </row>
    <row r="294" spans="9:17">
      <c r="I294" s="3" t="s">
        <v>171</v>
      </c>
      <c r="L294" s="161">
        <f t="shared" ref="L294:Q294" si="146">L25</f>
        <v>12.283795925925926</v>
      </c>
      <c r="M294" s="161">
        <f t="shared" si="146"/>
        <v>12.283795925925926</v>
      </c>
      <c r="N294" s="161">
        <f t="shared" si="146"/>
        <v>12.283795925925926</v>
      </c>
      <c r="O294" s="161">
        <f t="shared" si="146"/>
        <v>12.283795925925926</v>
      </c>
      <c r="P294" s="161">
        <f t="shared" si="146"/>
        <v>12.283795925925926</v>
      </c>
      <c r="Q294" s="161">
        <f t="shared" si="146"/>
        <v>12.283795925925926</v>
      </c>
    </row>
    <row r="295" spans="9:17">
      <c r="I295" s="3" t="s">
        <v>65</v>
      </c>
      <c r="L295" s="1206">
        <f t="shared" ref="L295:Q295" si="147">L293*L294</f>
        <v>10.441226537037037</v>
      </c>
      <c r="M295" s="1206">
        <f t="shared" si="147"/>
        <v>10.441226537037037</v>
      </c>
      <c r="N295" s="1206">
        <f t="shared" si="147"/>
        <v>11.485349190740742</v>
      </c>
      <c r="O295" s="1206">
        <f t="shared" si="147"/>
        <v>12.633884109814817</v>
      </c>
      <c r="P295" s="1206">
        <f t="shared" si="147"/>
        <v>13.897272520796299</v>
      </c>
      <c r="Q295" s="1206">
        <f t="shared" si="147"/>
        <v>15.286999772875932</v>
      </c>
    </row>
    <row r="296" spans="9:17">
      <c r="I296" s="3" t="s">
        <v>76</v>
      </c>
      <c r="K296" s="661"/>
      <c r="L296" s="161">
        <f t="shared" ref="L296:Q296" si="148">L295/(1-L31)</f>
        <v>13.921635382716049</v>
      </c>
      <c r="M296" s="161">
        <f t="shared" si="148"/>
        <v>13.921635382716049</v>
      </c>
      <c r="N296" s="161">
        <f t="shared" si="148"/>
        <v>15.313798920987656</v>
      </c>
      <c r="O296" s="161">
        <f t="shared" si="148"/>
        <v>16.845178813086424</v>
      </c>
      <c r="P296" s="161">
        <f t="shared" si="148"/>
        <v>18.529696694395067</v>
      </c>
      <c r="Q296" s="161">
        <f t="shared" si="148"/>
        <v>20.382666363834577</v>
      </c>
    </row>
    <row r="297" spans="9:17">
      <c r="I297" s="3" t="s">
        <v>121</v>
      </c>
      <c r="L297" s="161">
        <f t="shared" ref="L297:Q297" ca="1" si="149">L15</f>
        <v>-0.12554092977362888</v>
      </c>
      <c r="M297" s="161">
        <f t="shared" ca="1" si="149"/>
        <v>-0.44351051680836068</v>
      </c>
      <c r="N297" s="161">
        <f t="shared" ca="1" si="149"/>
        <v>-0.55696541243446906</v>
      </c>
      <c r="O297" s="161">
        <f t="shared" ca="1" si="149"/>
        <v>-0.68820053040750451</v>
      </c>
      <c r="P297" s="161">
        <f t="shared" ca="1" si="149"/>
        <v>-0.83739697942410507</v>
      </c>
      <c r="Q297" s="161">
        <f t="shared" ca="1" si="149"/>
        <v>-1.0058354600194361</v>
      </c>
    </row>
    <row r="298" spans="9:17">
      <c r="I298" s="3" t="s">
        <v>385</v>
      </c>
      <c r="L298" s="161">
        <f t="shared" ref="L298:Q298" si="150">L14</f>
        <v>0</v>
      </c>
      <c r="M298" s="161">
        <f t="shared" si="150"/>
        <v>0</v>
      </c>
      <c r="N298" s="161">
        <f t="shared" si="150"/>
        <v>0</v>
      </c>
      <c r="O298" s="161">
        <f t="shared" si="150"/>
        <v>0</v>
      </c>
      <c r="P298" s="161">
        <f t="shared" si="150"/>
        <v>0</v>
      </c>
      <c r="Q298" s="161">
        <f t="shared" si="150"/>
        <v>0</v>
      </c>
    </row>
    <row r="299" spans="9:17">
      <c r="I299" s="3" t="s">
        <v>64</v>
      </c>
      <c r="L299" s="1207">
        <f t="shared" ref="L299:Q299" ca="1" si="151">SUM(L296:L298)</f>
        <v>13.79609445294242</v>
      </c>
      <c r="M299" s="1207">
        <f t="shared" ca="1" si="151"/>
        <v>13.478124865907688</v>
      </c>
      <c r="N299" s="1207">
        <f t="shared" ca="1" si="151"/>
        <v>14.756833508553187</v>
      </c>
      <c r="O299" s="1207">
        <f t="shared" ca="1" si="151"/>
        <v>16.156978282678921</v>
      </c>
      <c r="P299" s="1207">
        <f t="shared" ca="1" si="151"/>
        <v>17.692299714970961</v>
      </c>
      <c r="Q299" s="1207">
        <f t="shared" ca="1" si="151"/>
        <v>19.37683090381514</v>
      </c>
    </row>
    <row r="300" spans="9:17">
      <c r="I300" s="3" t="s">
        <v>385</v>
      </c>
      <c r="L300" s="161">
        <f t="shared" ref="L300:Q300" si="152">L12</f>
        <v>0</v>
      </c>
      <c r="M300" s="161">
        <f t="shared" si="152"/>
        <v>0</v>
      </c>
      <c r="N300" s="161">
        <f t="shared" si="152"/>
        <v>0</v>
      </c>
      <c r="O300" s="161">
        <f t="shared" si="152"/>
        <v>0</v>
      </c>
      <c r="P300" s="161">
        <f t="shared" si="152"/>
        <v>0</v>
      </c>
      <c r="Q300" s="161">
        <f t="shared" si="152"/>
        <v>0</v>
      </c>
    </row>
    <row r="301" spans="9:17">
      <c r="I301" s="3" t="s">
        <v>386</v>
      </c>
      <c r="L301" s="1207">
        <f t="shared" ref="L301:Q301" ca="1" si="153">L302-SUM(L299:L300)</f>
        <v>46.20390554705758</v>
      </c>
      <c r="M301" s="1207">
        <f t="shared" ca="1" si="153"/>
        <v>56.521875134092312</v>
      </c>
      <c r="N301" s="1207">
        <f t="shared" ca="1" si="153"/>
        <v>65.243166491446814</v>
      </c>
      <c r="O301" s="1207">
        <f t="shared" ca="1" si="153"/>
        <v>73.843021717321079</v>
      </c>
      <c r="P301" s="1207">
        <f t="shared" ca="1" si="153"/>
        <v>83.557700285029043</v>
      </c>
      <c r="Q301" s="1207">
        <f t="shared" ca="1" si="153"/>
        <v>94.529419096184853</v>
      </c>
    </row>
    <row r="302" spans="9:17">
      <c r="I302" s="3" t="s">
        <v>117</v>
      </c>
      <c r="L302" s="161">
        <f t="shared" ref="L302:Q302" si="154">L10</f>
        <v>60</v>
      </c>
      <c r="M302" s="161">
        <f t="shared" si="154"/>
        <v>70</v>
      </c>
      <c r="N302" s="161">
        <f t="shared" si="154"/>
        <v>80</v>
      </c>
      <c r="O302" s="161">
        <f t="shared" si="154"/>
        <v>90</v>
      </c>
      <c r="P302" s="161">
        <f t="shared" si="154"/>
        <v>101.25</v>
      </c>
      <c r="Q302" s="161">
        <f t="shared" si="154"/>
        <v>113.90625</v>
      </c>
    </row>
    <row r="303" spans="9:17">
      <c r="I303" s="3" t="s">
        <v>387</v>
      </c>
      <c r="L303" s="161">
        <f t="shared" ref="L303:Q303" si="155">L8</f>
        <v>120</v>
      </c>
      <c r="M303" s="161">
        <f t="shared" si="155"/>
        <v>140</v>
      </c>
      <c r="N303" s="161">
        <f t="shared" si="155"/>
        <v>160</v>
      </c>
      <c r="O303" s="161">
        <f t="shared" si="155"/>
        <v>180</v>
      </c>
      <c r="P303" s="161">
        <f t="shared" si="155"/>
        <v>202.5</v>
      </c>
      <c r="Q303" s="161">
        <f t="shared" si="155"/>
        <v>227.8125</v>
      </c>
    </row>
    <row r="304" spans="9:17">
      <c r="I304" s="1051" t="s">
        <v>388</v>
      </c>
      <c r="L304" s="1208">
        <f t="shared" ref="L304:Q304" ca="1" si="156">L301/L303</f>
        <v>0.38503254622547983</v>
      </c>
      <c r="M304" s="1208">
        <f t="shared" ca="1" si="156"/>
        <v>0.40372767952923078</v>
      </c>
      <c r="N304" s="1208">
        <f t="shared" ca="1" si="156"/>
        <v>0.40776979057154261</v>
      </c>
      <c r="O304" s="1208">
        <f t="shared" ca="1" si="156"/>
        <v>0.41023900954067266</v>
      </c>
      <c r="P304" s="1208">
        <f t="shared" ca="1" si="156"/>
        <v>0.41263061869150147</v>
      </c>
      <c r="Q304" s="1208">
        <f t="shared" ca="1" si="156"/>
        <v>0.41494395213688823</v>
      </c>
    </row>
  </sheetData>
  <customSheetViews>
    <customSheetView guid="{9AE38660-BF5A-49A3-9FC0-AD5890AFC019}" showPageBreaks="1" showGridLines="0" printArea="1" hiddenRows="1" view="pageBreakPreview" showRuler="0">
      <selection activeCell="P14" sqref="P14"/>
      <rowBreaks count="6" manualBreakCount="6">
        <brk id="46" min="1" max="14" man="1"/>
        <brk id="79" min="1" max="14" man="1"/>
        <brk id="110" min="1" max="14" man="1"/>
        <brk id="135" min="1" max="14" man="1"/>
        <brk id="159" min="1" max="14" man="1"/>
        <brk id="169" min="1" max="15" man="1"/>
      </rowBreaks>
      <pageMargins left="0.35" right="0.35" top="0.35" bottom="0.35" header="0.15" footer="0.15"/>
      <printOptions horizontalCentered="1"/>
      <pageSetup scale="86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dataValidations disablePrompts="1" count="1">
    <dataValidation type="custom" allowBlank="1" showInputMessage="1" showErrorMessage="1" error="Enter &quot;F&quot; for fixed rate or &quot;L&quot; for LIBOR-based rate" sqref="E165:E170">
      <formula1>OR(E165="F",E165="L")</formula1>
    </dataValidation>
  </dataValidations>
  <printOptions horizontalCentered="1"/>
  <pageMargins left="0.35" right="0.35" top="0.35" bottom="0.35" header="0.15" footer="0.15"/>
  <pageSetup scale="73" orientation="landscape" r:id="rId2"/>
  <headerFooter alignWithMargins="0"/>
  <rowBreaks count="8" manualBreakCount="8">
    <brk id="54" min="1" max="15" man="1"/>
    <brk id="85" min="1" max="15" man="1"/>
    <brk id="116" min="1" max="15" man="1"/>
    <brk id="154" max="16383" man="1"/>
    <brk id="171" max="16383" man="1"/>
    <brk id="193" max="16383" man="1"/>
    <brk id="214" min="1" max="15" man="1"/>
    <brk id="241" min="1" max="15" man="1"/>
  </rowBreaks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indexed="43"/>
  </sheetPr>
  <dimension ref="A1:T306"/>
  <sheetViews>
    <sheetView showGridLines="0" view="pageBreakPreview" zoomScale="70" zoomScaleNormal="100" zoomScaleSheetLayoutView="70" workbookViewId="0"/>
  </sheetViews>
  <sheetFormatPr defaultColWidth="11.33203125" defaultRowHeight="12.75" outlineLevelRow="1"/>
  <cols>
    <col min="1" max="1" width="2.83203125" style="4" customWidth="1"/>
    <col min="2" max="16" width="11.33203125" style="3" customWidth="1"/>
    <col min="17" max="17" width="11.33203125" style="17" customWidth="1"/>
    <col min="18" max="16384" width="11.33203125" style="4"/>
  </cols>
  <sheetData>
    <row r="1" spans="1:19">
      <c r="A1" s="625"/>
      <c r="Q1" s="3"/>
    </row>
    <row r="2" spans="1:19" ht="23.25">
      <c r="B2" s="97" t="str">
        <f>proj</f>
        <v>Project MODEL</v>
      </c>
      <c r="C2" s="97"/>
      <c r="D2" s="1210"/>
      <c r="E2" s="1210"/>
      <c r="F2" s="1210"/>
      <c r="G2" s="1210"/>
      <c r="H2" s="1210"/>
      <c r="I2" s="1210"/>
      <c r="J2" s="1210"/>
      <c r="K2" s="1210"/>
      <c r="L2" s="1210"/>
      <c r="M2" s="1210"/>
      <c r="N2" s="1210"/>
      <c r="O2" s="1210"/>
      <c r="P2" s="1210"/>
      <c r="Q2" s="1211" t="str">
        <f ca="1">IFERROR(IF(MAX(L125:Q125)&lt;F146,"","ERROR! REVOLVER BALANCE OVERDRAWN"),"")</f>
        <v/>
      </c>
      <c r="R2" s="7"/>
      <c r="S2" s="7"/>
    </row>
    <row r="3" spans="1:19" s="276" customFormat="1" ht="20.100000000000001" customHeight="1" thickBot="1">
      <c r="B3" s="98" t="str">
        <f>tar&amp;" - Projections"</f>
        <v>SG ENTERPRISES - Projections</v>
      </c>
      <c r="C3" s="98"/>
      <c r="D3" s="395"/>
      <c r="E3" s="395"/>
      <c r="F3" s="395"/>
      <c r="G3" s="395"/>
      <c r="H3" s="395"/>
      <c r="I3" s="395"/>
      <c r="J3" s="395"/>
      <c r="K3" s="395"/>
      <c r="L3" s="1130"/>
      <c r="M3" s="1130"/>
      <c r="N3" s="1130"/>
      <c r="O3" s="400"/>
      <c r="P3" s="395"/>
      <c r="Q3" s="400" t="str">
        <f>tcname</f>
        <v>Wall street consensus</v>
      </c>
    </row>
    <row r="4" spans="1:19">
      <c r="B4" s="176" t="str">
        <f>'Tar Spread Cover'!B4</f>
        <v>(Amounts in Millions, Except Per Share Data)</v>
      </c>
      <c r="C4" s="100"/>
      <c r="D4" s="7"/>
      <c r="E4" s="7"/>
      <c r="F4" s="7"/>
      <c r="G4" s="7"/>
      <c r="H4" s="7"/>
      <c r="I4" s="7"/>
      <c r="J4" s="7"/>
      <c r="K4" s="7"/>
      <c r="L4" s="1131"/>
      <c r="M4" s="1131"/>
      <c r="N4" s="1131"/>
      <c r="O4" s="989"/>
      <c r="P4" s="4"/>
      <c r="Q4" s="989" t="str">
        <f>"Source: "&amp;CHOOSE(tcase,E247,E248,E249,E250,E251)</f>
        <v>Source: Research Provider</v>
      </c>
    </row>
    <row r="5" spans="1:19">
      <c r="B5" s="100"/>
      <c r="C5" s="100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989"/>
      <c r="P5" s="4"/>
      <c r="Q5" s="4"/>
    </row>
    <row r="6" spans="1:19" ht="15.95" customHeight="1" thickBot="1">
      <c r="A6" s="4" t="s">
        <v>167</v>
      </c>
      <c r="B6" s="628" t="s">
        <v>123</v>
      </c>
      <c r="C6" s="628"/>
      <c r="D6" s="629"/>
      <c r="E6" s="629"/>
      <c r="F6" s="629"/>
      <c r="G6" s="629"/>
      <c r="H6" s="629"/>
      <c r="I6" s="629"/>
      <c r="J6" s="629"/>
      <c r="K6" s="629"/>
      <c r="L6" s="629"/>
      <c r="M6" s="629"/>
      <c r="N6" s="629"/>
      <c r="O6" s="630"/>
      <c r="P6" s="630"/>
      <c r="Q6" s="630"/>
    </row>
    <row r="7" spans="1:19" ht="15" customHeight="1">
      <c r="B7" s="895" t="str">
        <f>'Tar Income Statement'!H5</f>
        <v>Fiscal Year Ended December 31,</v>
      </c>
      <c r="C7" s="1146"/>
      <c r="D7" s="1146"/>
      <c r="E7" s="1146"/>
      <c r="F7" s="1146"/>
      <c r="G7" s="1146"/>
      <c r="H7" s="1146"/>
      <c r="I7" s="959">
        <f>J7-1</f>
        <v>2016</v>
      </c>
      <c r="J7" s="959">
        <f>K7-1</f>
        <v>2017</v>
      </c>
      <c r="K7" s="1147">
        <f>tfy</f>
        <v>2018</v>
      </c>
      <c r="L7" s="1148">
        <f>K7+1</f>
        <v>2019</v>
      </c>
      <c r="M7" s="960">
        <f>K7+2</f>
        <v>2020</v>
      </c>
      <c r="N7" s="960">
        <f>L7+2</f>
        <v>2021</v>
      </c>
      <c r="O7" s="960">
        <f>N7+1</f>
        <v>2022</v>
      </c>
      <c r="P7" s="960">
        <f>O7+1</f>
        <v>2023</v>
      </c>
      <c r="Q7" s="960">
        <f>P7+1</f>
        <v>2024</v>
      </c>
    </row>
    <row r="8" spans="1:19" ht="15" customHeight="1">
      <c r="B8" s="3" t="s">
        <v>254</v>
      </c>
      <c r="G8" s="1132"/>
      <c r="H8" s="1132"/>
      <c r="I8" s="411">
        <f>'Tar Income Statement'!J7</f>
        <v>44</v>
      </c>
      <c r="J8" s="411">
        <f>'Tar Income Statement'!K7</f>
        <v>46</v>
      </c>
      <c r="K8" s="411">
        <f>'Tar Income Statement'!L7</f>
        <v>48</v>
      </c>
      <c r="L8" s="65">
        <f t="shared" ref="L8:Q8" si="0">K8*(1+L246)</f>
        <v>50</v>
      </c>
      <c r="M8" s="65">
        <f t="shared" si="0"/>
        <v>55.000000000000007</v>
      </c>
      <c r="N8" s="65">
        <f t="shared" si="0"/>
        <v>60.500000000000014</v>
      </c>
      <c r="O8" s="65">
        <f t="shared" si="0"/>
        <v>66.550000000000026</v>
      </c>
      <c r="P8" s="65">
        <f t="shared" si="0"/>
        <v>73.205000000000041</v>
      </c>
      <c r="Q8" s="65">
        <f t="shared" si="0"/>
        <v>80.525500000000051</v>
      </c>
    </row>
    <row r="9" spans="1:19" ht="12.75" customHeight="1">
      <c r="B9" s="3" t="s">
        <v>73</v>
      </c>
      <c r="G9" s="262"/>
      <c r="H9" s="262"/>
      <c r="I9" s="143">
        <f>'Tar Income Statement'!J7-'Tar Income Statement'!J36</f>
        <v>22</v>
      </c>
      <c r="J9" s="143">
        <f>'Tar Income Statement'!K7-'Tar Income Statement'!K36</f>
        <v>23</v>
      </c>
      <c r="K9" s="143">
        <f>'Tar Income Statement'!L7-'Tar Income Statement'!L36</f>
        <v>24</v>
      </c>
      <c r="L9" s="755">
        <f t="shared" ref="L9:Q9" si="1">L8*(1-L253)</f>
        <v>22.499999999999996</v>
      </c>
      <c r="M9" s="755">
        <f t="shared" si="1"/>
        <v>24.75</v>
      </c>
      <c r="N9" s="755">
        <f t="shared" si="1"/>
        <v>27.225000000000005</v>
      </c>
      <c r="O9" s="755">
        <f t="shared" si="1"/>
        <v>29.947500000000009</v>
      </c>
      <c r="P9" s="755">
        <f t="shared" si="1"/>
        <v>32.942250000000016</v>
      </c>
      <c r="Q9" s="755">
        <f t="shared" si="1"/>
        <v>36.23647500000002</v>
      </c>
    </row>
    <row r="10" spans="1:19" ht="12.75" customHeight="1">
      <c r="B10" s="3" t="s">
        <v>117</v>
      </c>
      <c r="G10" s="351"/>
      <c r="H10" s="351"/>
      <c r="I10" s="1079">
        <f>I8-I9</f>
        <v>22</v>
      </c>
      <c r="J10" s="1121">
        <f>J8-J9</f>
        <v>23</v>
      </c>
      <c r="K10" s="1121">
        <f>K8-K9</f>
        <v>24</v>
      </c>
      <c r="L10" s="1078">
        <f t="shared" ref="L10:Q10" si="2">L8-L9</f>
        <v>27.500000000000004</v>
      </c>
      <c r="M10" s="1078">
        <f t="shared" si="2"/>
        <v>30.250000000000007</v>
      </c>
      <c r="N10" s="1078">
        <f t="shared" si="2"/>
        <v>33.275000000000006</v>
      </c>
      <c r="O10" s="1078">
        <f t="shared" si="2"/>
        <v>36.60250000000002</v>
      </c>
      <c r="P10" s="1133">
        <f t="shared" si="2"/>
        <v>40.262750000000025</v>
      </c>
      <c r="Q10" s="1133">
        <f t="shared" si="2"/>
        <v>44.289025000000031</v>
      </c>
    </row>
    <row r="11" spans="1:19" ht="12.75" customHeight="1">
      <c r="B11" s="3" t="s">
        <v>119</v>
      </c>
      <c r="G11" s="262"/>
      <c r="H11" s="262"/>
      <c r="I11" s="140">
        <f>'Tar Income Statement'!J37</f>
        <v>11</v>
      </c>
      <c r="J11" s="140">
        <f>'Tar Income Statement'!K37</f>
        <v>11.5</v>
      </c>
      <c r="K11" s="140">
        <f>'Tar Income Statement'!L37</f>
        <v>12</v>
      </c>
      <c r="L11" s="19">
        <f>L8*L260</f>
        <v>12.5</v>
      </c>
      <c r="M11" s="19">
        <f t="shared" ref="M11:Q11" si="3">M8*M260</f>
        <v>13.750000000000002</v>
      </c>
      <c r="N11" s="19">
        <f t="shared" si="3"/>
        <v>15.125000000000004</v>
      </c>
      <c r="O11" s="19">
        <f t="shared" si="3"/>
        <v>16.637500000000006</v>
      </c>
      <c r="P11" s="19">
        <f t="shared" si="3"/>
        <v>18.30125000000001</v>
      </c>
      <c r="Q11" s="19">
        <f t="shared" si="3"/>
        <v>20.131375000000013</v>
      </c>
    </row>
    <row r="12" spans="1:19" ht="12.75" customHeight="1">
      <c r="B12" s="3" t="s">
        <v>192</v>
      </c>
      <c r="G12" s="262"/>
      <c r="H12" s="262"/>
      <c r="I12" s="143">
        <f>'Tar Income Statement'!J38</f>
        <v>0</v>
      </c>
      <c r="J12" s="143">
        <f>'Tar Income Statement'!K38</f>
        <v>0</v>
      </c>
      <c r="K12" s="143">
        <f>'Tar Income Statement'!L38</f>
        <v>0</v>
      </c>
      <c r="L12" s="912">
        <v>0</v>
      </c>
      <c r="M12" s="912">
        <f t="shared" ref="M12:Q14" si="4">L12</f>
        <v>0</v>
      </c>
      <c r="N12" s="755">
        <f t="shared" si="4"/>
        <v>0</v>
      </c>
      <c r="O12" s="755">
        <f t="shared" si="4"/>
        <v>0</v>
      </c>
      <c r="P12" s="755">
        <f t="shared" si="4"/>
        <v>0</v>
      </c>
      <c r="Q12" s="755">
        <f t="shared" si="4"/>
        <v>0</v>
      </c>
    </row>
    <row r="13" spans="1:19" ht="12.75" customHeight="1">
      <c r="B13" s="3" t="s">
        <v>64</v>
      </c>
      <c r="G13" s="351"/>
      <c r="H13" s="351"/>
      <c r="I13" s="1079">
        <f>I10-SUM(I11:I12)</f>
        <v>11</v>
      </c>
      <c r="J13" s="1121">
        <f>J10-SUM(J11:J12)</f>
        <v>11.5</v>
      </c>
      <c r="K13" s="1121">
        <f>K10-SUM(K11:K12)</f>
        <v>12</v>
      </c>
      <c r="L13" s="1078">
        <f t="shared" ref="L13:Q13" si="5">L10-SUM(L11:L12)</f>
        <v>15.000000000000004</v>
      </c>
      <c r="M13" s="1078">
        <f t="shared" si="5"/>
        <v>16.500000000000007</v>
      </c>
      <c r="N13" s="1078">
        <f t="shared" si="5"/>
        <v>18.150000000000002</v>
      </c>
      <c r="O13" s="1078">
        <f t="shared" si="5"/>
        <v>19.965000000000014</v>
      </c>
      <c r="P13" s="1133">
        <f t="shared" si="5"/>
        <v>21.961500000000015</v>
      </c>
      <c r="Q13" s="1133">
        <f t="shared" si="5"/>
        <v>24.157650000000018</v>
      </c>
    </row>
    <row r="14" spans="1:19" ht="12.75" customHeight="1">
      <c r="B14" s="4" t="s">
        <v>192</v>
      </c>
      <c r="C14" s="4"/>
      <c r="D14" s="4"/>
      <c r="E14" s="4"/>
      <c r="F14" s="4"/>
      <c r="G14" s="262"/>
      <c r="H14" s="262"/>
      <c r="I14" s="140">
        <f>'Tar Income Statement'!J42</f>
        <v>0</v>
      </c>
      <c r="J14" s="140">
        <f>'Tar Income Statement'!K42</f>
        <v>0</v>
      </c>
      <c r="K14" s="140">
        <f>'Tar Income Statement'!L42</f>
        <v>0</v>
      </c>
      <c r="L14" s="37">
        <f>K14</f>
        <v>0</v>
      </c>
      <c r="M14" s="37">
        <f t="shared" si="4"/>
        <v>0</v>
      </c>
      <c r="N14" s="19">
        <f t="shared" si="4"/>
        <v>0</v>
      </c>
      <c r="O14" s="19">
        <f t="shared" si="4"/>
        <v>0</v>
      </c>
      <c r="P14" s="19">
        <f t="shared" si="4"/>
        <v>0</v>
      </c>
      <c r="Q14" s="19">
        <f t="shared" si="4"/>
        <v>0</v>
      </c>
    </row>
    <row r="15" spans="1:19" ht="12.75" customHeight="1">
      <c r="B15" s="3" t="s">
        <v>75</v>
      </c>
      <c r="G15" s="262"/>
      <c r="H15" s="262"/>
      <c r="I15" s="143">
        <f>'Tar Income Statement'!J14</f>
        <v>0.62309999999999999</v>
      </c>
      <c r="J15" s="143">
        <f>'Tar Income Statement'!K14</f>
        <v>0.56309999999999993</v>
      </c>
      <c r="K15" s="143">
        <f>'Tar Income Statement'!L14</f>
        <v>0.50309999999999999</v>
      </c>
      <c r="L15" s="755">
        <f t="shared" ref="L15:Q15" ca="1" si="6">L153</f>
        <v>-0.22053304278856189</v>
      </c>
      <c r="M15" s="755">
        <f t="shared" ca="1" si="6"/>
        <v>-0.27597995382387691</v>
      </c>
      <c r="N15" s="755">
        <f t="shared" ca="1" si="6"/>
        <v>-0.33519684907932046</v>
      </c>
      <c r="O15" s="755">
        <f t="shared" ca="1" si="6"/>
        <v>-0.40059233943278066</v>
      </c>
      <c r="P15" s="755">
        <f t="shared" ca="1" si="6"/>
        <v>-0.47278524959971663</v>
      </c>
      <c r="Q15" s="755">
        <f t="shared" ca="1" si="6"/>
        <v>-0.5524562903934539</v>
      </c>
    </row>
    <row r="16" spans="1:19" ht="12.75" customHeight="1">
      <c r="B16" s="3" t="s">
        <v>76</v>
      </c>
      <c r="G16" s="351"/>
      <c r="H16" s="351"/>
      <c r="I16" s="1079">
        <f>I13-SUM(I14:I15)</f>
        <v>10.376899999999999</v>
      </c>
      <c r="J16" s="1121">
        <f>J13-SUM(J14:J15)</f>
        <v>10.9369</v>
      </c>
      <c r="K16" s="1121">
        <f>K13-SUM(K14:K15)</f>
        <v>11.4969</v>
      </c>
      <c r="L16" s="1078">
        <f t="shared" ref="L16:Q16" ca="1" si="7">L13-SUM(L14:L15)</f>
        <v>15.220533042788565</v>
      </c>
      <c r="M16" s="1078">
        <f t="shared" ca="1" si="7"/>
        <v>16.775979953823885</v>
      </c>
      <c r="N16" s="1078">
        <f t="shared" ca="1" si="7"/>
        <v>18.485196849079323</v>
      </c>
      <c r="O16" s="1078">
        <f t="shared" ca="1" si="7"/>
        <v>20.365592339432794</v>
      </c>
      <c r="P16" s="1133">
        <f t="shared" ca="1" si="7"/>
        <v>22.434285249599732</v>
      </c>
      <c r="Q16" s="1133">
        <f t="shared" ca="1" si="7"/>
        <v>24.710106290393473</v>
      </c>
    </row>
    <row r="17" spans="2:17" s="17" customFormat="1" ht="12.75" customHeight="1">
      <c r="B17" s="3" t="s">
        <v>130</v>
      </c>
      <c r="C17" s="10"/>
      <c r="D17" s="1134"/>
      <c r="E17" s="10"/>
      <c r="F17" s="10"/>
      <c r="G17" s="94"/>
      <c r="H17" s="94"/>
      <c r="I17" s="143">
        <f>'Tar Income Statement'!J16+'Tar Income Statement'!J103</f>
        <v>2.97</v>
      </c>
      <c r="J17" s="143">
        <f>'Tar Income Statement'!K16+'Tar Income Statement'!K103</f>
        <v>3.1050000000000004</v>
      </c>
      <c r="K17" s="143">
        <f>'Tar Income Statement'!L16+'Tar Income Statement'!L103</f>
        <v>3.24</v>
      </c>
      <c r="L17" s="755">
        <f t="shared" ref="L17:Q17" ca="1" si="8">L16*L$31</f>
        <v>3.8051332606971413</v>
      </c>
      <c r="M17" s="755">
        <f t="shared" ca="1" si="8"/>
        <v>4.1939949884559713</v>
      </c>
      <c r="N17" s="755">
        <f t="shared" ca="1" si="8"/>
        <v>4.6212992122698306</v>
      </c>
      <c r="O17" s="755">
        <f t="shared" ca="1" si="8"/>
        <v>5.0913980848581986</v>
      </c>
      <c r="P17" s="755">
        <f t="shared" ca="1" si="8"/>
        <v>5.608571312399933</v>
      </c>
      <c r="Q17" s="755">
        <f t="shared" ca="1" si="8"/>
        <v>6.1775265725983681</v>
      </c>
    </row>
    <row r="18" spans="2:17" s="17" customFormat="1" ht="12.75" hidden="1" customHeight="1" outlineLevel="1">
      <c r="B18" s="3" t="str">
        <f>'Tar Income Statement'!B17</f>
        <v>Net Income</v>
      </c>
      <c r="C18" s="10"/>
      <c r="D18" s="1134"/>
      <c r="E18" s="10"/>
      <c r="F18" s="10"/>
      <c r="G18" s="94"/>
      <c r="H18" s="94"/>
      <c r="I18" s="152">
        <f t="shared" ref="I18:Q18" si="9">+I16-I17</f>
        <v>7.4068999999999985</v>
      </c>
      <c r="J18" s="68">
        <f t="shared" si="9"/>
        <v>7.8318999999999992</v>
      </c>
      <c r="K18" s="68">
        <f t="shared" si="9"/>
        <v>8.2568999999999999</v>
      </c>
      <c r="L18" s="68">
        <f t="shared" ca="1" si="9"/>
        <v>11.415399782091423</v>
      </c>
      <c r="M18" s="68">
        <f t="shared" ca="1" si="9"/>
        <v>12.581984965367914</v>
      </c>
      <c r="N18" s="68">
        <f t="shared" ca="1" si="9"/>
        <v>13.863897636809492</v>
      </c>
      <c r="O18" s="68">
        <f t="shared" ca="1" si="9"/>
        <v>15.274194254574596</v>
      </c>
      <c r="P18" s="68">
        <f t="shared" ca="1" si="9"/>
        <v>16.825713937199801</v>
      </c>
      <c r="Q18" s="68">
        <f t="shared" ca="1" si="9"/>
        <v>18.532579717795105</v>
      </c>
    </row>
    <row r="19" spans="2:17" s="17" customFormat="1" ht="12.75" hidden="1" customHeight="1" outlineLevel="1">
      <c r="B19" s="3" t="str">
        <f>'Tar Income Statement'!B18</f>
        <v>Less: NI Attributable to Minority Interest, Net of Tax</v>
      </c>
      <c r="C19" s="10"/>
      <c r="D19" s="1134"/>
      <c r="E19" s="10"/>
      <c r="F19" s="10"/>
      <c r="G19" s="94"/>
      <c r="H19" s="94"/>
      <c r="I19" s="140">
        <f>'Tar Income Statement'!J18</f>
        <v>0</v>
      </c>
      <c r="J19" s="140">
        <f>'Tar Income Statement'!K18</f>
        <v>0</v>
      </c>
      <c r="K19" s="140">
        <f>'Tar Income Statement'!L18</f>
        <v>0</v>
      </c>
      <c r="L19" s="19">
        <f t="shared" ref="L19:Q19" si="10">+K19</f>
        <v>0</v>
      </c>
      <c r="M19" s="19">
        <f t="shared" si="10"/>
        <v>0</v>
      </c>
      <c r="N19" s="19">
        <f t="shared" si="10"/>
        <v>0</v>
      </c>
      <c r="O19" s="19">
        <f t="shared" si="10"/>
        <v>0</v>
      </c>
      <c r="P19" s="19">
        <f t="shared" si="10"/>
        <v>0</v>
      </c>
      <c r="Q19" s="19">
        <f t="shared" si="10"/>
        <v>0</v>
      </c>
    </row>
    <row r="20" spans="2:17" ht="12.75" customHeight="1" collapsed="1">
      <c r="B20" s="3" t="str">
        <f>'Tar Income Statement'!B19</f>
        <v>Net Income</v>
      </c>
      <c r="G20" s="351"/>
      <c r="H20" s="351"/>
      <c r="I20" s="194">
        <f>+I18-I19</f>
        <v>7.4068999999999985</v>
      </c>
      <c r="J20" s="1121">
        <f t="shared" ref="J20:Q20" si="11">+J18-J19</f>
        <v>7.8318999999999992</v>
      </c>
      <c r="K20" s="1121">
        <f t="shared" si="11"/>
        <v>8.2568999999999999</v>
      </c>
      <c r="L20" s="1078">
        <f t="shared" ca="1" si="11"/>
        <v>11.415399782091423</v>
      </c>
      <c r="M20" s="1078">
        <f t="shared" ca="1" si="11"/>
        <v>12.581984965367914</v>
      </c>
      <c r="N20" s="1078">
        <f t="shared" ca="1" si="11"/>
        <v>13.863897636809492</v>
      </c>
      <c r="O20" s="1078">
        <f t="shared" ca="1" si="11"/>
        <v>15.274194254574596</v>
      </c>
      <c r="P20" s="1133">
        <f t="shared" ca="1" si="11"/>
        <v>16.825713937199801</v>
      </c>
      <c r="Q20" s="1133">
        <f t="shared" ca="1" si="11"/>
        <v>18.532579717795105</v>
      </c>
    </row>
    <row r="21" spans="2:17" ht="12.75" hidden="1" customHeight="1" outlineLevel="1">
      <c r="B21" s="3" t="str">
        <f>'Tar Income Statement'!B20</f>
        <v>Plus: Income (Loss) from Disc. Operations, Net of Tax</v>
      </c>
      <c r="G21" s="262"/>
      <c r="H21" s="262"/>
      <c r="I21" s="140">
        <f>'Tar Income Statement'!J20</f>
        <v>0</v>
      </c>
      <c r="J21" s="140">
        <f>'Tar Income Statement'!K20</f>
        <v>0</v>
      </c>
      <c r="K21" s="140">
        <f>'Tar Income Statement'!L20</f>
        <v>0</v>
      </c>
      <c r="L21" s="37">
        <v>0</v>
      </c>
      <c r="M21" s="37">
        <v>0</v>
      </c>
      <c r="N21" s="37">
        <v>0</v>
      </c>
      <c r="O21" s="37">
        <v>0</v>
      </c>
      <c r="P21" s="37">
        <v>0</v>
      </c>
      <c r="Q21" s="37">
        <v>0</v>
      </c>
    </row>
    <row r="22" spans="2:17" ht="12.75" hidden="1" customHeight="1" outlineLevel="1">
      <c r="B22" s="3" t="s">
        <v>539</v>
      </c>
      <c r="G22" s="262"/>
      <c r="H22" s="262"/>
      <c r="I22" s="140">
        <f>-'Tar Income Statement'!J105</f>
        <v>0</v>
      </c>
      <c r="J22" s="140">
        <f>-'Tar Income Statement'!K105</f>
        <v>0</v>
      </c>
      <c r="K22" s="140">
        <f>-'Tar Income Statement'!L105</f>
        <v>0</v>
      </c>
      <c r="L22" s="37">
        <v>0</v>
      </c>
      <c r="M22" s="37">
        <v>0</v>
      </c>
      <c r="N22" s="37">
        <v>0</v>
      </c>
      <c r="O22" s="37">
        <v>0</v>
      </c>
      <c r="P22" s="37">
        <v>0</v>
      </c>
      <c r="Q22" s="37">
        <v>0</v>
      </c>
    </row>
    <row r="23" spans="2:17" ht="12.75" hidden="1" customHeight="1" outlineLevel="1">
      <c r="B23" s="3" t="str">
        <f>'Tar Income Statement'!B21</f>
        <v>Net Income, As Reported</v>
      </c>
      <c r="G23" s="299"/>
      <c r="H23" s="299"/>
      <c r="I23" s="194">
        <f>SUM(I20:I22)</f>
        <v>7.4068999999999985</v>
      </c>
      <c r="J23" s="194">
        <f t="shared" ref="J23:Q23" si="12">SUM(J20:J22)</f>
        <v>7.8318999999999992</v>
      </c>
      <c r="K23" s="194">
        <f t="shared" si="12"/>
        <v>8.2568999999999999</v>
      </c>
      <c r="L23" s="194">
        <f t="shared" ca="1" si="12"/>
        <v>11.415399782091423</v>
      </c>
      <c r="M23" s="194">
        <f t="shared" ca="1" si="12"/>
        <v>12.581984965367914</v>
      </c>
      <c r="N23" s="194">
        <f t="shared" ca="1" si="12"/>
        <v>13.863897636809492</v>
      </c>
      <c r="O23" s="194">
        <f t="shared" ca="1" si="12"/>
        <v>15.274194254574596</v>
      </c>
      <c r="P23" s="194">
        <f t="shared" ca="1" si="12"/>
        <v>16.825713937199801</v>
      </c>
      <c r="Q23" s="194">
        <f t="shared" ca="1" si="12"/>
        <v>18.532579717795105</v>
      </c>
    </row>
    <row r="24" spans="2:17" ht="12.75" customHeight="1" collapsed="1">
      <c r="G24" s="299"/>
      <c r="H24" s="299"/>
      <c r="I24" s="191"/>
      <c r="J24" s="65"/>
      <c r="K24" s="65"/>
      <c r="L24" s="65"/>
      <c r="M24" s="65"/>
      <c r="N24" s="65"/>
      <c r="O24" s="65"/>
      <c r="P24" s="65"/>
      <c r="Q24" s="65"/>
    </row>
    <row r="25" spans="2:17" ht="12.75" customHeight="1">
      <c r="B25" s="3" t="s">
        <v>191</v>
      </c>
      <c r="G25" s="262"/>
      <c r="H25" s="262"/>
      <c r="I25" s="140">
        <f>'Tar Income Statement'!J23</f>
        <v>6.3</v>
      </c>
      <c r="J25" s="140">
        <f>'Tar Income Statement'!K23</f>
        <v>6.5</v>
      </c>
      <c r="K25" s="140">
        <f>'Tar Income Statement'!L23</f>
        <v>6.7</v>
      </c>
      <c r="L25" s="19">
        <f t="shared" ref="L25:Q25" si="13">+L207</f>
        <v>6.9126499999999993</v>
      </c>
      <c r="M25" s="19">
        <f t="shared" si="13"/>
        <v>6.9126499999999993</v>
      </c>
      <c r="N25" s="19">
        <f t="shared" si="13"/>
        <v>6.9126499999999993</v>
      </c>
      <c r="O25" s="19">
        <f t="shared" si="13"/>
        <v>6.9126499999999993</v>
      </c>
      <c r="P25" s="19">
        <f t="shared" si="13"/>
        <v>6.9126499999999993</v>
      </c>
      <c r="Q25" s="19">
        <f t="shared" si="13"/>
        <v>6.9126499999999993</v>
      </c>
    </row>
    <row r="26" spans="2:17" ht="12.75" customHeight="1">
      <c r="B26" s="205" t="s">
        <v>310</v>
      </c>
      <c r="G26" s="623"/>
      <c r="H26" s="623"/>
      <c r="I26" s="1135">
        <f t="shared" ref="I26:Q26" si="14">I20/I25</f>
        <v>1.1756984126984125</v>
      </c>
      <c r="J26" s="1136">
        <f t="shared" si="14"/>
        <v>1.2049076923076922</v>
      </c>
      <c r="K26" s="1136">
        <f t="shared" si="14"/>
        <v>1.2323731343283582</v>
      </c>
      <c r="L26" s="1137">
        <f t="shared" ca="1" si="14"/>
        <v>1.6513782387494556</v>
      </c>
      <c r="M26" s="1136">
        <f t="shared" ca="1" si="14"/>
        <v>1.8201391601437822</v>
      </c>
      <c r="N26" s="1136">
        <f t="shared" ca="1" si="14"/>
        <v>2.0055836237636062</v>
      </c>
      <c r="O26" s="1136">
        <f t="shared" ca="1" si="14"/>
        <v>2.2096004071628967</v>
      </c>
      <c r="P26" s="1138">
        <f t="shared" ca="1" si="14"/>
        <v>2.4340468470412655</v>
      </c>
      <c r="Q26" s="1138">
        <f t="shared" ca="1" si="14"/>
        <v>2.6809660141617333</v>
      </c>
    </row>
    <row r="27" spans="2:17" ht="12.75" customHeight="1">
      <c r="G27" s="623"/>
      <c r="H27" s="623"/>
      <c r="I27" s="1139"/>
      <c r="J27" s="1139"/>
      <c r="K27" s="1139"/>
      <c r="L27" s="1140"/>
      <c r="M27" s="623"/>
      <c r="N27" s="623"/>
      <c r="O27" s="623"/>
      <c r="P27" s="623"/>
      <c r="Q27" s="623"/>
    </row>
    <row r="28" spans="2:17" ht="12.75" customHeight="1">
      <c r="B28" s="3" t="s">
        <v>284</v>
      </c>
      <c r="G28" s="935"/>
      <c r="H28" s="935"/>
      <c r="I28" s="1141">
        <f>'Tar Income Statement'!J26</f>
        <v>12</v>
      </c>
      <c r="J28" s="1141">
        <f>'Tar Income Statement'!K26</f>
        <v>13</v>
      </c>
      <c r="K28" s="1141">
        <f>'Tar Income Statement'!L26</f>
        <v>14</v>
      </c>
      <c r="L28" s="1011">
        <f>+K28+2</f>
        <v>16</v>
      </c>
      <c r="M28" s="1011">
        <f t="shared" ref="M28:Q28" si="15">+L28+2</f>
        <v>18</v>
      </c>
      <c r="N28" s="1011">
        <f t="shared" si="15"/>
        <v>20</v>
      </c>
      <c r="O28" s="1011">
        <f t="shared" si="15"/>
        <v>22</v>
      </c>
      <c r="P28" s="1011">
        <f t="shared" si="15"/>
        <v>24</v>
      </c>
      <c r="Q28" s="1011">
        <f t="shared" si="15"/>
        <v>26</v>
      </c>
    </row>
    <row r="29" spans="2:17" ht="12.75" customHeight="1">
      <c r="G29" s="935"/>
      <c r="H29" s="935"/>
      <c r="I29" s="1142"/>
      <c r="J29" s="1142"/>
      <c r="K29" s="1142"/>
      <c r="L29" s="1011"/>
      <c r="M29" s="836"/>
      <c r="N29" s="836"/>
      <c r="O29" s="836"/>
      <c r="P29" s="836"/>
      <c r="Q29" s="836"/>
    </row>
    <row r="30" spans="2:17" ht="12.75" hidden="1" customHeight="1" outlineLevel="1">
      <c r="B30" s="139" t="s">
        <v>503</v>
      </c>
      <c r="G30" s="4"/>
      <c r="H30" s="4"/>
      <c r="Q30" s="3"/>
    </row>
    <row r="31" spans="2:17" ht="12.75" hidden="1" customHeight="1" outlineLevel="1">
      <c r="B31" s="3" t="s">
        <v>504</v>
      </c>
      <c r="G31" s="649"/>
      <c r="H31" s="649"/>
      <c r="I31" s="200">
        <f>+I17/I16</f>
        <v>0.28621264539506025</v>
      </c>
      <c r="J31" s="200">
        <f>+J17/J16</f>
        <v>0.28390128829924388</v>
      </c>
      <c r="K31" s="200">
        <f>+K17/K16</f>
        <v>0.28181509798293453</v>
      </c>
      <c r="L31" s="906">
        <f>ttax</f>
        <v>0.25</v>
      </c>
      <c r="M31" s="200">
        <f>+L31</f>
        <v>0.25</v>
      </c>
      <c r="N31" s="200">
        <f>+M31</f>
        <v>0.25</v>
      </c>
      <c r="O31" s="200">
        <f>+N31</f>
        <v>0.25</v>
      </c>
      <c r="P31" s="200">
        <f>+O31</f>
        <v>0.25</v>
      </c>
      <c r="Q31" s="200">
        <f>+P31</f>
        <v>0.25</v>
      </c>
    </row>
    <row r="32" spans="2:17" ht="12.75" hidden="1" customHeight="1" outlineLevel="1">
      <c r="G32" s="935"/>
      <c r="H32" s="935"/>
      <c r="I32" s="350"/>
      <c r="J32" s="350"/>
      <c r="K32" s="350"/>
      <c r="L32" s="1143"/>
      <c r="M32" s="935"/>
      <c r="N32" s="935"/>
      <c r="O32" s="935"/>
      <c r="P32" s="935"/>
      <c r="Q32" s="935"/>
    </row>
    <row r="33" spans="2:17" ht="12.75" customHeight="1" collapsed="1">
      <c r="B33" s="139" t="s">
        <v>77</v>
      </c>
      <c r="G33" s="4"/>
      <c r="H33" s="4"/>
      <c r="L33" s="10"/>
      <c r="Q33" s="3"/>
    </row>
    <row r="34" spans="2:17" ht="12.75" customHeight="1">
      <c r="B34" s="3" t="s">
        <v>64</v>
      </c>
      <c r="G34" s="299"/>
      <c r="H34" s="299"/>
      <c r="I34" s="153">
        <f t="shared" ref="I34:Q34" si="16">I13</f>
        <v>11</v>
      </c>
      <c r="J34" s="153">
        <f t="shared" si="16"/>
        <v>11.5</v>
      </c>
      <c r="K34" s="153">
        <f t="shared" si="16"/>
        <v>12</v>
      </c>
      <c r="L34" s="886">
        <f t="shared" si="16"/>
        <v>15.000000000000004</v>
      </c>
      <c r="M34" s="886">
        <f t="shared" si="16"/>
        <v>16.500000000000007</v>
      </c>
      <c r="N34" s="886">
        <f t="shared" si="16"/>
        <v>18.150000000000002</v>
      </c>
      <c r="O34" s="886">
        <f t="shared" si="16"/>
        <v>19.965000000000014</v>
      </c>
      <c r="P34" s="886">
        <f t="shared" si="16"/>
        <v>21.961500000000015</v>
      </c>
      <c r="Q34" s="886">
        <f t="shared" si="16"/>
        <v>24.157650000000018</v>
      </c>
    </row>
    <row r="35" spans="2:17" ht="12.75" customHeight="1">
      <c r="B35" s="3" t="s">
        <v>78</v>
      </c>
      <c r="G35" s="262"/>
      <c r="H35" s="262"/>
      <c r="I35" s="143">
        <f>'Tar Income Statement'!J30</f>
        <v>1.6</v>
      </c>
      <c r="J35" s="143">
        <f>'Tar Income Statement'!K30</f>
        <v>1.7</v>
      </c>
      <c r="K35" s="143">
        <f>'Tar Income Statement'!L30</f>
        <v>1.9</v>
      </c>
      <c r="L35" s="755">
        <f t="shared" ref="L35:Q35" si="17">L89+L90</f>
        <v>5</v>
      </c>
      <c r="M35" s="755">
        <f t="shared" si="17"/>
        <v>5.0000000000000009</v>
      </c>
      <c r="N35" s="755">
        <f t="shared" si="17"/>
        <v>5.5000000000000018</v>
      </c>
      <c r="O35" s="755">
        <f t="shared" si="17"/>
        <v>6.0500000000000025</v>
      </c>
      <c r="P35" s="755">
        <f t="shared" si="17"/>
        <v>6.6550000000000038</v>
      </c>
      <c r="Q35" s="755">
        <f t="shared" si="17"/>
        <v>7.3205000000000044</v>
      </c>
    </row>
    <row r="36" spans="2:17" ht="12.75" customHeight="1">
      <c r="B36" s="3" t="s">
        <v>63</v>
      </c>
      <c r="G36" s="299"/>
      <c r="H36" s="299"/>
      <c r="I36" s="909">
        <f>SUM(I34:I35)</f>
        <v>12.6</v>
      </c>
      <c r="J36" s="909">
        <f t="shared" ref="J36:Q36" si="18">SUM(J34:J35)</f>
        <v>13.2</v>
      </c>
      <c r="K36" s="909">
        <f t="shared" si="18"/>
        <v>13.9</v>
      </c>
      <c r="L36" s="909">
        <f t="shared" si="18"/>
        <v>20.000000000000004</v>
      </c>
      <c r="M36" s="909">
        <f t="shared" si="18"/>
        <v>21.500000000000007</v>
      </c>
      <c r="N36" s="909">
        <f t="shared" si="18"/>
        <v>23.650000000000006</v>
      </c>
      <c r="O36" s="909">
        <f t="shared" si="18"/>
        <v>26.015000000000015</v>
      </c>
      <c r="P36" s="909">
        <f t="shared" si="18"/>
        <v>28.61650000000002</v>
      </c>
      <c r="Q36" s="909">
        <f t="shared" si="18"/>
        <v>31.478150000000021</v>
      </c>
    </row>
    <row r="37" spans="2:17" s="17" customFormat="1" ht="12.75" hidden="1" customHeight="1" outlineLevel="1">
      <c r="B37" s="10" t="s">
        <v>305</v>
      </c>
      <c r="C37" s="10"/>
      <c r="D37" s="10"/>
      <c r="E37" s="10"/>
      <c r="F37" s="10"/>
      <c r="G37" s="94"/>
      <c r="H37" s="94"/>
      <c r="I37" s="434">
        <f>'Tar Income Statement'!J32</f>
        <v>1.1000000000000001</v>
      </c>
      <c r="J37" s="434">
        <f>'Tar Income Statement'!K32</f>
        <v>1.2</v>
      </c>
      <c r="K37" s="434">
        <f>'Tar Income Statement'!L32</f>
        <v>1.3</v>
      </c>
      <c r="L37" s="755">
        <f t="shared" ref="L37:Q37" si="19">K37/K8*L8</f>
        <v>1.3541666666666667</v>
      </c>
      <c r="M37" s="755">
        <f t="shared" si="19"/>
        <v>1.4895833333333335</v>
      </c>
      <c r="N37" s="755">
        <f t="shared" si="19"/>
        <v>1.638541666666667</v>
      </c>
      <c r="O37" s="755">
        <f t="shared" si="19"/>
        <v>1.8023958333333341</v>
      </c>
      <c r="P37" s="755">
        <f t="shared" si="19"/>
        <v>1.9826354166666678</v>
      </c>
      <c r="Q37" s="755">
        <f t="shared" si="19"/>
        <v>2.1808989583333349</v>
      </c>
    </row>
    <row r="38" spans="2:17" ht="12.75" hidden="1" customHeight="1" outlineLevel="1">
      <c r="B38" s="3" t="s">
        <v>306</v>
      </c>
      <c r="G38" s="299"/>
      <c r="H38" s="299"/>
      <c r="I38" s="909">
        <f t="shared" ref="I38:Q38" si="20">SUM(I36:I37)</f>
        <v>13.7</v>
      </c>
      <c r="J38" s="909">
        <f t="shared" si="20"/>
        <v>14.399999999999999</v>
      </c>
      <c r="K38" s="909">
        <f t="shared" si="20"/>
        <v>15.200000000000001</v>
      </c>
      <c r="L38" s="909">
        <f t="shared" si="20"/>
        <v>21.354166666666671</v>
      </c>
      <c r="M38" s="909">
        <f t="shared" si="20"/>
        <v>22.989583333333339</v>
      </c>
      <c r="N38" s="909">
        <f t="shared" si="20"/>
        <v>25.288541666666674</v>
      </c>
      <c r="O38" s="909">
        <f t="shared" si="20"/>
        <v>27.81739583333335</v>
      </c>
      <c r="P38" s="909">
        <f t="shared" si="20"/>
        <v>30.599135416666687</v>
      </c>
      <c r="Q38" s="909">
        <f t="shared" si="20"/>
        <v>33.659048958333358</v>
      </c>
    </row>
    <row r="39" spans="2:17" ht="12.75" customHeight="1" collapsed="1">
      <c r="G39" s="299"/>
      <c r="H39" s="299"/>
      <c r="I39" s="298"/>
      <c r="J39" s="298"/>
      <c r="K39" s="298"/>
      <c r="L39" s="298"/>
      <c r="M39" s="298"/>
      <c r="N39" s="298"/>
      <c r="O39" s="298"/>
      <c r="P39" s="298"/>
      <c r="Q39" s="298"/>
    </row>
    <row r="40" spans="2:17" ht="12.75" customHeight="1">
      <c r="B40" s="139" t="s">
        <v>184</v>
      </c>
      <c r="G40" s="4"/>
      <c r="H40" s="4"/>
      <c r="Q40" s="3"/>
    </row>
    <row r="41" spans="2:17" ht="12.75" customHeight="1">
      <c r="B41" s="3" t="s">
        <v>74</v>
      </c>
      <c r="G41" s="649"/>
      <c r="H41" s="649"/>
      <c r="I41" s="200">
        <f t="shared" ref="I41:Q41" si="21">I10/I8</f>
        <v>0.5</v>
      </c>
      <c r="J41" s="200">
        <f t="shared" si="21"/>
        <v>0.5</v>
      </c>
      <c r="K41" s="200">
        <f t="shared" si="21"/>
        <v>0.5</v>
      </c>
      <c r="L41" s="200">
        <f t="shared" si="21"/>
        <v>0.55000000000000004</v>
      </c>
      <c r="M41" s="200">
        <f t="shared" si="21"/>
        <v>0.55000000000000004</v>
      </c>
      <c r="N41" s="200">
        <f t="shared" si="21"/>
        <v>0.54999999999999993</v>
      </c>
      <c r="O41" s="200">
        <f t="shared" si="21"/>
        <v>0.55000000000000004</v>
      </c>
      <c r="P41" s="200">
        <f t="shared" si="21"/>
        <v>0.55000000000000004</v>
      </c>
      <c r="Q41" s="200">
        <f t="shared" si="21"/>
        <v>0.55000000000000004</v>
      </c>
    </row>
    <row r="42" spans="2:17" ht="12.75" customHeight="1">
      <c r="B42" s="3" t="s">
        <v>119</v>
      </c>
      <c r="G42" s="649"/>
      <c r="H42" s="649"/>
      <c r="I42" s="200">
        <f t="shared" ref="I42:Q42" si="22">I11/I8</f>
        <v>0.25</v>
      </c>
      <c r="J42" s="200">
        <f t="shared" si="22"/>
        <v>0.25</v>
      </c>
      <c r="K42" s="200">
        <f t="shared" si="22"/>
        <v>0.25</v>
      </c>
      <c r="L42" s="200">
        <f t="shared" si="22"/>
        <v>0.25</v>
      </c>
      <c r="M42" s="200">
        <f t="shared" si="22"/>
        <v>0.25</v>
      </c>
      <c r="N42" s="200">
        <f t="shared" si="22"/>
        <v>0.25</v>
      </c>
      <c r="O42" s="200">
        <f t="shared" si="22"/>
        <v>0.25</v>
      </c>
      <c r="P42" s="200">
        <f t="shared" si="22"/>
        <v>0.25</v>
      </c>
      <c r="Q42" s="200">
        <f t="shared" si="22"/>
        <v>0.25</v>
      </c>
    </row>
    <row r="43" spans="2:17" ht="12.75" customHeight="1">
      <c r="B43" s="3" t="s">
        <v>63</v>
      </c>
      <c r="G43" s="649"/>
      <c r="H43" s="649"/>
      <c r="I43" s="200">
        <f t="shared" ref="I43:Q43" si="23">I36/I8</f>
        <v>0.28636363636363638</v>
      </c>
      <c r="J43" s="200">
        <f t="shared" si="23"/>
        <v>0.28695652173913044</v>
      </c>
      <c r="K43" s="200">
        <f t="shared" si="23"/>
        <v>0.28958333333333336</v>
      </c>
      <c r="L43" s="200">
        <f t="shared" si="23"/>
        <v>0.40000000000000008</v>
      </c>
      <c r="M43" s="200">
        <f t="shared" si="23"/>
        <v>0.39090909090909098</v>
      </c>
      <c r="N43" s="200">
        <f t="shared" si="23"/>
        <v>0.39090909090909093</v>
      </c>
      <c r="O43" s="200">
        <f t="shared" si="23"/>
        <v>0.39090909090909098</v>
      </c>
      <c r="P43" s="200">
        <f t="shared" si="23"/>
        <v>0.39090909090909098</v>
      </c>
      <c r="Q43" s="200">
        <f t="shared" si="23"/>
        <v>0.39090909090909093</v>
      </c>
    </row>
    <row r="44" spans="2:17" ht="12.75" customHeight="1">
      <c r="B44" s="3" t="s">
        <v>64</v>
      </c>
      <c r="G44" s="649"/>
      <c r="H44" s="649"/>
      <c r="I44" s="200">
        <f t="shared" ref="I44:Q44" si="24">I34/I8</f>
        <v>0.25</v>
      </c>
      <c r="J44" s="200">
        <f t="shared" si="24"/>
        <v>0.25</v>
      </c>
      <c r="K44" s="200">
        <f t="shared" si="24"/>
        <v>0.25</v>
      </c>
      <c r="L44" s="200">
        <f t="shared" si="24"/>
        <v>0.30000000000000004</v>
      </c>
      <c r="M44" s="200">
        <f t="shared" si="24"/>
        <v>0.3000000000000001</v>
      </c>
      <c r="N44" s="200">
        <f t="shared" si="24"/>
        <v>0.3</v>
      </c>
      <c r="O44" s="200">
        <f t="shared" si="24"/>
        <v>0.3000000000000001</v>
      </c>
      <c r="P44" s="200">
        <f t="shared" si="24"/>
        <v>0.30000000000000004</v>
      </c>
      <c r="Q44" s="200">
        <f t="shared" si="24"/>
        <v>0.30000000000000004</v>
      </c>
    </row>
    <row r="45" spans="2:17" ht="12.75" customHeight="1">
      <c r="B45" s="3" t="s">
        <v>65</v>
      </c>
      <c r="G45" s="649"/>
      <c r="H45" s="649"/>
      <c r="I45" s="200">
        <f t="shared" ref="I45:Q45" si="25">I20/I8</f>
        <v>0.16833863636363633</v>
      </c>
      <c r="J45" s="200">
        <f t="shared" si="25"/>
        <v>0.17025869565217389</v>
      </c>
      <c r="K45" s="200">
        <f t="shared" si="25"/>
        <v>0.17201875</v>
      </c>
      <c r="L45" s="200">
        <f t="shared" ca="1" si="25"/>
        <v>0.22830799564182847</v>
      </c>
      <c r="M45" s="200">
        <f t="shared" ca="1" si="25"/>
        <v>0.22876336300668931</v>
      </c>
      <c r="N45" s="200">
        <f t="shared" ca="1" si="25"/>
        <v>0.22915533283982625</v>
      </c>
      <c r="O45" s="200">
        <f t="shared" ca="1" si="25"/>
        <v>0.22951456430615461</v>
      </c>
      <c r="P45" s="200">
        <f t="shared" ca="1" si="25"/>
        <v>0.22984378030462116</v>
      </c>
      <c r="Q45" s="200">
        <f t="shared" ca="1" si="25"/>
        <v>0.23014547836145188</v>
      </c>
    </row>
    <row r="46" spans="2:17" ht="12.75" customHeight="1">
      <c r="G46" s="649"/>
      <c r="H46" s="649"/>
      <c r="I46" s="687"/>
      <c r="J46" s="687"/>
      <c r="K46" s="687"/>
      <c r="L46" s="687"/>
      <c r="M46" s="687"/>
      <c r="N46" s="687"/>
      <c r="O46" s="687"/>
      <c r="P46" s="687"/>
      <c r="Q46" s="687"/>
    </row>
    <row r="47" spans="2:17" ht="12.75" customHeight="1">
      <c r="B47" s="139" t="s">
        <v>79</v>
      </c>
      <c r="G47" s="649"/>
      <c r="H47" s="649"/>
      <c r="I47" s="687"/>
      <c r="J47" s="687"/>
      <c r="K47" s="687"/>
      <c r="L47" s="687"/>
      <c r="M47" s="687"/>
      <c r="N47" s="687"/>
      <c r="O47" s="687"/>
      <c r="P47" s="687"/>
      <c r="Q47" s="687"/>
    </row>
    <row r="48" spans="2:17" ht="12.75" customHeight="1">
      <c r="B48" s="3" t="s">
        <v>285</v>
      </c>
      <c r="G48" s="1144"/>
      <c r="H48" s="1144"/>
      <c r="I48" s="1145">
        <f>'Tar Income Statement'!J58</f>
        <v>1.7999999999999999E-2</v>
      </c>
      <c r="J48" s="1145">
        <f>'Tar Income Statement'!K58</f>
        <v>0.02</v>
      </c>
      <c r="K48" s="1145">
        <f>'Tar Income Statement'!L58</f>
        <v>0.03</v>
      </c>
      <c r="L48" s="830">
        <v>3.1E-2</v>
      </c>
      <c r="M48" s="830">
        <v>3.2000000000000001E-2</v>
      </c>
      <c r="N48" s="830">
        <v>3.3000000000000002E-2</v>
      </c>
      <c r="O48" s="830">
        <v>3.4000000000000002E-2</v>
      </c>
      <c r="P48" s="830">
        <v>3.5000000000000003E-2</v>
      </c>
      <c r="Q48" s="830">
        <v>3.5000000000000003E-2</v>
      </c>
    </row>
    <row r="49" spans="1:17" ht="12.75" customHeight="1">
      <c r="B49" s="3" t="s">
        <v>254</v>
      </c>
      <c r="G49" s="1005"/>
      <c r="H49" s="1005"/>
      <c r="I49" s="125">
        <f>'Tar Income Statement'!J59/100</f>
        <v>4.7619047619047673E-4</v>
      </c>
      <c r="J49" s="200">
        <f t="shared" ref="J49:Q49" si="26">J8/I8-1</f>
        <v>4.5454545454545414E-2</v>
      </c>
      <c r="K49" s="200">
        <f t="shared" si="26"/>
        <v>4.3478260869565188E-2</v>
      </c>
      <c r="L49" s="200">
        <f t="shared" si="26"/>
        <v>4.1666666666666741E-2</v>
      </c>
      <c r="M49" s="200">
        <f t="shared" si="26"/>
        <v>0.10000000000000009</v>
      </c>
      <c r="N49" s="200">
        <f t="shared" si="26"/>
        <v>0.10000000000000009</v>
      </c>
      <c r="O49" s="200">
        <f t="shared" si="26"/>
        <v>0.10000000000000009</v>
      </c>
      <c r="P49" s="200">
        <f t="shared" si="26"/>
        <v>0.10000000000000009</v>
      </c>
      <c r="Q49" s="200">
        <f t="shared" si="26"/>
        <v>0.10000000000000009</v>
      </c>
    </row>
    <row r="50" spans="1:17" ht="12.75" customHeight="1">
      <c r="B50" s="3" t="s">
        <v>63</v>
      </c>
      <c r="G50" s="1005"/>
      <c r="H50" s="1005"/>
      <c r="I50" s="125">
        <f>'Tar Income Statement'!J60/100</f>
        <v>5.0000000000000044E-4</v>
      </c>
      <c r="J50" s="200">
        <f>IF(AND(J36&gt;=0,I36&gt;0),J36/I36-1,"NM")</f>
        <v>4.7619047619047672E-2</v>
      </c>
      <c r="K50" s="200">
        <f>IF(AND(K36&gt;=0,J36&gt;0),K36/J36-1,"NM")</f>
        <v>5.3030303030303205E-2</v>
      </c>
      <c r="L50" s="200">
        <f t="shared" ref="L50:Q50" si="27">IF(AND(L36&gt;=0,K36&gt;0),L36/K36-1,"NM")</f>
        <v>0.43884892086330951</v>
      </c>
      <c r="M50" s="200">
        <f t="shared" si="27"/>
        <v>7.5000000000000178E-2</v>
      </c>
      <c r="N50" s="200">
        <f t="shared" si="27"/>
        <v>9.9999999999999867E-2</v>
      </c>
      <c r="O50" s="200">
        <f t="shared" si="27"/>
        <v>0.10000000000000031</v>
      </c>
      <c r="P50" s="200">
        <f t="shared" si="27"/>
        <v>0.10000000000000009</v>
      </c>
      <c r="Q50" s="200">
        <f t="shared" si="27"/>
        <v>9.9999999999999867E-2</v>
      </c>
    </row>
    <row r="51" spans="1:17" ht="12.75" customHeight="1">
      <c r="B51" s="3" t="s">
        <v>64</v>
      </c>
      <c r="G51" s="1005"/>
      <c r="H51" s="1005"/>
      <c r="I51" s="125">
        <f>'Tar Income Statement'!J61/100</f>
        <v>4.7619047619047673E-4</v>
      </c>
      <c r="J51" s="200">
        <f>IF(AND(J34&gt;=0,I34&gt;0),J34/I34-1,"NM")</f>
        <v>4.5454545454545414E-2</v>
      </c>
      <c r="K51" s="200">
        <f>IF(AND(K34&gt;=0,J34&gt;0),K34/J34-1,"NM")</f>
        <v>4.3478260869565188E-2</v>
      </c>
      <c r="L51" s="200">
        <f t="shared" ref="L51:Q51" si="28">IF(AND(L34&gt;=0,K34&gt;0),L34/K34-1,"NM")</f>
        <v>0.25000000000000022</v>
      </c>
      <c r="M51" s="200">
        <f t="shared" si="28"/>
        <v>0.10000000000000031</v>
      </c>
      <c r="N51" s="200">
        <f t="shared" si="28"/>
        <v>9.9999999999999645E-2</v>
      </c>
      <c r="O51" s="200">
        <f t="shared" si="28"/>
        <v>0.10000000000000075</v>
      </c>
      <c r="P51" s="200">
        <f t="shared" si="28"/>
        <v>0.10000000000000009</v>
      </c>
      <c r="Q51" s="200">
        <f t="shared" si="28"/>
        <v>0.10000000000000009</v>
      </c>
    </row>
    <row r="52" spans="1:17" ht="12.75" customHeight="1">
      <c r="B52" s="3" t="str">
        <f>B20</f>
        <v>Net Income</v>
      </c>
      <c r="G52" s="1005"/>
      <c r="H52" s="1005"/>
      <c r="I52" s="125">
        <f>'Tar Income Statement'!J62/100</f>
        <v>6.0871682493303771E-4</v>
      </c>
      <c r="J52" s="200">
        <f t="shared" ref="J52:Q52" si="29">IF(AND(J20&gt;=0,I20&gt;0),J20/I20-1,"NM")</f>
        <v>5.7378930456736477E-2</v>
      </c>
      <c r="K52" s="200">
        <f t="shared" si="29"/>
        <v>5.4265248534838495E-2</v>
      </c>
      <c r="L52" s="200">
        <f t="shared" ca="1" si="29"/>
        <v>0.38252852548673522</v>
      </c>
      <c r="M52" s="200">
        <f t="shared" ca="1" si="29"/>
        <v>0.10219398405184532</v>
      </c>
      <c r="N52" s="200">
        <f t="shared" ca="1" si="29"/>
        <v>0.10188477215400127</v>
      </c>
      <c r="O52" s="200">
        <f t="shared" ca="1" si="29"/>
        <v>0.10172439632132591</v>
      </c>
      <c r="P52" s="200">
        <f t="shared" ca="1" si="29"/>
        <v>0.1015778414734072</v>
      </c>
      <c r="Q52" s="200">
        <f t="shared" ca="1" si="29"/>
        <v>0.10144388445958374</v>
      </c>
    </row>
    <row r="53" spans="1:17" ht="12.75" customHeight="1">
      <c r="B53" s="3" t="str">
        <f>B26</f>
        <v>Diluted EPS</v>
      </c>
      <c r="G53" s="1005"/>
      <c r="H53" s="1005"/>
      <c r="I53" s="125">
        <f>'Tar Income Statement'!J63/100</f>
        <v>2.7193216382405351E-4</v>
      </c>
      <c r="J53" s="200">
        <f t="shared" ref="J53:Q53" si="30">IF(AND(J26&gt;=0,I26&gt;0),J26/I26-1,"NM")</f>
        <v>2.4844194134990616E-2</v>
      </c>
      <c r="K53" s="200">
        <f t="shared" si="30"/>
        <v>2.2794644100962547E-2</v>
      </c>
      <c r="L53" s="200">
        <f t="shared" ca="1" si="30"/>
        <v>0.33999857084636509</v>
      </c>
      <c r="M53" s="200">
        <f t="shared" ca="1" si="30"/>
        <v>0.10219398405184554</v>
      </c>
      <c r="N53" s="200">
        <f t="shared" ca="1" si="30"/>
        <v>0.10188477215400105</v>
      </c>
      <c r="O53" s="200">
        <f t="shared" ca="1" si="30"/>
        <v>0.10172439632132613</v>
      </c>
      <c r="P53" s="200">
        <f t="shared" ca="1" si="30"/>
        <v>0.1015778414734072</v>
      </c>
      <c r="Q53" s="200">
        <f t="shared" ca="1" si="30"/>
        <v>0.10144388445958352</v>
      </c>
    </row>
    <row r="54" spans="1:17">
      <c r="B54" s="1"/>
      <c r="Q54" s="3"/>
    </row>
    <row r="55" spans="1:17" ht="15.95" customHeight="1" collapsed="1" thickBot="1">
      <c r="A55" s="4" t="s">
        <v>167</v>
      </c>
      <c r="B55" s="628" t="s">
        <v>124</v>
      </c>
      <c r="C55" s="628"/>
      <c r="D55" s="629"/>
      <c r="E55" s="629"/>
      <c r="F55" s="629"/>
      <c r="G55" s="629"/>
      <c r="H55" s="629"/>
      <c r="I55" s="629"/>
      <c r="J55" s="629"/>
      <c r="K55" s="629"/>
      <c r="L55" s="629"/>
      <c r="M55" s="629"/>
      <c r="N55" s="629"/>
      <c r="O55" s="630"/>
      <c r="P55" s="630"/>
      <c r="Q55" s="630"/>
    </row>
    <row r="56" spans="1:17" ht="15" customHeight="1">
      <c r="B56" s="895" t="str">
        <f>B7</f>
        <v>Fiscal Year Ended December 31,</v>
      </c>
      <c r="C56" s="1146"/>
      <c r="D56" s="1146"/>
      <c r="E56" s="1146"/>
      <c r="F56" s="1146"/>
      <c r="G56" s="1146"/>
      <c r="H56" s="1146"/>
      <c r="I56" s="959"/>
      <c r="J56" s="959">
        <f t="shared" ref="J56:Q56" si="31">J7</f>
        <v>2017</v>
      </c>
      <c r="K56" s="1147">
        <f t="shared" si="31"/>
        <v>2018</v>
      </c>
      <c r="L56" s="1148">
        <f t="shared" si="31"/>
        <v>2019</v>
      </c>
      <c r="M56" s="960">
        <f t="shared" si="31"/>
        <v>2020</v>
      </c>
      <c r="N56" s="960">
        <f t="shared" si="31"/>
        <v>2021</v>
      </c>
      <c r="O56" s="960">
        <f t="shared" si="31"/>
        <v>2022</v>
      </c>
      <c r="P56" s="960">
        <f t="shared" si="31"/>
        <v>2023</v>
      </c>
      <c r="Q56" s="960">
        <f t="shared" si="31"/>
        <v>2024</v>
      </c>
    </row>
    <row r="57" spans="1:17" ht="15" customHeight="1">
      <c r="B57" s="139" t="s">
        <v>35</v>
      </c>
      <c r="Q57" s="3"/>
    </row>
    <row r="58" spans="1:17" ht="12.75" customHeight="1">
      <c r="B58" s="3" t="s">
        <v>38</v>
      </c>
      <c r="J58" s="113">
        <f>'Tar Balance Sheet'!J8</f>
        <v>24.96292</v>
      </c>
      <c r="K58" s="113">
        <f>'Tar Balance Sheet'!K8</f>
        <v>38.64472</v>
      </c>
      <c r="L58" s="153">
        <f t="shared" ref="L58:Q58" ca="1" si="32">L112</f>
        <v>49.568497115424755</v>
      </c>
      <c r="M58" s="153">
        <f t="shared" ca="1" si="32"/>
        <v>60.823484414126007</v>
      </c>
      <c r="N58" s="153">
        <f t="shared" ca="1" si="32"/>
        <v>73.255255217602169</v>
      </c>
      <c r="O58" s="153">
        <f t="shared" ca="1" si="32"/>
        <v>86.981680555510096</v>
      </c>
      <c r="P58" s="153">
        <f t="shared" ca="1" si="32"/>
        <v>102.13241928437657</v>
      </c>
      <c r="Q58" s="153">
        <f t="shared" ca="1" si="32"/>
        <v>118.850096873005</v>
      </c>
    </row>
    <row r="59" spans="1:17" ht="12.75" customHeight="1">
      <c r="B59" s="3" t="s">
        <v>39</v>
      </c>
      <c r="J59" s="115">
        <f>'Tar Balance Sheet'!J9</f>
        <v>8.9939999999999998</v>
      </c>
      <c r="K59" s="115">
        <f>'Tar Balance Sheet'!K9</f>
        <v>9.4939999999999998</v>
      </c>
      <c r="L59" s="161">
        <f t="shared" ref="L59:Q59" si="33">L224</f>
        <v>9.8895833333333343</v>
      </c>
      <c r="M59" s="161">
        <f t="shared" si="33"/>
        <v>10.878541666666669</v>
      </c>
      <c r="N59" s="161">
        <f t="shared" si="33"/>
        <v>11.966395833333337</v>
      </c>
      <c r="O59" s="161">
        <f t="shared" si="33"/>
        <v>13.163035416666673</v>
      </c>
      <c r="P59" s="161">
        <f t="shared" si="33"/>
        <v>14.479338958333342</v>
      </c>
      <c r="Q59" s="161">
        <f t="shared" si="33"/>
        <v>15.927272854166677</v>
      </c>
    </row>
    <row r="60" spans="1:17" ht="12.75" customHeight="1">
      <c r="B60" s="3" t="s">
        <v>40</v>
      </c>
      <c r="J60" s="115">
        <f>'Tar Balance Sheet'!J10</f>
        <v>4.1970000000000001</v>
      </c>
      <c r="K60" s="115">
        <f>'Tar Balance Sheet'!K10</f>
        <v>4.6970000000000001</v>
      </c>
      <c r="L60" s="161">
        <f t="shared" ref="L60:Q60" si="34">L228</f>
        <v>4.403437499999999</v>
      </c>
      <c r="M60" s="161">
        <f t="shared" si="34"/>
        <v>4.8437812500000001</v>
      </c>
      <c r="N60" s="161">
        <f t="shared" si="34"/>
        <v>5.3281593750000011</v>
      </c>
      <c r="O60" s="161">
        <f t="shared" si="34"/>
        <v>5.8609753125000017</v>
      </c>
      <c r="P60" s="161">
        <f t="shared" si="34"/>
        <v>6.4470728437500036</v>
      </c>
      <c r="Q60" s="161">
        <f t="shared" si="34"/>
        <v>7.0917801281250039</v>
      </c>
    </row>
    <row r="61" spans="1:17" ht="12.75" customHeight="1">
      <c r="B61" s="3" t="s">
        <v>367</v>
      </c>
      <c r="J61" s="143">
        <f>'Tar Balance Sheet'!J11</f>
        <v>1.0960000000000001</v>
      </c>
      <c r="K61" s="143">
        <f>'Tar Balance Sheet'!K11</f>
        <v>1.5960000000000001</v>
      </c>
      <c r="L61" s="268">
        <f t="shared" ref="L61:Q61" si="35">L232</f>
        <v>1.6625000000000001</v>
      </c>
      <c r="M61" s="268">
        <f t="shared" si="35"/>
        <v>1.8287500000000003</v>
      </c>
      <c r="N61" s="268">
        <f t="shared" si="35"/>
        <v>2.0116250000000004</v>
      </c>
      <c r="O61" s="268">
        <f t="shared" si="35"/>
        <v>2.212787500000001</v>
      </c>
      <c r="P61" s="268">
        <f t="shared" si="35"/>
        <v>2.4340662500000017</v>
      </c>
      <c r="Q61" s="268">
        <f t="shared" si="35"/>
        <v>2.6774728750000016</v>
      </c>
    </row>
    <row r="62" spans="1:17" ht="12.75" customHeight="1">
      <c r="B62" s="151" t="s">
        <v>42</v>
      </c>
      <c r="J62" s="1079">
        <f t="shared" ref="J62:Q62" si="36">SUM(J58:J61)</f>
        <v>39.249920000000003</v>
      </c>
      <c r="K62" s="1079">
        <f t="shared" si="36"/>
        <v>54.431719999999999</v>
      </c>
      <c r="L62" s="1079">
        <f t="shared" ca="1" si="36"/>
        <v>65.524017948758086</v>
      </c>
      <c r="M62" s="1079">
        <f t="shared" ca="1" si="36"/>
        <v>78.374557330792683</v>
      </c>
      <c r="N62" s="1079">
        <f t="shared" ca="1" si="36"/>
        <v>92.5614354259355</v>
      </c>
      <c r="O62" s="1079">
        <f t="shared" ca="1" si="36"/>
        <v>108.21847878467678</v>
      </c>
      <c r="P62" s="1079">
        <f t="shared" ca="1" si="36"/>
        <v>125.49289733645992</v>
      </c>
      <c r="Q62" s="1079">
        <f t="shared" ca="1" si="36"/>
        <v>144.54662273029669</v>
      </c>
    </row>
    <row r="63" spans="1:17" ht="12.75" customHeight="1">
      <c r="B63" s="3" t="s">
        <v>43</v>
      </c>
      <c r="J63" s="115">
        <f>'Tar Balance Sheet'!J13</f>
        <v>2.778</v>
      </c>
      <c r="K63" s="115">
        <f>'Tar Balance Sheet'!K13</f>
        <v>3.278</v>
      </c>
      <c r="L63" s="161">
        <f t="shared" ref="L63:Q63" si="37">K63-L100-L89</f>
        <v>3.2780000000000005</v>
      </c>
      <c r="M63" s="161">
        <f t="shared" si="37"/>
        <v>3.7780000000000014</v>
      </c>
      <c r="N63" s="161">
        <f t="shared" si="37"/>
        <v>4.3280000000000012</v>
      </c>
      <c r="O63" s="161">
        <f t="shared" si="37"/>
        <v>4.9330000000000016</v>
      </c>
      <c r="P63" s="161">
        <f t="shared" si="37"/>
        <v>5.5985000000000023</v>
      </c>
      <c r="Q63" s="161">
        <f t="shared" si="37"/>
        <v>6.3305500000000041</v>
      </c>
    </row>
    <row r="64" spans="1:17" ht="12.75" customHeight="1">
      <c r="B64" s="3" t="s">
        <v>332</v>
      </c>
      <c r="J64" s="115">
        <f>'Tar Balance Sheet'!J14</f>
        <v>30.888000000000002</v>
      </c>
      <c r="K64" s="115">
        <f>'Tar Balance Sheet'!K14</f>
        <v>31.388000000000002</v>
      </c>
      <c r="L64" s="161">
        <f t="shared" ref="L64:Q64" si="38">K64</f>
        <v>31.388000000000002</v>
      </c>
      <c r="M64" s="161">
        <f t="shared" si="38"/>
        <v>31.388000000000002</v>
      </c>
      <c r="N64" s="161">
        <f t="shared" si="38"/>
        <v>31.388000000000002</v>
      </c>
      <c r="O64" s="161">
        <f t="shared" si="38"/>
        <v>31.388000000000002</v>
      </c>
      <c r="P64" s="161">
        <f t="shared" si="38"/>
        <v>31.388000000000002</v>
      </c>
      <c r="Q64" s="161">
        <f t="shared" si="38"/>
        <v>31.388000000000002</v>
      </c>
    </row>
    <row r="65" spans="2:17" ht="12.75" customHeight="1">
      <c r="B65" s="3" t="s">
        <v>356</v>
      </c>
      <c r="J65" s="115">
        <f>'Tar Balance Sheet'!J15</f>
        <v>0</v>
      </c>
      <c r="K65" s="115">
        <f>'Tar Balance Sheet'!K15</f>
        <v>0.443</v>
      </c>
      <c r="L65" s="161">
        <f t="shared" ref="L65:Q65" si="39">K65-L90</f>
        <v>0.443</v>
      </c>
      <c r="M65" s="161">
        <f t="shared" si="39"/>
        <v>0.443</v>
      </c>
      <c r="N65" s="161">
        <f t="shared" si="39"/>
        <v>0.443</v>
      </c>
      <c r="O65" s="161">
        <f t="shared" si="39"/>
        <v>0.443</v>
      </c>
      <c r="P65" s="161">
        <f t="shared" si="39"/>
        <v>0.443</v>
      </c>
      <c r="Q65" s="161">
        <f t="shared" si="39"/>
        <v>0.443</v>
      </c>
    </row>
    <row r="66" spans="2:17" ht="12.75" customHeight="1">
      <c r="B66" s="3" t="s">
        <v>232</v>
      </c>
      <c r="J66" s="143">
        <f>'Tar Balance Sheet'!J16</f>
        <v>5.8160000000000007</v>
      </c>
      <c r="K66" s="143">
        <f>'Tar Balance Sheet'!K16</f>
        <v>6.3160000000000007</v>
      </c>
      <c r="L66" s="268">
        <f t="shared" ref="L66:Q66" si="40">K66</f>
        <v>6.3160000000000007</v>
      </c>
      <c r="M66" s="268">
        <f t="shared" si="40"/>
        <v>6.3160000000000007</v>
      </c>
      <c r="N66" s="268">
        <f t="shared" si="40"/>
        <v>6.3160000000000007</v>
      </c>
      <c r="O66" s="268">
        <f t="shared" si="40"/>
        <v>6.3160000000000007</v>
      </c>
      <c r="P66" s="268">
        <f t="shared" si="40"/>
        <v>6.3160000000000007</v>
      </c>
      <c r="Q66" s="268">
        <f t="shared" si="40"/>
        <v>6.3160000000000007</v>
      </c>
    </row>
    <row r="67" spans="2:17" ht="12.75" customHeight="1">
      <c r="B67" s="151" t="s">
        <v>46</v>
      </c>
      <c r="J67" s="909">
        <f t="shared" ref="J67:Q67" si="41">SUM(J62:J66)</f>
        <v>78.731920000000002</v>
      </c>
      <c r="K67" s="909">
        <f t="shared" si="41"/>
        <v>95.856719999999996</v>
      </c>
      <c r="L67" s="909">
        <f t="shared" ca="1" si="41"/>
        <v>106.9490179487581</v>
      </c>
      <c r="M67" s="909">
        <f t="shared" ca="1" si="41"/>
        <v>120.29955733079269</v>
      </c>
      <c r="N67" s="909">
        <f t="shared" ca="1" si="41"/>
        <v>135.03643542593551</v>
      </c>
      <c r="O67" s="909">
        <f t="shared" ca="1" si="41"/>
        <v>151.2984787846768</v>
      </c>
      <c r="P67" s="909">
        <f t="shared" ca="1" si="41"/>
        <v>169.23839733645994</v>
      </c>
      <c r="Q67" s="909">
        <f t="shared" ca="1" si="41"/>
        <v>189.02417273029673</v>
      </c>
    </row>
    <row r="68" spans="2:17" ht="12.75" customHeight="1">
      <c r="B68" s="151"/>
      <c r="J68" s="146"/>
      <c r="K68" s="146"/>
      <c r="L68" s="146"/>
      <c r="M68" s="146"/>
      <c r="N68" s="146"/>
      <c r="O68" s="146"/>
      <c r="P68" s="146"/>
      <c r="Q68" s="146"/>
    </row>
    <row r="69" spans="2:17" ht="12.75" customHeight="1">
      <c r="B69" s="139" t="s">
        <v>47</v>
      </c>
      <c r="J69" s="1149"/>
      <c r="K69" s="1149"/>
      <c r="L69" s="1149"/>
      <c r="M69" s="218"/>
      <c r="N69" s="218"/>
      <c r="O69" s="218"/>
      <c r="P69" s="218"/>
      <c r="Q69" s="218"/>
    </row>
    <row r="70" spans="2:17" ht="12.75" customHeight="1">
      <c r="B70" s="3" t="s">
        <v>151</v>
      </c>
      <c r="J70" s="113">
        <f>'Tar Balance Sheet'!J20</f>
        <v>2</v>
      </c>
      <c r="K70" s="113">
        <f>'Tar Balance Sheet'!K20</f>
        <v>4.82</v>
      </c>
      <c r="L70" s="886">
        <f t="shared" ref="L70:Q70" si="42">M142</f>
        <v>0</v>
      </c>
      <c r="M70" s="886">
        <f t="shared" si="42"/>
        <v>0</v>
      </c>
      <c r="N70" s="886">
        <f t="shared" si="42"/>
        <v>0</v>
      </c>
      <c r="O70" s="886">
        <f t="shared" si="42"/>
        <v>0</v>
      </c>
      <c r="P70" s="886">
        <f t="shared" si="42"/>
        <v>0</v>
      </c>
      <c r="Q70" s="886">
        <f t="shared" si="42"/>
        <v>0</v>
      </c>
    </row>
    <row r="71" spans="2:17" ht="12.75" customHeight="1">
      <c r="B71" s="3" t="s">
        <v>48</v>
      </c>
      <c r="J71" s="115">
        <f>'Tar Balance Sheet'!J21</f>
        <v>4.4509999999999996</v>
      </c>
      <c r="K71" s="115">
        <f>'Tar Balance Sheet'!K21</f>
        <v>4.6509999999999998</v>
      </c>
      <c r="L71" s="161">
        <f t="shared" ref="L71:Q71" si="43">L235</f>
        <v>4.3603124999999991</v>
      </c>
      <c r="M71" s="161">
        <f t="shared" si="43"/>
        <v>4.7963437500000001</v>
      </c>
      <c r="N71" s="161">
        <f t="shared" si="43"/>
        <v>5.2759781250000009</v>
      </c>
      <c r="O71" s="161">
        <f t="shared" si="43"/>
        <v>5.8035759375000016</v>
      </c>
      <c r="P71" s="161">
        <f t="shared" si="43"/>
        <v>6.383933531250003</v>
      </c>
      <c r="Q71" s="161">
        <f t="shared" si="43"/>
        <v>7.022326884375004</v>
      </c>
    </row>
    <row r="72" spans="2:17" ht="12.75" customHeight="1">
      <c r="B72" s="3" t="s">
        <v>49</v>
      </c>
      <c r="J72" s="143">
        <f>'Tar Balance Sheet'!J22</f>
        <v>5.6390000000000002</v>
      </c>
      <c r="K72" s="143">
        <f>'Tar Balance Sheet'!K22</f>
        <v>5.8390000000000004</v>
      </c>
      <c r="L72" s="268">
        <f t="shared" ref="L72:Q72" si="44">L239</f>
        <v>6.0822916666666673</v>
      </c>
      <c r="M72" s="268">
        <f t="shared" si="44"/>
        <v>6.690520833333335</v>
      </c>
      <c r="N72" s="268">
        <f t="shared" si="44"/>
        <v>7.3595729166666688</v>
      </c>
      <c r="O72" s="268">
        <f t="shared" si="44"/>
        <v>8.0955302083333365</v>
      </c>
      <c r="P72" s="268">
        <f t="shared" si="44"/>
        <v>8.9050832291666726</v>
      </c>
      <c r="Q72" s="268">
        <f t="shared" si="44"/>
        <v>9.7955915520833408</v>
      </c>
    </row>
    <row r="73" spans="2:17" ht="12.75" customHeight="1">
      <c r="B73" s="151" t="s">
        <v>50</v>
      </c>
      <c r="J73" s="1079">
        <f t="shared" ref="J73:Q73" si="45">SUM(J70:J72)</f>
        <v>12.09</v>
      </c>
      <c r="K73" s="1121">
        <f t="shared" si="45"/>
        <v>15.31</v>
      </c>
      <c r="L73" s="1121">
        <f t="shared" si="45"/>
        <v>10.442604166666666</v>
      </c>
      <c r="M73" s="1121">
        <f t="shared" si="45"/>
        <v>11.486864583333336</v>
      </c>
      <c r="N73" s="1121">
        <f t="shared" si="45"/>
        <v>12.63555104166667</v>
      </c>
      <c r="O73" s="1121">
        <f t="shared" si="45"/>
        <v>13.899106145833338</v>
      </c>
      <c r="P73" s="1150">
        <f t="shared" si="45"/>
        <v>15.289016760416676</v>
      </c>
      <c r="Q73" s="161">
        <f t="shared" si="45"/>
        <v>16.817918436458346</v>
      </c>
    </row>
    <row r="74" spans="2:17" ht="12.75" customHeight="1">
      <c r="B74" s="3" t="s">
        <v>120</v>
      </c>
      <c r="J74" s="115">
        <f>'Tar Balance Sheet'!J24</f>
        <v>9.3849999999999998</v>
      </c>
      <c r="K74" s="115">
        <f>'Tar Balance Sheet'!K24</f>
        <v>8.3849999999999998</v>
      </c>
      <c r="L74" s="40">
        <f t="shared" ref="L74:Q74" ca="1" si="46">L132-L70</f>
        <v>0</v>
      </c>
      <c r="M74" s="40">
        <f t="shared" ca="1" si="46"/>
        <v>0</v>
      </c>
      <c r="N74" s="40">
        <f t="shared" ca="1" si="46"/>
        <v>0</v>
      </c>
      <c r="O74" s="40">
        <f t="shared" ca="1" si="46"/>
        <v>0</v>
      </c>
      <c r="P74" s="40">
        <f t="shared" ca="1" si="46"/>
        <v>0</v>
      </c>
      <c r="Q74" s="40">
        <f t="shared" ca="1" si="46"/>
        <v>0</v>
      </c>
    </row>
    <row r="75" spans="2:17" ht="12.75" customHeight="1">
      <c r="B75" s="3" t="s">
        <v>233</v>
      </c>
      <c r="J75" s="115">
        <f>'Tar Balance Sheet'!J25</f>
        <v>0</v>
      </c>
      <c r="K75" s="115">
        <f>'Tar Balance Sheet'!K25</f>
        <v>3.6030000000000002</v>
      </c>
      <c r="L75" s="161">
        <f t="shared" ref="L75:Q75" si="47">K75</f>
        <v>3.6030000000000002</v>
      </c>
      <c r="M75" s="161">
        <f t="shared" si="47"/>
        <v>3.6030000000000002</v>
      </c>
      <c r="N75" s="161">
        <f t="shared" si="47"/>
        <v>3.6030000000000002</v>
      </c>
      <c r="O75" s="161">
        <f t="shared" si="47"/>
        <v>3.6030000000000002</v>
      </c>
      <c r="P75" s="161">
        <f t="shared" si="47"/>
        <v>3.6030000000000002</v>
      </c>
      <c r="Q75" s="161">
        <f t="shared" si="47"/>
        <v>3.6030000000000002</v>
      </c>
    </row>
    <row r="76" spans="2:17" ht="12.75" customHeight="1">
      <c r="B76" s="3" t="s">
        <v>52</v>
      </c>
      <c r="J76" s="115">
        <f>'Tar Balance Sheet'!J26</f>
        <v>0.2</v>
      </c>
      <c r="K76" s="115">
        <f>'Tar Balance Sheet'!K26</f>
        <v>0.2</v>
      </c>
      <c r="L76" s="161">
        <f>K76</f>
        <v>0.2</v>
      </c>
      <c r="M76" s="161">
        <f t="shared" ref="M76:Q77" si="48">L76</f>
        <v>0.2</v>
      </c>
      <c r="N76" s="161">
        <f t="shared" si="48"/>
        <v>0.2</v>
      </c>
      <c r="O76" s="161">
        <f t="shared" si="48"/>
        <v>0.2</v>
      </c>
      <c r="P76" s="161">
        <f t="shared" si="48"/>
        <v>0.2</v>
      </c>
      <c r="Q76" s="161">
        <f t="shared" si="48"/>
        <v>0.2</v>
      </c>
    </row>
    <row r="77" spans="2:17" ht="12.75" customHeight="1">
      <c r="B77" s="3" t="s">
        <v>53</v>
      </c>
      <c r="J77" s="115">
        <f>'Tar Balance Sheet'!J27</f>
        <v>0</v>
      </c>
      <c r="K77" s="115">
        <f>'Tar Balance Sheet'!K27</f>
        <v>0</v>
      </c>
      <c r="L77" s="161">
        <f>K77</f>
        <v>0</v>
      </c>
      <c r="M77" s="161">
        <f t="shared" si="48"/>
        <v>0</v>
      </c>
      <c r="N77" s="161">
        <f t="shared" si="48"/>
        <v>0</v>
      </c>
      <c r="O77" s="161">
        <f t="shared" si="48"/>
        <v>0</v>
      </c>
      <c r="P77" s="161">
        <f t="shared" si="48"/>
        <v>0</v>
      </c>
      <c r="Q77" s="161">
        <f t="shared" si="48"/>
        <v>0</v>
      </c>
    </row>
    <row r="78" spans="2:17" ht="12.75" customHeight="1">
      <c r="B78" s="3" t="s">
        <v>150</v>
      </c>
      <c r="J78" s="143">
        <f>'Tar Balance Sheet'!J28</f>
        <v>57.056920000000005</v>
      </c>
      <c r="K78" s="143">
        <f>'Tar Balance Sheet'!K28</f>
        <v>68.358719999999991</v>
      </c>
      <c r="L78" s="268">
        <f t="shared" ref="L78:Q78" ca="1" si="49">K78+L23+L103+L104+L92+L91+L105</f>
        <v>79.498413782091419</v>
      </c>
      <c r="M78" s="268">
        <f t="shared" ca="1" si="49"/>
        <v>91.804692747459328</v>
      </c>
      <c r="N78" s="268">
        <f t="shared" ca="1" si="49"/>
        <v>105.39288438426883</v>
      </c>
      <c r="O78" s="268">
        <f t="shared" ca="1" si="49"/>
        <v>120.39137263884342</v>
      </c>
      <c r="P78" s="268">
        <f t="shared" ca="1" si="49"/>
        <v>136.9413805760432</v>
      </c>
      <c r="Q78" s="268">
        <f t="shared" ca="1" si="49"/>
        <v>155.19825429383829</v>
      </c>
    </row>
    <row r="79" spans="2:17" ht="12.75" customHeight="1">
      <c r="B79" s="151" t="s">
        <v>54</v>
      </c>
      <c r="J79" s="909">
        <f t="shared" ref="J79:Q79" si="50">SUM(J73:J78)</f>
        <v>78.731920000000002</v>
      </c>
      <c r="K79" s="910">
        <f t="shared" si="50"/>
        <v>95.856719999999996</v>
      </c>
      <c r="L79" s="910">
        <f t="shared" ca="1" si="50"/>
        <v>93.744017948758085</v>
      </c>
      <c r="M79" s="910">
        <f t="shared" ca="1" si="50"/>
        <v>107.09455733079267</v>
      </c>
      <c r="N79" s="910">
        <f t="shared" ca="1" si="50"/>
        <v>121.8314354259355</v>
      </c>
      <c r="O79" s="910">
        <f t="shared" ca="1" si="50"/>
        <v>138.09347878467676</v>
      </c>
      <c r="P79" s="827">
        <f t="shared" ca="1" si="50"/>
        <v>156.03339733645987</v>
      </c>
      <c r="Q79" s="153">
        <f t="shared" ca="1" si="50"/>
        <v>175.81917273029663</v>
      </c>
    </row>
    <row r="80" spans="2:17" ht="12.75" customHeight="1">
      <c r="B80" s="151"/>
      <c r="J80" s="146"/>
      <c r="K80" s="146"/>
      <c r="L80" s="146"/>
      <c r="M80" s="146"/>
      <c r="N80" s="146"/>
      <c r="O80" s="146"/>
      <c r="P80" s="146"/>
      <c r="Q80" s="153"/>
    </row>
    <row r="81" spans="1:17" ht="12.75" customHeight="1">
      <c r="B81" s="3" t="s">
        <v>34</v>
      </c>
      <c r="J81" s="68">
        <f>J67-J79</f>
        <v>0</v>
      </c>
      <c r="K81" s="68">
        <f t="shared" ref="K81:Q81" si="51">K67-K79</f>
        <v>0</v>
      </c>
      <c r="L81" s="68">
        <f t="shared" ca="1" si="51"/>
        <v>13.205000000000013</v>
      </c>
      <c r="M81" s="68">
        <f t="shared" ca="1" si="51"/>
        <v>13.205000000000027</v>
      </c>
      <c r="N81" s="68">
        <f t="shared" ca="1" si="51"/>
        <v>13.205000000000013</v>
      </c>
      <c r="O81" s="68">
        <f t="shared" ca="1" si="51"/>
        <v>13.205000000000041</v>
      </c>
      <c r="P81" s="68">
        <f t="shared" ca="1" si="51"/>
        <v>13.205000000000069</v>
      </c>
      <c r="Q81" s="68">
        <f t="shared" ca="1" si="51"/>
        <v>13.205000000000098</v>
      </c>
    </row>
    <row r="82" spans="1:17" ht="12.75" customHeight="1">
      <c r="B82" s="151"/>
      <c r="J82" s="146"/>
      <c r="K82" s="146"/>
      <c r="L82" s="146"/>
      <c r="M82" s="146"/>
      <c r="N82" s="146"/>
      <c r="O82" s="146"/>
      <c r="P82" s="146"/>
      <c r="Q82" s="153"/>
    </row>
    <row r="83" spans="1:17" s="17" customFormat="1" ht="12.75" customHeight="1">
      <c r="B83" s="10" t="s">
        <v>55</v>
      </c>
      <c r="C83" s="10"/>
      <c r="D83" s="10"/>
      <c r="E83" s="10"/>
      <c r="F83" s="10"/>
      <c r="G83" s="10"/>
      <c r="H83" s="10"/>
      <c r="I83" s="10"/>
      <c r="J83" s="886">
        <f>SUM(J59:J61)-SUM(J71:J72)</f>
        <v>4.1969999999999992</v>
      </c>
      <c r="K83" s="886">
        <f>SUM(K59:K61)-SUM(K71:K72)</f>
        <v>5.2969999999999988</v>
      </c>
      <c r="L83" s="886">
        <f t="shared" ref="L83:Q83" si="52">SUM(L59:L61)-SUM(L71:L72)</f>
        <v>5.5129166666666674</v>
      </c>
      <c r="M83" s="886">
        <f t="shared" si="52"/>
        <v>6.0642083333333332</v>
      </c>
      <c r="N83" s="886">
        <f t="shared" si="52"/>
        <v>6.6706291666666679</v>
      </c>
      <c r="O83" s="886">
        <f t="shared" si="52"/>
        <v>7.337692083333339</v>
      </c>
      <c r="P83" s="886">
        <f t="shared" si="52"/>
        <v>8.0714612916666688</v>
      </c>
      <c r="Q83" s="886">
        <f t="shared" si="52"/>
        <v>8.8786074208333403</v>
      </c>
    </row>
    <row r="84" spans="1:17" ht="12.75" customHeight="1">
      <c r="B84" s="3" t="s">
        <v>256</v>
      </c>
      <c r="J84" s="200">
        <f t="shared" ref="J84:Q84" si="53">J83/J8</f>
        <v>9.1239130434782587E-2</v>
      </c>
      <c r="K84" s="200">
        <f t="shared" si="53"/>
        <v>0.11035416666666664</v>
      </c>
      <c r="L84" s="200">
        <f t="shared" si="53"/>
        <v>0.11025833333333335</v>
      </c>
      <c r="M84" s="200">
        <f t="shared" si="53"/>
        <v>0.11025833333333332</v>
      </c>
      <c r="N84" s="200">
        <f t="shared" si="53"/>
        <v>0.11025833333333333</v>
      </c>
      <c r="O84" s="200">
        <f t="shared" si="53"/>
        <v>0.11025833333333337</v>
      </c>
      <c r="P84" s="200">
        <f t="shared" si="53"/>
        <v>0.11025833333333331</v>
      </c>
      <c r="Q84" s="200">
        <f t="shared" si="53"/>
        <v>0.11025833333333335</v>
      </c>
    </row>
    <row r="85" spans="1:17" ht="12.75" customHeight="1">
      <c r="B85" s="1"/>
      <c r="J85" s="1075"/>
      <c r="K85" s="1075"/>
      <c r="L85" s="1075"/>
      <c r="M85" s="1075"/>
      <c r="N85" s="1075"/>
      <c r="O85" s="1075"/>
      <c r="P85" s="1075"/>
      <c r="Q85" s="1075"/>
    </row>
    <row r="86" spans="1:17" ht="15.95" customHeight="1" collapsed="1" thickBot="1">
      <c r="A86" s="4" t="s">
        <v>167</v>
      </c>
      <c r="B86" s="628" t="s">
        <v>125</v>
      </c>
      <c r="C86" s="628"/>
      <c r="D86" s="629"/>
      <c r="E86" s="629"/>
      <c r="F86" s="629"/>
      <c r="G86" s="629"/>
      <c r="H86" s="629"/>
      <c r="I86" s="629"/>
      <c r="J86" s="629"/>
      <c r="K86" s="629"/>
      <c r="L86" s="629"/>
      <c r="M86" s="629"/>
      <c r="N86" s="629"/>
      <c r="O86" s="630"/>
      <c r="P86" s="630"/>
      <c r="Q86" s="630"/>
    </row>
    <row r="87" spans="1:17" ht="15" customHeight="1">
      <c r="B87" s="895" t="str">
        <f>B7</f>
        <v>Fiscal Year Ended December 31,</v>
      </c>
      <c r="C87" s="1146"/>
      <c r="D87" s="1146"/>
      <c r="E87" s="1146"/>
      <c r="F87" s="1146"/>
      <c r="G87" s="1146"/>
      <c r="H87" s="1146"/>
      <c r="I87" s="959"/>
      <c r="J87" s="959"/>
      <c r="K87" s="1147"/>
      <c r="L87" s="1148">
        <f t="shared" ref="L87:Q87" si="54">L7</f>
        <v>2019</v>
      </c>
      <c r="M87" s="960">
        <f t="shared" si="54"/>
        <v>2020</v>
      </c>
      <c r="N87" s="960">
        <f t="shared" si="54"/>
        <v>2021</v>
      </c>
      <c r="O87" s="960">
        <f t="shared" si="54"/>
        <v>2022</v>
      </c>
      <c r="P87" s="960">
        <f t="shared" si="54"/>
        <v>2023</v>
      </c>
      <c r="Q87" s="960">
        <f t="shared" si="54"/>
        <v>2024</v>
      </c>
    </row>
    <row r="88" spans="1:17" ht="15" customHeight="1">
      <c r="B88" s="3" t="s">
        <v>65</v>
      </c>
      <c r="L88" s="886">
        <f t="shared" ref="L88:Q88" ca="1" si="55">L23</f>
        <v>11.415399782091423</v>
      </c>
      <c r="M88" s="153">
        <f t="shared" ca="1" si="55"/>
        <v>12.581984965367914</v>
      </c>
      <c r="N88" s="153">
        <f t="shared" ca="1" si="55"/>
        <v>13.863897636809492</v>
      </c>
      <c r="O88" s="153">
        <f t="shared" ca="1" si="55"/>
        <v>15.274194254574596</v>
      </c>
      <c r="P88" s="153">
        <f t="shared" ca="1" si="55"/>
        <v>16.825713937199801</v>
      </c>
      <c r="Q88" s="153">
        <f t="shared" ca="1" si="55"/>
        <v>18.532579717795105</v>
      </c>
    </row>
    <row r="89" spans="1:17" s="17" customFormat="1">
      <c r="B89" s="10" t="s">
        <v>568</v>
      </c>
      <c r="C89" s="10"/>
      <c r="D89" s="10"/>
      <c r="E89" s="10"/>
      <c r="F89" s="10"/>
      <c r="G89" s="10"/>
      <c r="H89" s="10"/>
      <c r="I89" s="10"/>
      <c r="J89" s="10"/>
      <c r="K89" s="10"/>
      <c r="L89" s="40">
        <f t="shared" ref="L89:Q89" si="56">L220-L90</f>
        <v>5</v>
      </c>
      <c r="M89" s="40">
        <f t="shared" si="56"/>
        <v>5.0000000000000009</v>
      </c>
      <c r="N89" s="40">
        <f t="shared" si="56"/>
        <v>5.5000000000000018</v>
      </c>
      <c r="O89" s="40">
        <f t="shared" si="56"/>
        <v>6.0500000000000025</v>
      </c>
      <c r="P89" s="40">
        <f t="shared" si="56"/>
        <v>6.6550000000000038</v>
      </c>
      <c r="Q89" s="40">
        <f t="shared" si="56"/>
        <v>7.3205000000000044</v>
      </c>
    </row>
    <row r="90" spans="1:17">
      <c r="B90" s="3" t="s">
        <v>331</v>
      </c>
      <c r="L90" s="453">
        <v>0</v>
      </c>
      <c r="M90" s="453">
        <v>0</v>
      </c>
      <c r="N90" s="453">
        <v>0</v>
      </c>
      <c r="O90" s="453">
        <v>0</v>
      </c>
      <c r="P90" s="453">
        <v>0</v>
      </c>
      <c r="Q90" s="453">
        <v>0</v>
      </c>
    </row>
    <row r="91" spans="1:17">
      <c r="B91" s="3" t="s">
        <v>49</v>
      </c>
      <c r="L91" s="453">
        <v>0</v>
      </c>
      <c r="M91" s="453">
        <v>0</v>
      </c>
      <c r="N91" s="453">
        <v>0</v>
      </c>
      <c r="O91" s="453">
        <v>0</v>
      </c>
      <c r="P91" s="453">
        <v>0</v>
      </c>
      <c r="Q91" s="453">
        <v>0</v>
      </c>
    </row>
    <row r="92" spans="1:17">
      <c r="B92" s="3" t="s">
        <v>307</v>
      </c>
      <c r="L92" s="453">
        <v>0</v>
      </c>
      <c r="M92" s="453">
        <v>0</v>
      </c>
      <c r="N92" s="453">
        <v>0</v>
      </c>
      <c r="O92" s="453">
        <v>0</v>
      </c>
      <c r="P92" s="453">
        <v>0</v>
      </c>
      <c r="Q92" s="453">
        <v>0</v>
      </c>
    </row>
    <row r="93" spans="1:17">
      <c r="B93" s="3" t="s">
        <v>234</v>
      </c>
      <c r="L93" s="40">
        <f t="shared" ref="L93:Q93" si="57">K66-L66</f>
        <v>0</v>
      </c>
      <c r="M93" s="161">
        <f t="shared" si="57"/>
        <v>0</v>
      </c>
      <c r="N93" s="161">
        <f t="shared" si="57"/>
        <v>0</v>
      </c>
      <c r="O93" s="161">
        <f t="shared" si="57"/>
        <v>0</v>
      </c>
      <c r="P93" s="161">
        <f t="shared" si="57"/>
        <v>0</v>
      </c>
      <c r="Q93" s="161">
        <f t="shared" si="57"/>
        <v>0</v>
      </c>
    </row>
    <row r="94" spans="1:17">
      <c r="B94" s="4" t="s">
        <v>235</v>
      </c>
      <c r="L94" s="19">
        <f t="shared" ref="L94:Q94" si="58">L75-K75</f>
        <v>0</v>
      </c>
      <c r="M94" s="68">
        <f t="shared" si="58"/>
        <v>0</v>
      </c>
      <c r="N94" s="68">
        <f t="shared" si="58"/>
        <v>0</v>
      </c>
      <c r="O94" s="68">
        <f t="shared" si="58"/>
        <v>0</v>
      </c>
      <c r="P94" s="68">
        <f t="shared" si="58"/>
        <v>0</v>
      </c>
      <c r="Q94" s="68">
        <f t="shared" si="58"/>
        <v>0</v>
      </c>
    </row>
    <row r="95" spans="1:17">
      <c r="B95" s="4" t="s">
        <v>80</v>
      </c>
      <c r="L95" s="19">
        <f t="shared" ref="L95:Q95" si="59">K83-L83</f>
        <v>-0.21591666666666853</v>
      </c>
      <c r="M95" s="68">
        <f t="shared" si="59"/>
        <v>-0.55129166666666585</v>
      </c>
      <c r="N95" s="68">
        <f t="shared" si="59"/>
        <v>-0.60642083333333474</v>
      </c>
      <c r="O95" s="68">
        <f t="shared" si="59"/>
        <v>-0.66706291666667106</v>
      </c>
      <c r="P95" s="68">
        <f t="shared" si="59"/>
        <v>-0.73376920833332981</v>
      </c>
      <c r="Q95" s="68">
        <f t="shared" si="59"/>
        <v>-0.8071461291666715</v>
      </c>
    </row>
    <row r="96" spans="1:17">
      <c r="B96" s="1151" t="s">
        <v>322</v>
      </c>
      <c r="C96" s="1151"/>
      <c r="L96" s="1091">
        <f t="shared" ref="L96:Q96" ca="1" si="60">SUM(L88:L95)</f>
        <v>16.199483115424755</v>
      </c>
      <c r="M96" s="1089">
        <f t="shared" ca="1" si="60"/>
        <v>17.030693298701252</v>
      </c>
      <c r="N96" s="1089">
        <f t="shared" ca="1" si="60"/>
        <v>18.757476803476159</v>
      </c>
      <c r="O96" s="1089">
        <f t="shared" ca="1" si="60"/>
        <v>20.657131337907927</v>
      </c>
      <c r="P96" s="1089">
        <f t="shared" ca="1" si="60"/>
        <v>22.746944728866474</v>
      </c>
      <c r="Q96" s="1089">
        <f t="shared" ca="1" si="60"/>
        <v>25.04593358862844</v>
      </c>
    </row>
    <row r="97" spans="2:17">
      <c r="L97" s="19"/>
      <c r="M97" s="68"/>
      <c r="N97" s="68"/>
      <c r="O97" s="68"/>
      <c r="P97" s="68"/>
      <c r="Q97" s="68"/>
    </row>
    <row r="98" spans="2:17" ht="12.75" customHeight="1">
      <c r="B98" s="3" t="s">
        <v>122</v>
      </c>
      <c r="L98" s="40">
        <f t="shared" ref="L98:Q98" si="61">-L217</f>
        <v>-5</v>
      </c>
      <c r="M98" s="40">
        <f>-M217</f>
        <v>-5.5000000000000009</v>
      </c>
      <c r="N98" s="40">
        <f t="shared" si="61"/>
        <v>-6.0500000000000016</v>
      </c>
      <c r="O98" s="40">
        <f t="shared" si="61"/>
        <v>-6.6550000000000029</v>
      </c>
      <c r="P98" s="40">
        <f t="shared" si="61"/>
        <v>-7.3205000000000044</v>
      </c>
      <c r="Q98" s="40">
        <f t="shared" si="61"/>
        <v>-8.0525500000000054</v>
      </c>
    </row>
    <row r="99" spans="2:17" ht="12.75" customHeight="1">
      <c r="B99" s="3" t="s">
        <v>567</v>
      </c>
      <c r="L99" s="912">
        <v>0</v>
      </c>
      <c r="M99" s="912">
        <v>0</v>
      </c>
      <c r="N99" s="912">
        <v>0</v>
      </c>
      <c r="O99" s="912">
        <v>0</v>
      </c>
      <c r="P99" s="912">
        <v>0</v>
      </c>
      <c r="Q99" s="912">
        <v>0</v>
      </c>
    </row>
    <row r="100" spans="2:17" ht="12.75" customHeight="1">
      <c r="B100" s="942" t="s">
        <v>323</v>
      </c>
      <c r="C100" s="942"/>
      <c r="D100" s="205"/>
      <c r="E100" s="205"/>
      <c r="F100" s="205"/>
      <c r="G100" s="205"/>
      <c r="H100" s="205"/>
      <c r="L100" s="1089">
        <f t="shared" ref="L100:Q100" si="62">SUM(L98:L99)</f>
        <v>-5</v>
      </c>
      <c r="M100" s="1089">
        <f t="shared" si="62"/>
        <v>-5.5000000000000009</v>
      </c>
      <c r="N100" s="1089">
        <f t="shared" si="62"/>
        <v>-6.0500000000000016</v>
      </c>
      <c r="O100" s="1089">
        <f t="shared" si="62"/>
        <v>-6.6550000000000029</v>
      </c>
      <c r="P100" s="1089">
        <f t="shared" si="62"/>
        <v>-7.3205000000000044</v>
      </c>
      <c r="Q100" s="1089">
        <f t="shared" si="62"/>
        <v>-8.0525500000000054</v>
      </c>
    </row>
    <row r="101" spans="2:17" ht="12.75" customHeight="1">
      <c r="B101" s="151"/>
      <c r="C101" s="151"/>
      <c r="L101" s="40"/>
      <c r="M101" s="161"/>
      <c r="N101" s="161"/>
      <c r="O101" s="161"/>
      <c r="P101" s="161"/>
      <c r="Q101" s="161"/>
    </row>
    <row r="102" spans="2:17" ht="12.75" customHeight="1">
      <c r="B102" s="3" t="s">
        <v>175</v>
      </c>
      <c r="L102" s="40">
        <f t="shared" ref="L102:Q102" si="63">-L142</f>
        <v>0</v>
      </c>
      <c r="M102" s="40">
        <f t="shared" si="63"/>
        <v>0</v>
      </c>
      <c r="N102" s="40">
        <f t="shared" si="63"/>
        <v>0</v>
      </c>
      <c r="O102" s="40">
        <f t="shared" si="63"/>
        <v>0</v>
      </c>
      <c r="P102" s="40">
        <f t="shared" si="63"/>
        <v>0</v>
      </c>
      <c r="Q102" s="40">
        <f t="shared" si="63"/>
        <v>0</v>
      </c>
    </row>
    <row r="103" spans="2:17" ht="12.75" customHeight="1">
      <c r="B103" s="3" t="s">
        <v>510</v>
      </c>
      <c r="F103" s="944">
        <f>'Tar Spread Cover'!J19</f>
        <v>0.04</v>
      </c>
      <c r="G103" s="3" t="s">
        <v>174</v>
      </c>
      <c r="L103" s="40">
        <f t="shared" ref="L103:Q103" si="64">-$F103*L213</f>
        <v>-0.27570600000000001</v>
      </c>
      <c r="M103" s="40">
        <f t="shared" si="64"/>
        <v>-0.27570600000000001</v>
      </c>
      <c r="N103" s="40">
        <f t="shared" si="64"/>
        <v>-0.27570600000000001</v>
      </c>
      <c r="O103" s="40">
        <f t="shared" si="64"/>
        <v>-0.27570600000000001</v>
      </c>
      <c r="P103" s="40">
        <f t="shared" si="64"/>
        <v>-0.27570600000000001</v>
      </c>
      <c r="Q103" s="40">
        <f t="shared" si="64"/>
        <v>-0.27570600000000001</v>
      </c>
    </row>
    <row r="104" spans="2:17" ht="12.75" customHeight="1">
      <c r="B104" s="3" t="s">
        <v>81</v>
      </c>
      <c r="L104" s="40">
        <f t="shared" ref="L104:Q104" si="65">-L201</f>
        <v>0</v>
      </c>
      <c r="M104" s="40">
        <f t="shared" si="65"/>
        <v>0</v>
      </c>
      <c r="N104" s="40">
        <f t="shared" si="65"/>
        <v>0</v>
      </c>
      <c r="O104" s="40">
        <f t="shared" si="65"/>
        <v>0</v>
      </c>
      <c r="P104" s="40">
        <f t="shared" si="65"/>
        <v>0</v>
      </c>
      <c r="Q104" s="40">
        <f t="shared" si="65"/>
        <v>0</v>
      </c>
    </row>
    <row r="105" spans="2:17" ht="12.75" customHeight="1">
      <c r="B105" s="3" t="s">
        <v>49</v>
      </c>
      <c r="L105" s="37">
        <v>0</v>
      </c>
      <c r="M105" s="37">
        <v>0</v>
      </c>
      <c r="N105" s="37">
        <v>0</v>
      </c>
      <c r="O105" s="37">
        <v>0</v>
      </c>
      <c r="P105" s="37">
        <v>0</v>
      </c>
      <c r="Q105" s="37">
        <v>0</v>
      </c>
    </row>
    <row r="106" spans="2:17" ht="12.75" customHeight="1">
      <c r="B106" s="3" t="s">
        <v>342</v>
      </c>
      <c r="F106" s="1094">
        <v>10</v>
      </c>
      <c r="G106" s="160" t="s">
        <v>173</v>
      </c>
      <c r="H106" s="160"/>
      <c r="J106" s="1094"/>
      <c r="L106" s="412">
        <f t="shared" ref="L106:Q106" ca="1" si="66">L124</f>
        <v>0</v>
      </c>
      <c r="M106" s="412">
        <f t="shared" ca="1" si="66"/>
        <v>0</v>
      </c>
      <c r="N106" s="412">
        <f t="shared" ca="1" si="66"/>
        <v>0</v>
      </c>
      <c r="O106" s="412">
        <f t="shared" ca="1" si="66"/>
        <v>0</v>
      </c>
      <c r="P106" s="412">
        <f t="shared" ca="1" si="66"/>
        <v>0</v>
      </c>
      <c r="Q106" s="412">
        <f t="shared" ca="1" si="66"/>
        <v>0</v>
      </c>
    </row>
    <row r="107" spans="2:17" ht="12.75" customHeight="1">
      <c r="B107" s="942" t="s">
        <v>324</v>
      </c>
      <c r="C107" s="942"/>
      <c r="I107" s="253"/>
      <c r="J107" s="1094"/>
      <c r="L107" s="1089">
        <f t="shared" ref="L107:Q107" ca="1" si="67">SUM(L102:L106)</f>
        <v>-0.27570600000000001</v>
      </c>
      <c r="M107" s="1089">
        <f t="shared" ca="1" si="67"/>
        <v>-0.27570600000000001</v>
      </c>
      <c r="N107" s="1089">
        <f t="shared" ca="1" si="67"/>
        <v>-0.27570600000000001</v>
      </c>
      <c r="O107" s="1089">
        <f t="shared" ca="1" si="67"/>
        <v>-0.27570600000000001</v>
      </c>
      <c r="P107" s="1089">
        <f t="shared" ca="1" si="67"/>
        <v>-0.27570600000000001</v>
      </c>
      <c r="Q107" s="1089">
        <f t="shared" ca="1" si="67"/>
        <v>-0.27570600000000001</v>
      </c>
    </row>
    <row r="108" spans="2:17" ht="12.75" customHeight="1">
      <c r="I108" s="253"/>
      <c r="J108" s="1094"/>
      <c r="L108" s="19"/>
      <c r="M108" s="68"/>
      <c r="N108" s="68"/>
      <c r="O108" s="68"/>
      <c r="P108" s="68"/>
      <c r="Q108" s="68"/>
    </row>
    <row r="109" spans="2:17" ht="12.75" customHeight="1">
      <c r="B109" s="3" t="s">
        <v>431</v>
      </c>
      <c r="L109" s="40">
        <f t="shared" ref="L109:Q109" ca="1" si="68">L96+L100+L107</f>
        <v>10.923777115424755</v>
      </c>
      <c r="M109" s="40">
        <f t="shared" ca="1" si="68"/>
        <v>11.254987298701252</v>
      </c>
      <c r="N109" s="40">
        <f t="shared" ca="1" si="68"/>
        <v>12.431770803476159</v>
      </c>
      <c r="O109" s="40">
        <f t="shared" ca="1" si="68"/>
        <v>13.726425337907925</v>
      </c>
      <c r="P109" s="40">
        <f t="shared" ca="1" si="68"/>
        <v>15.15073872886647</v>
      </c>
      <c r="Q109" s="40">
        <f t="shared" ca="1" si="68"/>
        <v>16.717677588628433</v>
      </c>
    </row>
    <row r="110" spans="2:17" ht="12.75" customHeight="1">
      <c r="L110" s="40"/>
      <c r="M110" s="161"/>
      <c r="N110" s="161"/>
      <c r="O110" s="161"/>
      <c r="P110" s="161"/>
      <c r="Q110" s="161"/>
    </row>
    <row r="111" spans="2:17" ht="12.75" customHeight="1">
      <c r="B111" s="3" t="s">
        <v>158</v>
      </c>
      <c r="L111" s="755">
        <f>K58</f>
        <v>38.64472</v>
      </c>
      <c r="M111" s="268">
        <f ca="1">L112</f>
        <v>49.568497115424755</v>
      </c>
      <c r="N111" s="268">
        <f ca="1">M112</f>
        <v>60.823484414126007</v>
      </c>
      <c r="O111" s="268">
        <f ca="1">N112</f>
        <v>73.255255217602169</v>
      </c>
      <c r="P111" s="268">
        <f ca="1">O112</f>
        <v>86.981680555510096</v>
      </c>
      <c r="Q111" s="268">
        <f ca="1">P112</f>
        <v>102.13241928437657</v>
      </c>
    </row>
    <row r="112" spans="2:17" ht="12.75" customHeight="1">
      <c r="B112" s="3" t="s">
        <v>83</v>
      </c>
      <c r="L112" s="1078">
        <f t="shared" ref="L112:Q112" ca="1" si="69">L109+L111</f>
        <v>49.568497115424755</v>
      </c>
      <c r="M112" s="1121">
        <f t="shared" ca="1" si="69"/>
        <v>60.823484414126007</v>
      </c>
      <c r="N112" s="1121">
        <f t="shared" ca="1" si="69"/>
        <v>73.255255217602169</v>
      </c>
      <c r="O112" s="1121">
        <f t="shared" ca="1" si="69"/>
        <v>86.981680555510096</v>
      </c>
      <c r="P112" s="1121">
        <f t="shared" ca="1" si="69"/>
        <v>102.13241928437657</v>
      </c>
      <c r="Q112" s="1121">
        <f t="shared" ca="1" si="69"/>
        <v>118.850096873005</v>
      </c>
    </row>
    <row r="113" spans="1:17" ht="12.75" customHeight="1">
      <c r="L113" s="19"/>
      <c r="M113" s="68"/>
      <c r="N113" s="68"/>
      <c r="O113" s="68"/>
      <c r="P113" s="68"/>
      <c r="Q113" s="68"/>
    </row>
    <row r="114" spans="1:17" ht="12.75" customHeight="1">
      <c r="B114" s="10" t="s">
        <v>84</v>
      </c>
      <c r="C114" s="10"/>
      <c r="D114" s="10"/>
      <c r="E114" s="10"/>
      <c r="F114" s="10"/>
      <c r="G114" s="10"/>
      <c r="H114" s="10"/>
      <c r="L114" s="40">
        <f t="shared" ref="L114:Q114" si="70">L120</f>
        <v>0</v>
      </c>
      <c r="M114" s="40">
        <f t="shared" ca="1" si="70"/>
        <v>0</v>
      </c>
      <c r="N114" s="40">
        <f t="shared" ca="1" si="70"/>
        <v>0</v>
      </c>
      <c r="O114" s="40">
        <f t="shared" ca="1" si="70"/>
        <v>0</v>
      </c>
      <c r="P114" s="40">
        <f t="shared" ca="1" si="70"/>
        <v>0</v>
      </c>
      <c r="Q114" s="40">
        <f t="shared" ca="1" si="70"/>
        <v>0</v>
      </c>
    </row>
    <row r="115" spans="1:17" ht="12.75" customHeight="1">
      <c r="B115" s="10" t="s">
        <v>85</v>
      </c>
      <c r="C115" s="10"/>
      <c r="D115" s="10"/>
      <c r="E115" s="10"/>
      <c r="F115" s="10"/>
      <c r="G115" s="10"/>
      <c r="H115" s="10"/>
      <c r="L115" s="40">
        <f t="shared" ref="L115:Q115" ca="1" si="71">L125</f>
        <v>0</v>
      </c>
      <c r="M115" s="40">
        <f t="shared" ca="1" si="71"/>
        <v>0</v>
      </c>
      <c r="N115" s="40">
        <f t="shared" ca="1" si="71"/>
        <v>0</v>
      </c>
      <c r="O115" s="40">
        <f t="shared" ca="1" si="71"/>
        <v>0</v>
      </c>
      <c r="P115" s="40">
        <f t="shared" ca="1" si="71"/>
        <v>0</v>
      </c>
      <c r="Q115" s="40">
        <f t="shared" ca="1" si="71"/>
        <v>0</v>
      </c>
    </row>
    <row r="116" spans="1:17" ht="12.75" customHeight="1">
      <c r="M116" s="1074"/>
      <c r="N116" s="1074"/>
      <c r="O116" s="1074"/>
      <c r="P116" s="1074"/>
      <c r="Q116" s="1074"/>
    </row>
    <row r="117" spans="1:17" ht="15.95" customHeight="1" collapsed="1" thickBot="1">
      <c r="A117" s="4" t="s">
        <v>167</v>
      </c>
      <c r="B117" s="628" t="s">
        <v>226</v>
      </c>
      <c r="C117" s="628"/>
      <c r="D117" s="629"/>
      <c r="E117" s="629"/>
      <c r="F117" s="629"/>
      <c r="G117" s="629"/>
      <c r="H117" s="629"/>
      <c r="I117" s="629"/>
      <c r="J117" s="629"/>
      <c r="K117" s="629"/>
      <c r="L117" s="629"/>
      <c r="M117" s="629"/>
      <c r="N117" s="629"/>
      <c r="O117" s="630"/>
      <c r="P117" s="630"/>
      <c r="Q117" s="630"/>
    </row>
    <row r="118" spans="1:17" ht="15" customHeight="1">
      <c r="B118" s="895" t="str">
        <f>B7</f>
        <v>Fiscal Year Ended December 31,</v>
      </c>
      <c r="C118" s="1146"/>
      <c r="D118" s="1146"/>
      <c r="E118" s="1146"/>
      <c r="F118" s="1146"/>
      <c r="G118" s="1146"/>
      <c r="H118" s="1146"/>
      <c r="I118" s="959"/>
      <c r="J118" s="959"/>
      <c r="K118" s="1147">
        <f t="shared" ref="K118:Q118" si="72">K7</f>
        <v>2018</v>
      </c>
      <c r="L118" s="1148">
        <f t="shared" si="72"/>
        <v>2019</v>
      </c>
      <c r="M118" s="960">
        <f t="shared" si="72"/>
        <v>2020</v>
      </c>
      <c r="N118" s="960">
        <f t="shared" si="72"/>
        <v>2021</v>
      </c>
      <c r="O118" s="960">
        <f t="shared" si="72"/>
        <v>2022</v>
      </c>
      <c r="P118" s="960">
        <f t="shared" si="72"/>
        <v>2023</v>
      </c>
      <c r="Q118" s="960">
        <f t="shared" si="72"/>
        <v>2024</v>
      </c>
    </row>
    <row r="119" spans="1:17" s="17" customFormat="1" ht="15" customHeight="1">
      <c r="B119" s="274" t="s">
        <v>342</v>
      </c>
      <c r="C119" s="274"/>
      <c r="D119" s="10"/>
      <c r="E119" s="10"/>
      <c r="F119" s="10"/>
      <c r="G119" s="10"/>
      <c r="H119" s="10"/>
      <c r="I119" s="27"/>
      <c r="J119" s="27"/>
      <c r="K119" s="27"/>
      <c r="L119" s="27"/>
      <c r="M119" s="27"/>
      <c r="N119" s="27"/>
      <c r="O119" s="27"/>
      <c r="P119" s="27"/>
      <c r="Q119" s="27"/>
    </row>
    <row r="120" spans="1:17" s="17" customFormat="1" ht="12.75" customHeight="1">
      <c r="B120" s="10" t="s">
        <v>336</v>
      </c>
      <c r="C120" s="274"/>
      <c r="D120" s="10"/>
      <c r="E120" s="10"/>
      <c r="F120" s="10"/>
      <c r="G120" s="10"/>
      <c r="H120" s="10"/>
      <c r="I120" s="27"/>
      <c r="J120" s="27"/>
      <c r="L120" s="595">
        <f>K128</f>
        <v>0</v>
      </c>
      <c r="M120" s="595">
        <f ca="1">L125</f>
        <v>0</v>
      </c>
      <c r="N120" s="595">
        <f ca="1">M125</f>
        <v>0</v>
      </c>
      <c r="O120" s="595">
        <f ca="1">N125</f>
        <v>0</v>
      </c>
      <c r="P120" s="595">
        <f ca="1">O125</f>
        <v>0</v>
      </c>
      <c r="Q120" s="595">
        <f ca="1">P125</f>
        <v>0</v>
      </c>
    </row>
    <row r="121" spans="1:17" s="17" customFormat="1" ht="12.75" customHeight="1">
      <c r="B121" s="10" t="s">
        <v>337</v>
      </c>
      <c r="C121" s="274"/>
      <c r="D121" s="10"/>
      <c r="E121" s="10"/>
      <c r="F121" s="10"/>
      <c r="G121" s="10"/>
      <c r="H121" s="10"/>
      <c r="I121" s="27"/>
      <c r="J121" s="27"/>
      <c r="K121" s="1152"/>
      <c r="L121" s="32">
        <f t="shared" ref="L121:Q121" si="73">L111</f>
        <v>38.64472</v>
      </c>
      <c r="M121" s="32">
        <f t="shared" ca="1" si="73"/>
        <v>49.568497115424755</v>
      </c>
      <c r="N121" s="32">
        <f t="shared" ca="1" si="73"/>
        <v>60.823484414126007</v>
      </c>
      <c r="O121" s="32">
        <f t="shared" ca="1" si="73"/>
        <v>73.255255217602169</v>
      </c>
      <c r="P121" s="32">
        <f t="shared" ca="1" si="73"/>
        <v>86.981680555510096</v>
      </c>
      <c r="Q121" s="32">
        <f t="shared" ca="1" si="73"/>
        <v>102.13241928437657</v>
      </c>
    </row>
    <row r="122" spans="1:17" s="17" customFormat="1" ht="12.75" customHeight="1">
      <c r="B122" s="10" t="s">
        <v>338</v>
      </c>
      <c r="C122" s="274"/>
      <c r="D122" s="10"/>
      <c r="E122" s="10"/>
      <c r="F122" s="10"/>
      <c r="G122" s="10"/>
      <c r="H122" s="10"/>
      <c r="I122" s="27"/>
      <c r="J122" s="27"/>
      <c r="K122" s="1152"/>
      <c r="L122" s="32">
        <f t="shared" ref="L122:Q122" ca="1" si="74">L96+L100+SUM(L102:L105)</f>
        <v>10.923777115424755</v>
      </c>
      <c r="M122" s="32">
        <f t="shared" ca="1" si="74"/>
        <v>11.254987298701252</v>
      </c>
      <c r="N122" s="32">
        <f t="shared" ca="1" si="74"/>
        <v>12.431770803476159</v>
      </c>
      <c r="O122" s="32">
        <f t="shared" ca="1" si="74"/>
        <v>13.726425337907925</v>
      </c>
      <c r="P122" s="32">
        <f t="shared" ca="1" si="74"/>
        <v>15.15073872886647</v>
      </c>
      <c r="Q122" s="32">
        <f t="shared" ca="1" si="74"/>
        <v>16.717677588628433</v>
      </c>
    </row>
    <row r="123" spans="1:17" s="17" customFormat="1" ht="12.75" customHeight="1">
      <c r="B123" s="10" t="s">
        <v>339</v>
      </c>
      <c r="C123" s="274"/>
      <c r="D123" s="10"/>
      <c r="E123" s="10"/>
      <c r="F123" s="10"/>
      <c r="G123" s="10"/>
      <c r="H123" s="10"/>
      <c r="I123" s="27"/>
      <c r="J123" s="27"/>
      <c r="K123" s="1152"/>
      <c r="L123" s="32">
        <f>-F106</f>
        <v>-10</v>
      </c>
      <c r="M123" s="32">
        <f>L123</f>
        <v>-10</v>
      </c>
      <c r="N123" s="32">
        <f>M123</f>
        <v>-10</v>
      </c>
      <c r="O123" s="32">
        <f>N123</f>
        <v>-10</v>
      </c>
      <c r="P123" s="32">
        <f>O123</f>
        <v>-10</v>
      </c>
      <c r="Q123" s="32">
        <f>P123</f>
        <v>-10</v>
      </c>
    </row>
    <row r="124" spans="1:17" s="17" customFormat="1" ht="12.75" customHeight="1">
      <c r="B124" s="10" t="s">
        <v>341</v>
      </c>
      <c r="C124" s="274"/>
      <c r="D124" s="10"/>
      <c r="E124" s="10"/>
      <c r="F124" s="10"/>
      <c r="G124" s="10"/>
      <c r="H124" s="10"/>
      <c r="I124" s="27"/>
      <c r="J124" s="27"/>
      <c r="K124" s="1152"/>
      <c r="L124" s="32">
        <f t="shared" ref="L124:Q124" ca="1" si="75">-MIN(SUM(L121:L123),L120)</f>
        <v>0</v>
      </c>
      <c r="M124" s="32">
        <f t="shared" ca="1" si="75"/>
        <v>0</v>
      </c>
      <c r="N124" s="32">
        <f t="shared" ca="1" si="75"/>
        <v>0</v>
      </c>
      <c r="O124" s="32">
        <f t="shared" ca="1" si="75"/>
        <v>0</v>
      </c>
      <c r="P124" s="32">
        <f t="shared" ca="1" si="75"/>
        <v>0</v>
      </c>
      <c r="Q124" s="32">
        <f t="shared" ca="1" si="75"/>
        <v>0</v>
      </c>
    </row>
    <row r="125" spans="1:17" s="17" customFormat="1" ht="12.75" customHeight="1">
      <c r="B125" s="10" t="s">
        <v>340</v>
      </c>
      <c r="C125" s="274"/>
      <c r="D125" s="10"/>
      <c r="E125" s="10"/>
      <c r="F125" s="10"/>
      <c r="G125" s="10"/>
      <c r="H125" s="10"/>
      <c r="I125" s="27"/>
      <c r="J125" s="27"/>
      <c r="K125" s="1152"/>
      <c r="L125" s="1153">
        <f t="shared" ref="L125:Q125" ca="1" si="76">L120+L124</f>
        <v>0</v>
      </c>
      <c r="M125" s="1153">
        <f t="shared" ca="1" si="76"/>
        <v>0</v>
      </c>
      <c r="N125" s="1153">
        <f t="shared" ca="1" si="76"/>
        <v>0</v>
      </c>
      <c r="O125" s="1153">
        <f t="shared" ca="1" si="76"/>
        <v>0</v>
      </c>
      <c r="P125" s="1153">
        <f t="shared" ca="1" si="76"/>
        <v>0</v>
      </c>
      <c r="Q125" s="1153">
        <f t="shared" ca="1" si="76"/>
        <v>0</v>
      </c>
    </row>
    <row r="126" spans="1:17" ht="12.75" customHeight="1">
      <c r="B126" s="139"/>
      <c r="J126" s="142"/>
      <c r="K126" s="1154"/>
      <c r="L126" s="1154"/>
      <c r="M126" s="1154"/>
      <c r="N126" s="1154"/>
      <c r="O126" s="1154"/>
      <c r="P126" s="1154"/>
      <c r="Q126" s="1154"/>
    </row>
    <row r="127" spans="1:17" ht="12.75" customHeight="1">
      <c r="B127" s="139" t="s">
        <v>143</v>
      </c>
      <c r="J127" s="142"/>
      <c r="K127" s="1154"/>
      <c r="L127" s="1154"/>
      <c r="M127" s="1154"/>
      <c r="N127" s="1154"/>
      <c r="O127" s="1154"/>
      <c r="P127" s="1154"/>
      <c r="Q127" s="1154"/>
    </row>
    <row r="128" spans="1:17" ht="12.75" customHeight="1">
      <c r="B128" s="3" t="s">
        <v>86</v>
      </c>
      <c r="J128" s="292"/>
      <c r="K128" s="185">
        <v>0</v>
      </c>
      <c r="L128" s="161">
        <f ca="1">L125</f>
        <v>0</v>
      </c>
      <c r="M128" s="161">
        <f ca="1">M115</f>
        <v>0</v>
      </c>
      <c r="N128" s="161">
        <f ca="1">N115</f>
        <v>0</v>
      </c>
      <c r="O128" s="161">
        <f ca="1">O115</f>
        <v>0</v>
      </c>
      <c r="P128" s="161">
        <f ca="1">P115</f>
        <v>0</v>
      </c>
      <c r="Q128" s="161">
        <f ca="1">Q115</f>
        <v>0</v>
      </c>
    </row>
    <row r="129" spans="2:17" ht="12.75" customHeight="1">
      <c r="B129" s="1" t="s">
        <v>309</v>
      </c>
      <c r="J129" s="190"/>
      <c r="K129" s="190">
        <v>0</v>
      </c>
      <c r="L129" s="68">
        <f t="shared" ref="L129:Q131" si="77">K129-L139</f>
        <v>0</v>
      </c>
      <c r="M129" s="68">
        <f t="shared" si="77"/>
        <v>0</v>
      </c>
      <c r="N129" s="68">
        <f t="shared" si="77"/>
        <v>0</v>
      </c>
      <c r="O129" s="68">
        <f t="shared" si="77"/>
        <v>0</v>
      </c>
      <c r="P129" s="68">
        <f t="shared" si="77"/>
        <v>0</v>
      </c>
      <c r="Q129" s="68">
        <f t="shared" si="77"/>
        <v>0</v>
      </c>
    </row>
    <row r="130" spans="2:17" ht="12.75" customHeight="1">
      <c r="B130" s="1" t="s">
        <v>459</v>
      </c>
      <c r="J130" s="190"/>
      <c r="K130" s="190">
        <v>0</v>
      </c>
      <c r="L130" s="68">
        <f t="shared" si="77"/>
        <v>0</v>
      </c>
      <c r="M130" s="68">
        <f t="shared" si="77"/>
        <v>0</v>
      </c>
      <c r="N130" s="68">
        <f t="shared" si="77"/>
        <v>0</v>
      </c>
      <c r="O130" s="68">
        <f t="shared" si="77"/>
        <v>0</v>
      </c>
      <c r="P130" s="68">
        <f t="shared" si="77"/>
        <v>0</v>
      </c>
      <c r="Q130" s="68">
        <f t="shared" si="77"/>
        <v>0</v>
      </c>
    </row>
    <row r="131" spans="2:17" ht="12.75" customHeight="1">
      <c r="B131" s="1" t="s">
        <v>138</v>
      </c>
      <c r="J131" s="190"/>
      <c r="K131" s="190">
        <v>0</v>
      </c>
      <c r="L131" s="68">
        <f t="shared" si="77"/>
        <v>0</v>
      </c>
      <c r="M131" s="68">
        <f t="shared" si="77"/>
        <v>0</v>
      </c>
      <c r="N131" s="68">
        <f t="shared" si="77"/>
        <v>0</v>
      </c>
      <c r="O131" s="68">
        <f t="shared" si="77"/>
        <v>0</v>
      </c>
      <c r="P131" s="68">
        <f t="shared" si="77"/>
        <v>0</v>
      </c>
      <c r="Q131" s="68">
        <f t="shared" si="77"/>
        <v>0</v>
      </c>
    </row>
    <row r="132" spans="2:17" ht="12.75" customHeight="1">
      <c r="B132" s="151" t="s">
        <v>87</v>
      </c>
      <c r="J132" s="68"/>
      <c r="K132" s="1121">
        <f>SUM(K128:K131)</f>
        <v>0</v>
      </c>
      <c r="L132" s="1121">
        <f t="shared" ref="L132:Q132" ca="1" si="78">SUM(L128:L131)</f>
        <v>0</v>
      </c>
      <c r="M132" s="1121">
        <f t="shared" ca="1" si="78"/>
        <v>0</v>
      </c>
      <c r="N132" s="1121">
        <f t="shared" ca="1" si="78"/>
        <v>0</v>
      </c>
      <c r="O132" s="1121">
        <f t="shared" ca="1" si="78"/>
        <v>0</v>
      </c>
      <c r="P132" s="1121">
        <f t="shared" ca="1" si="78"/>
        <v>0</v>
      </c>
      <c r="Q132" s="1121">
        <f t="shared" ca="1" si="78"/>
        <v>0</v>
      </c>
    </row>
    <row r="133" spans="2:17" ht="12.75" customHeight="1">
      <c r="B133" s="3" t="s">
        <v>52</v>
      </c>
      <c r="J133" s="68"/>
      <c r="K133" s="161">
        <f t="shared" ref="K133:Q135" si="79">K76</f>
        <v>0.2</v>
      </c>
      <c r="L133" s="161">
        <f t="shared" si="79"/>
        <v>0.2</v>
      </c>
      <c r="M133" s="161">
        <f t="shared" si="79"/>
        <v>0.2</v>
      </c>
      <c r="N133" s="161">
        <f t="shared" si="79"/>
        <v>0.2</v>
      </c>
      <c r="O133" s="161">
        <f t="shared" si="79"/>
        <v>0.2</v>
      </c>
      <c r="P133" s="161">
        <f t="shared" si="79"/>
        <v>0.2</v>
      </c>
      <c r="Q133" s="161">
        <f t="shared" si="79"/>
        <v>0.2</v>
      </c>
    </row>
    <row r="134" spans="2:17" ht="12.75" customHeight="1">
      <c r="B134" s="3" t="s">
        <v>53</v>
      </c>
      <c r="J134" s="68"/>
      <c r="K134" s="161">
        <f t="shared" si="79"/>
        <v>0</v>
      </c>
      <c r="L134" s="161">
        <f t="shared" si="79"/>
        <v>0</v>
      </c>
      <c r="M134" s="161">
        <f t="shared" si="79"/>
        <v>0</v>
      </c>
      <c r="N134" s="161">
        <f t="shared" si="79"/>
        <v>0</v>
      </c>
      <c r="O134" s="161">
        <f t="shared" si="79"/>
        <v>0</v>
      </c>
      <c r="P134" s="161">
        <f t="shared" si="79"/>
        <v>0</v>
      </c>
      <c r="Q134" s="161">
        <f t="shared" si="79"/>
        <v>0</v>
      </c>
    </row>
    <row r="135" spans="2:17" ht="12.75" customHeight="1">
      <c r="B135" s="3" t="s">
        <v>150</v>
      </c>
      <c r="J135" s="68"/>
      <c r="K135" s="268">
        <f t="shared" si="79"/>
        <v>68.358719999999991</v>
      </c>
      <c r="L135" s="268">
        <f t="shared" ca="1" si="79"/>
        <v>79.498413782091419</v>
      </c>
      <c r="M135" s="268">
        <f t="shared" ca="1" si="79"/>
        <v>91.804692747459328</v>
      </c>
      <c r="N135" s="268">
        <f t="shared" ca="1" si="79"/>
        <v>105.39288438426883</v>
      </c>
      <c r="O135" s="268">
        <f t="shared" ca="1" si="79"/>
        <v>120.39137263884342</v>
      </c>
      <c r="P135" s="268">
        <f t="shared" ca="1" si="79"/>
        <v>136.9413805760432</v>
      </c>
      <c r="Q135" s="268">
        <f t="shared" ca="1" si="79"/>
        <v>155.19825429383829</v>
      </c>
    </row>
    <row r="136" spans="2:17" ht="12.75" customHeight="1">
      <c r="B136" s="151" t="s">
        <v>88</v>
      </c>
      <c r="J136" s="146"/>
      <c r="K136" s="68">
        <f t="shared" ref="K136:Q136" si="80">SUM(K132:K135)</f>
        <v>68.558719999999994</v>
      </c>
      <c r="L136" s="1121">
        <f t="shared" ca="1" si="80"/>
        <v>79.698413782091421</v>
      </c>
      <c r="M136" s="1121">
        <f t="shared" ca="1" si="80"/>
        <v>92.00469274745933</v>
      </c>
      <c r="N136" s="1121">
        <f t="shared" ca="1" si="80"/>
        <v>105.59288438426883</v>
      </c>
      <c r="O136" s="1121">
        <f t="shared" ca="1" si="80"/>
        <v>120.59137263884342</v>
      </c>
      <c r="P136" s="1121">
        <f t="shared" ca="1" si="80"/>
        <v>137.14138057604319</v>
      </c>
      <c r="Q136" s="1121">
        <f t="shared" ca="1" si="80"/>
        <v>155.39825429383828</v>
      </c>
    </row>
    <row r="137" spans="2:17" ht="12.75" customHeight="1">
      <c r="J137" s="299"/>
      <c r="K137" s="68"/>
      <c r="L137" s="68"/>
      <c r="M137" s="68"/>
      <c r="N137" s="68"/>
      <c r="O137" s="68"/>
      <c r="P137" s="68"/>
      <c r="Q137" s="68"/>
    </row>
    <row r="138" spans="2:17" ht="12.75" customHeight="1">
      <c r="B138" s="139" t="s">
        <v>89</v>
      </c>
      <c r="K138" s="161"/>
      <c r="L138" s="161"/>
      <c r="M138" s="161"/>
      <c r="N138" s="161"/>
      <c r="O138" s="161"/>
      <c r="P138" s="161"/>
      <c r="Q138" s="161"/>
    </row>
    <row r="139" spans="2:17" ht="12.75" customHeight="1">
      <c r="B139" s="3" t="str">
        <f>B129</f>
        <v>Term Loan</v>
      </c>
      <c r="K139" s="201">
        <v>0</v>
      </c>
      <c r="L139" s="201">
        <v>0</v>
      </c>
      <c r="M139" s="201">
        <v>0</v>
      </c>
      <c r="N139" s="201">
        <v>0</v>
      </c>
      <c r="O139" s="201">
        <v>0</v>
      </c>
      <c r="P139" s="201">
        <v>0</v>
      </c>
      <c r="Q139" s="201">
        <v>0</v>
      </c>
    </row>
    <row r="140" spans="2:17" ht="12.75" customHeight="1">
      <c r="B140" s="3" t="str">
        <f>B130</f>
        <v>Senior Notes</v>
      </c>
      <c r="K140" s="201">
        <v>0</v>
      </c>
      <c r="L140" s="201">
        <v>0</v>
      </c>
      <c r="M140" s="201">
        <v>0</v>
      </c>
      <c r="N140" s="201">
        <v>0</v>
      </c>
      <c r="O140" s="201">
        <v>0</v>
      </c>
      <c r="P140" s="201">
        <v>0</v>
      </c>
      <c r="Q140" s="201">
        <v>0</v>
      </c>
    </row>
    <row r="141" spans="2:17" ht="12.75" customHeight="1">
      <c r="B141" s="3" t="str">
        <f>B131</f>
        <v>Subordinated Notes</v>
      </c>
      <c r="K141" s="201">
        <v>0</v>
      </c>
      <c r="L141" s="201">
        <v>0</v>
      </c>
      <c r="M141" s="201">
        <v>0</v>
      </c>
      <c r="N141" s="201">
        <v>0</v>
      </c>
      <c r="O141" s="201">
        <v>0</v>
      </c>
      <c r="P141" s="201">
        <v>0</v>
      </c>
      <c r="Q141" s="201">
        <v>0</v>
      </c>
    </row>
    <row r="142" spans="2:17" ht="12.75" customHeight="1">
      <c r="B142" s="151" t="s">
        <v>90</v>
      </c>
      <c r="K142" s="1121">
        <f>SUM(K139:K141)</f>
        <v>0</v>
      </c>
      <c r="L142" s="1121">
        <f t="shared" ref="L142:Q142" si="81">SUM(L139:L141)</f>
        <v>0</v>
      </c>
      <c r="M142" s="1121">
        <f t="shared" si="81"/>
        <v>0</v>
      </c>
      <c r="N142" s="1121">
        <f t="shared" si="81"/>
        <v>0</v>
      </c>
      <c r="O142" s="1121">
        <f t="shared" si="81"/>
        <v>0</v>
      </c>
      <c r="P142" s="1121">
        <f t="shared" si="81"/>
        <v>0</v>
      </c>
      <c r="Q142" s="1121">
        <f t="shared" si="81"/>
        <v>0</v>
      </c>
    </row>
    <row r="143" spans="2:17" ht="12.75" customHeight="1">
      <c r="K143" s="161"/>
      <c r="L143" s="68"/>
      <c r="M143" s="68"/>
      <c r="N143" s="68"/>
      <c r="O143" s="68"/>
      <c r="P143" s="68"/>
      <c r="Q143" s="68"/>
    </row>
    <row r="144" spans="2:17" ht="12.75" customHeight="1">
      <c r="B144" s="139" t="s">
        <v>121</v>
      </c>
      <c r="C144" s="139"/>
      <c r="E144" s="142"/>
      <c r="F144" s="4"/>
      <c r="G144" s="4"/>
      <c r="H144" s="4"/>
      <c r="K144" s="161"/>
      <c r="L144" s="161"/>
      <c r="M144" s="161"/>
      <c r="N144" s="161"/>
      <c r="O144" s="161"/>
      <c r="P144" s="161"/>
      <c r="Q144" s="161"/>
    </row>
    <row r="145" spans="1:17" ht="12.75" customHeight="1">
      <c r="B145" s="3" t="str">
        <f>B128</f>
        <v>Revolver</v>
      </c>
      <c r="E145" s="779"/>
      <c r="F145" s="956" t="s">
        <v>373</v>
      </c>
      <c r="G145" s="4"/>
      <c r="H145" s="4"/>
      <c r="K145" s="161"/>
      <c r="L145" s="161">
        <f t="shared" ref="L145:Q145" ca="1" si="82">AVERAGE(K128:L128)*L165</f>
        <v>0</v>
      </c>
      <c r="M145" s="161">
        <f t="shared" ca="1" si="82"/>
        <v>0</v>
      </c>
      <c r="N145" s="161">
        <f t="shared" ca="1" si="82"/>
        <v>0</v>
      </c>
      <c r="O145" s="161">
        <f t="shared" ca="1" si="82"/>
        <v>0</v>
      </c>
      <c r="P145" s="161">
        <f t="shared" ca="1" si="82"/>
        <v>0</v>
      </c>
      <c r="Q145" s="161">
        <f t="shared" ca="1" si="82"/>
        <v>0</v>
      </c>
    </row>
    <row r="146" spans="1:17" ht="12.75" customHeight="1">
      <c r="B146" s="3" t="s">
        <v>452</v>
      </c>
      <c r="E146" s="779"/>
      <c r="F146" s="1155">
        <v>250</v>
      </c>
      <c r="G146" s="4"/>
      <c r="H146" s="4"/>
      <c r="K146" s="161"/>
      <c r="L146" s="68">
        <f t="shared" ref="L146:Q146" ca="1" si="83">($F146-AVERAGE(K128:L128))*L166</f>
        <v>0</v>
      </c>
      <c r="M146" s="68">
        <f t="shared" ca="1" si="83"/>
        <v>0</v>
      </c>
      <c r="N146" s="68">
        <f t="shared" ca="1" si="83"/>
        <v>0</v>
      </c>
      <c r="O146" s="68">
        <f t="shared" ca="1" si="83"/>
        <v>0</v>
      </c>
      <c r="P146" s="68">
        <f t="shared" ca="1" si="83"/>
        <v>0</v>
      </c>
      <c r="Q146" s="68">
        <f t="shared" ca="1" si="83"/>
        <v>0</v>
      </c>
    </row>
    <row r="147" spans="1:17" ht="12.75" customHeight="1">
      <c r="B147" s="3" t="str">
        <f>B129</f>
        <v>Term Loan</v>
      </c>
      <c r="E147" s="779"/>
      <c r="F147" s="1156"/>
      <c r="G147" s="4"/>
      <c r="H147" s="4"/>
      <c r="K147" s="161"/>
      <c r="L147" s="68">
        <f t="shared" ref="L147:Q149" si="84">AVERAGE(K129:L129)*L167</f>
        <v>0</v>
      </c>
      <c r="M147" s="68">
        <f t="shared" si="84"/>
        <v>0</v>
      </c>
      <c r="N147" s="68">
        <f t="shared" si="84"/>
        <v>0</v>
      </c>
      <c r="O147" s="68">
        <f t="shared" si="84"/>
        <v>0</v>
      </c>
      <c r="P147" s="68">
        <f t="shared" si="84"/>
        <v>0</v>
      </c>
      <c r="Q147" s="68">
        <f t="shared" si="84"/>
        <v>0</v>
      </c>
    </row>
    <row r="148" spans="1:17" ht="12.75" customHeight="1">
      <c r="B148" s="3" t="str">
        <f>B130</f>
        <v>Senior Notes</v>
      </c>
      <c r="E148" s="779"/>
      <c r="F148" s="653"/>
      <c r="G148" s="4"/>
      <c r="H148" s="4"/>
      <c r="K148" s="161"/>
      <c r="L148" s="68">
        <f t="shared" si="84"/>
        <v>0</v>
      </c>
      <c r="M148" s="68">
        <f t="shared" si="84"/>
        <v>0</v>
      </c>
      <c r="N148" s="68">
        <f t="shared" si="84"/>
        <v>0</v>
      </c>
      <c r="O148" s="68">
        <f t="shared" si="84"/>
        <v>0</v>
      </c>
      <c r="P148" s="68">
        <f t="shared" si="84"/>
        <v>0</v>
      </c>
      <c r="Q148" s="68">
        <f t="shared" si="84"/>
        <v>0</v>
      </c>
    </row>
    <row r="149" spans="1:17" ht="12.75" customHeight="1">
      <c r="B149" s="3" t="str">
        <f>B131</f>
        <v>Subordinated Notes</v>
      </c>
      <c r="E149" s="779"/>
      <c r="F149" s="653"/>
      <c r="G149" s="4"/>
      <c r="H149" s="4"/>
      <c r="K149" s="161"/>
      <c r="L149" s="68">
        <f t="shared" si="84"/>
        <v>0</v>
      </c>
      <c r="M149" s="68">
        <f t="shared" si="84"/>
        <v>0</v>
      </c>
      <c r="N149" s="68">
        <f t="shared" si="84"/>
        <v>0</v>
      </c>
      <c r="O149" s="68">
        <f t="shared" si="84"/>
        <v>0</v>
      </c>
      <c r="P149" s="68">
        <f t="shared" si="84"/>
        <v>0</v>
      </c>
      <c r="Q149" s="68">
        <f t="shared" si="84"/>
        <v>0</v>
      </c>
    </row>
    <row r="150" spans="1:17" ht="12.75" customHeight="1">
      <c r="B150" s="3" t="s">
        <v>49</v>
      </c>
      <c r="E150" s="779"/>
      <c r="F150" s="4"/>
      <c r="G150" s="4"/>
      <c r="H150" s="4"/>
      <c r="K150" s="161"/>
      <c r="L150" s="190">
        <v>0</v>
      </c>
      <c r="M150" s="190">
        <v>0</v>
      </c>
      <c r="N150" s="190">
        <v>0</v>
      </c>
      <c r="O150" s="190">
        <v>0</v>
      </c>
      <c r="P150" s="190">
        <v>0</v>
      </c>
      <c r="Q150" s="190">
        <v>0</v>
      </c>
    </row>
    <row r="151" spans="1:17" ht="12.75" customHeight="1">
      <c r="B151" s="151" t="s">
        <v>92</v>
      </c>
      <c r="C151" s="151"/>
      <c r="E151" s="779"/>
      <c r="F151" s="4"/>
      <c r="G151" s="4"/>
      <c r="H151" s="4"/>
      <c r="K151" s="161"/>
      <c r="L151" s="1157">
        <f t="shared" ref="L151:Q151" ca="1" si="85">SUM(L145:L150)</f>
        <v>0</v>
      </c>
      <c r="M151" s="1158">
        <f t="shared" ca="1" si="85"/>
        <v>0</v>
      </c>
      <c r="N151" s="1158">
        <f t="shared" ca="1" si="85"/>
        <v>0</v>
      </c>
      <c r="O151" s="1158">
        <f t="shared" ca="1" si="85"/>
        <v>0</v>
      </c>
      <c r="P151" s="1159">
        <f t="shared" ca="1" si="85"/>
        <v>0</v>
      </c>
      <c r="Q151" s="1159">
        <f t="shared" ca="1" si="85"/>
        <v>0</v>
      </c>
    </row>
    <row r="152" spans="1:17" ht="12.75" customHeight="1">
      <c r="B152" s="3" t="s">
        <v>343</v>
      </c>
      <c r="E152" s="779"/>
      <c r="F152" s="1160"/>
      <c r="G152" s="4"/>
      <c r="H152" s="4"/>
      <c r="K152" s="161"/>
      <c r="L152" s="268">
        <f t="shared" ref="L152:Q152" ca="1" si="86">-AVERAGE(K58:L58)*L170</f>
        <v>-0.22053304278856189</v>
      </c>
      <c r="M152" s="268">
        <f t="shared" ca="1" si="86"/>
        <v>-0.27597995382387691</v>
      </c>
      <c r="N152" s="268">
        <f t="shared" ca="1" si="86"/>
        <v>-0.33519684907932046</v>
      </c>
      <c r="O152" s="268">
        <f t="shared" ca="1" si="86"/>
        <v>-0.40059233943278066</v>
      </c>
      <c r="P152" s="268">
        <f t="shared" ca="1" si="86"/>
        <v>-0.47278524959971663</v>
      </c>
      <c r="Q152" s="268">
        <f t="shared" ca="1" si="86"/>
        <v>-0.5524562903934539</v>
      </c>
    </row>
    <row r="153" spans="1:17" ht="12.75" customHeight="1">
      <c r="B153" s="151" t="s">
        <v>75</v>
      </c>
      <c r="C153" s="151"/>
      <c r="E153" s="4"/>
      <c r="F153" s="4"/>
      <c r="G153" s="4"/>
      <c r="H153" s="4"/>
      <c r="K153" s="161"/>
      <c r="L153" s="1157">
        <f t="shared" ref="L153:Q153" ca="1" si="87">SUM(L151:L152)</f>
        <v>-0.22053304278856189</v>
      </c>
      <c r="M153" s="1157">
        <f t="shared" ca="1" si="87"/>
        <v>-0.27597995382387691</v>
      </c>
      <c r="N153" s="1157">
        <f t="shared" ca="1" si="87"/>
        <v>-0.33519684907932046</v>
      </c>
      <c r="O153" s="1157">
        <f t="shared" ca="1" si="87"/>
        <v>-0.40059233943278066</v>
      </c>
      <c r="P153" s="1157">
        <f t="shared" ca="1" si="87"/>
        <v>-0.47278524959971663</v>
      </c>
      <c r="Q153" s="1157">
        <f t="shared" ca="1" si="87"/>
        <v>-0.5524562903934539</v>
      </c>
    </row>
    <row r="154" spans="1:17" ht="12.75" customHeight="1">
      <c r="L154" s="294"/>
      <c r="M154" s="294"/>
      <c r="N154" s="294"/>
      <c r="O154" s="294"/>
      <c r="P154" s="294"/>
      <c r="Q154" s="294"/>
    </row>
    <row r="155" spans="1:17" ht="15.95" customHeight="1" collapsed="1" thickBot="1">
      <c r="A155" s="4" t="s">
        <v>167</v>
      </c>
      <c r="B155" s="628" t="s">
        <v>468</v>
      </c>
      <c r="C155" s="628"/>
      <c r="D155" s="629"/>
      <c r="E155" s="629"/>
      <c r="F155" s="629"/>
      <c r="G155" s="629"/>
      <c r="H155" s="629"/>
      <c r="I155" s="629"/>
      <c r="J155" s="629"/>
      <c r="K155" s="629"/>
      <c r="L155" s="629"/>
      <c r="M155" s="629"/>
      <c r="N155" s="629"/>
      <c r="O155" s="630"/>
      <c r="P155" s="630"/>
      <c r="Q155" s="630"/>
    </row>
    <row r="156" spans="1:17" ht="15" customHeight="1">
      <c r="B156" s="640" t="str">
        <f>+B7</f>
        <v>Fiscal Year Ended December 31,</v>
      </c>
      <c r="C156" s="640"/>
      <c r="D156" s="640"/>
      <c r="E156" s="640"/>
      <c r="F156" s="640"/>
      <c r="G156" s="640"/>
      <c r="H156" s="640"/>
      <c r="I156" s="959"/>
      <c r="J156" s="959"/>
      <c r="K156" s="1147"/>
      <c r="L156" s="1148">
        <f t="shared" ref="L156:Q156" si="88">L7</f>
        <v>2019</v>
      </c>
      <c r="M156" s="960">
        <f t="shared" si="88"/>
        <v>2020</v>
      </c>
      <c r="N156" s="960">
        <f t="shared" si="88"/>
        <v>2021</v>
      </c>
      <c r="O156" s="960">
        <f t="shared" si="88"/>
        <v>2022</v>
      </c>
      <c r="P156" s="960">
        <f t="shared" si="88"/>
        <v>2023</v>
      </c>
      <c r="Q156" s="960">
        <f t="shared" si="88"/>
        <v>2024</v>
      </c>
    </row>
    <row r="157" spans="1:17" ht="15" customHeight="1">
      <c r="B157" s="139" t="s">
        <v>453</v>
      </c>
      <c r="J157" s="200"/>
      <c r="K157" s="200"/>
      <c r="L157" s="200"/>
      <c r="M157" s="200"/>
      <c r="N157" s="200"/>
      <c r="O157" s="200"/>
      <c r="P157" s="200"/>
      <c r="Q157" s="200"/>
    </row>
    <row r="158" spans="1:17" ht="12.75" customHeight="1">
      <c r="B158" s="3" t="s">
        <v>454</v>
      </c>
      <c r="J158" s="200"/>
      <c r="K158" s="200"/>
      <c r="L158" s="780">
        <v>260</v>
      </c>
      <c r="M158" s="970">
        <f>+L160</f>
        <v>260</v>
      </c>
      <c r="N158" s="970">
        <f>+M160</f>
        <v>270</v>
      </c>
      <c r="O158" s="970">
        <f>+N160</f>
        <v>280</v>
      </c>
      <c r="P158" s="970">
        <f>+O160</f>
        <v>290</v>
      </c>
      <c r="Q158" s="970">
        <f>+P160</f>
        <v>300</v>
      </c>
    </row>
    <row r="159" spans="1:17" ht="12.75" customHeight="1">
      <c r="B159" s="3" t="s">
        <v>455</v>
      </c>
      <c r="J159" s="200"/>
      <c r="K159" s="200"/>
      <c r="L159" s="780">
        <f>+AVERAGE(L158,L160)</f>
        <v>260</v>
      </c>
      <c r="M159" s="780">
        <f t="shared" ref="M159:Q159" si="89">+AVERAGE(M158,M160)</f>
        <v>265</v>
      </c>
      <c r="N159" s="780">
        <f t="shared" si="89"/>
        <v>275</v>
      </c>
      <c r="O159" s="780">
        <f t="shared" si="89"/>
        <v>285</v>
      </c>
      <c r="P159" s="780">
        <f t="shared" si="89"/>
        <v>295</v>
      </c>
      <c r="Q159" s="780">
        <f t="shared" si="89"/>
        <v>305</v>
      </c>
    </row>
    <row r="160" spans="1:17" ht="12.75" customHeight="1">
      <c r="B160" s="3" t="s">
        <v>456</v>
      </c>
      <c r="J160" s="200"/>
      <c r="K160" s="200"/>
      <c r="L160" s="780">
        <v>260</v>
      </c>
      <c r="M160" s="780">
        <v>270</v>
      </c>
      <c r="N160" s="780">
        <v>280</v>
      </c>
      <c r="O160" s="780">
        <v>290</v>
      </c>
      <c r="P160" s="780">
        <v>300</v>
      </c>
      <c r="Q160" s="780">
        <v>310</v>
      </c>
    </row>
    <row r="161" spans="1:17" ht="12.75" customHeight="1">
      <c r="B161" s="151" t="s">
        <v>457</v>
      </c>
      <c r="J161" s="200"/>
      <c r="K161" s="200"/>
      <c r="L161" s="1161">
        <f t="shared" ref="L161:Q161" si="90">AVERAGE(L158:L160)</f>
        <v>260</v>
      </c>
      <c r="M161" s="1162">
        <f t="shared" si="90"/>
        <v>265</v>
      </c>
      <c r="N161" s="1162">
        <f t="shared" si="90"/>
        <v>275</v>
      </c>
      <c r="O161" s="1162">
        <f t="shared" si="90"/>
        <v>285</v>
      </c>
      <c r="P161" s="1162">
        <f t="shared" si="90"/>
        <v>295</v>
      </c>
      <c r="Q161" s="1163">
        <f t="shared" si="90"/>
        <v>305</v>
      </c>
    </row>
    <row r="162" spans="1:17" ht="12.75" customHeight="1">
      <c r="B162" s="151"/>
      <c r="J162" s="200"/>
      <c r="K162" s="200"/>
      <c r="L162" s="200"/>
      <c r="M162" s="200"/>
      <c r="N162" s="200"/>
      <c r="O162" s="200"/>
      <c r="P162" s="200"/>
      <c r="Q162" s="200"/>
    </row>
    <row r="163" spans="1:17" ht="12.75" customHeight="1">
      <c r="B163" s="151"/>
      <c r="E163" s="142" t="s">
        <v>466</v>
      </c>
      <c r="G163" s="363" t="s">
        <v>460</v>
      </c>
      <c r="H163" s="363"/>
      <c r="J163" s="200"/>
      <c r="K163" s="200"/>
      <c r="L163" s="200"/>
      <c r="M163" s="200"/>
      <c r="N163" s="200"/>
      <c r="O163" s="200"/>
      <c r="P163" s="200"/>
      <c r="Q163" s="200"/>
    </row>
    <row r="164" spans="1:17" ht="12.75" customHeight="1">
      <c r="B164" s="379" t="s">
        <v>458</v>
      </c>
      <c r="E164" s="142" t="s">
        <v>463</v>
      </c>
      <c r="F164" s="104" t="s">
        <v>467</v>
      </c>
      <c r="G164" s="104" t="s">
        <v>461</v>
      </c>
      <c r="H164" s="104" t="s">
        <v>462</v>
      </c>
      <c r="J164" s="200"/>
      <c r="K164" s="200"/>
      <c r="L164" s="200"/>
      <c r="M164" s="200"/>
      <c r="N164" s="200"/>
      <c r="O164" s="200"/>
      <c r="P164" s="200"/>
      <c r="Q164" s="200"/>
    </row>
    <row r="165" spans="1:17" ht="12.75" customHeight="1">
      <c r="B165" s="160" t="str">
        <f>+B145</f>
        <v>Revolver</v>
      </c>
      <c r="E165" s="1164" t="s">
        <v>464</v>
      </c>
      <c r="F165" s="1165">
        <v>0</v>
      </c>
      <c r="G165" s="1166">
        <v>250</v>
      </c>
      <c r="H165" s="1167">
        <v>0.02</v>
      </c>
      <c r="J165" s="200"/>
      <c r="K165" s="200"/>
      <c r="L165" s="1006">
        <f t="shared" ref="L165:Q170" si="91">IF($E165="F",$F165,(MAX(L$161,$H165)+$G165)/10000)</f>
        <v>5.0999999999999997E-2</v>
      </c>
      <c r="M165" s="1006">
        <f t="shared" si="91"/>
        <v>5.1499999999999997E-2</v>
      </c>
      <c r="N165" s="1006">
        <f t="shared" si="91"/>
        <v>5.2499999999999998E-2</v>
      </c>
      <c r="O165" s="1006">
        <f t="shared" si="91"/>
        <v>5.3499999999999999E-2</v>
      </c>
      <c r="P165" s="1006">
        <f t="shared" si="91"/>
        <v>5.45E-2</v>
      </c>
      <c r="Q165" s="1006">
        <f t="shared" si="91"/>
        <v>5.5500000000000001E-2</v>
      </c>
    </row>
    <row r="166" spans="1:17" ht="12.75" customHeight="1">
      <c r="B166" s="160" t="str">
        <f>+B146</f>
        <v>Undrawn Revolver Fee</v>
      </c>
      <c r="E166" s="778" t="s">
        <v>465</v>
      </c>
      <c r="F166" s="779">
        <v>0</v>
      </c>
      <c r="G166" s="780">
        <v>25</v>
      </c>
      <c r="H166" s="780">
        <v>0.02</v>
      </c>
      <c r="J166" s="200"/>
      <c r="K166" s="200"/>
      <c r="L166" s="1006">
        <f t="shared" si="91"/>
        <v>0</v>
      </c>
      <c r="M166" s="1006">
        <f t="shared" si="91"/>
        <v>0</v>
      </c>
      <c r="N166" s="1006">
        <f t="shared" si="91"/>
        <v>0</v>
      </c>
      <c r="O166" s="1006">
        <f t="shared" si="91"/>
        <v>0</v>
      </c>
      <c r="P166" s="1006">
        <f t="shared" si="91"/>
        <v>0</v>
      </c>
      <c r="Q166" s="1006">
        <f t="shared" si="91"/>
        <v>0</v>
      </c>
    </row>
    <row r="167" spans="1:17" ht="12.75" customHeight="1">
      <c r="B167" s="160" t="str">
        <f>+B147</f>
        <v>Term Loan</v>
      </c>
      <c r="E167" s="778" t="s">
        <v>464</v>
      </c>
      <c r="F167" s="779">
        <v>0</v>
      </c>
      <c r="G167" s="780">
        <v>400</v>
      </c>
      <c r="H167" s="780">
        <v>100</v>
      </c>
      <c r="J167" s="200"/>
      <c r="K167" s="200"/>
      <c r="L167" s="1006">
        <f t="shared" si="91"/>
        <v>6.6000000000000003E-2</v>
      </c>
      <c r="M167" s="1006">
        <f t="shared" si="91"/>
        <v>6.6500000000000004E-2</v>
      </c>
      <c r="N167" s="1006">
        <f t="shared" si="91"/>
        <v>6.7500000000000004E-2</v>
      </c>
      <c r="O167" s="1006">
        <f t="shared" si="91"/>
        <v>6.8500000000000005E-2</v>
      </c>
      <c r="P167" s="1006">
        <f t="shared" si="91"/>
        <v>6.9500000000000006E-2</v>
      </c>
      <c r="Q167" s="1006">
        <f t="shared" si="91"/>
        <v>7.0499999999999993E-2</v>
      </c>
    </row>
    <row r="168" spans="1:17" ht="12.75" customHeight="1">
      <c r="B168" s="160" t="str">
        <f>+B148</f>
        <v>Senior Notes</v>
      </c>
      <c r="E168" s="778" t="s">
        <v>465</v>
      </c>
      <c r="F168" s="779">
        <v>0.05</v>
      </c>
      <c r="G168" s="780">
        <v>0</v>
      </c>
      <c r="H168" s="780">
        <v>0</v>
      </c>
      <c r="J168" s="200"/>
      <c r="K168" s="200"/>
      <c r="L168" s="1006">
        <f t="shared" si="91"/>
        <v>0.05</v>
      </c>
      <c r="M168" s="1006">
        <f t="shared" si="91"/>
        <v>0.05</v>
      </c>
      <c r="N168" s="1006">
        <f t="shared" si="91"/>
        <v>0.05</v>
      </c>
      <c r="O168" s="1006">
        <f t="shared" si="91"/>
        <v>0.05</v>
      </c>
      <c r="P168" s="1006">
        <f t="shared" si="91"/>
        <v>0.05</v>
      </c>
      <c r="Q168" s="1006">
        <f t="shared" si="91"/>
        <v>0.05</v>
      </c>
    </row>
    <row r="169" spans="1:17" ht="12.75" customHeight="1">
      <c r="B169" s="160" t="str">
        <f>+B149</f>
        <v>Subordinated Notes</v>
      </c>
      <c r="E169" s="778" t="s">
        <v>465</v>
      </c>
      <c r="F169" s="779">
        <v>0.08</v>
      </c>
      <c r="G169" s="780">
        <v>0</v>
      </c>
      <c r="H169" s="780">
        <v>0.02</v>
      </c>
      <c r="J169" s="200"/>
      <c r="K169" s="200"/>
      <c r="L169" s="1006">
        <f t="shared" si="91"/>
        <v>0.08</v>
      </c>
      <c r="M169" s="1006">
        <f t="shared" si="91"/>
        <v>0.08</v>
      </c>
      <c r="N169" s="1006">
        <f t="shared" si="91"/>
        <v>0.08</v>
      </c>
      <c r="O169" s="1006">
        <f t="shared" si="91"/>
        <v>0.08</v>
      </c>
      <c r="P169" s="1006">
        <f t="shared" si="91"/>
        <v>0.08</v>
      </c>
      <c r="Q169" s="1006">
        <f t="shared" si="91"/>
        <v>0.08</v>
      </c>
    </row>
    <row r="170" spans="1:17" ht="12.75" customHeight="1">
      <c r="B170" s="160" t="str">
        <f>+B152</f>
        <v>Interest Income</v>
      </c>
      <c r="E170" s="778" t="s">
        <v>465</v>
      </c>
      <c r="F170" s="779">
        <v>5.0000000000000001E-3</v>
      </c>
      <c r="G170" s="780">
        <v>0</v>
      </c>
      <c r="H170" s="780">
        <v>0.02</v>
      </c>
      <c r="J170" s="200"/>
      <c r="K170" s="200"/>
      <c r="L170" s="1006">
        <f t="shared" si="91"/>
        <v>5.0000000000000001E-3</v>
      </c>
      <c r="M170" s="1006">
        <f t="shared" si="91"/>
        <v>5.0000000000000001E-3</v>
      </c>
      <c r="N170" s="1006">
        <f t="shared" si="91"/>
        <v>5.0000000000000001E-3</v>
      </c>
      <c r="O170" s="1006">
        <f t="shared" si="91"/>
        <v>5.0000000000000001E-3</v>
      </c>
      <c r="P170" s="1006">
        <f t="shared" si="91"/>
        <v>5.0000000000000001E-3</v>
      </c>
      <c r="Q170" s="1006">
        <f t="shared" si="91"/>
        <v>5.0000000000000001E-3</v>
      </c>
    </row>
    <row r="171" spans="1:17" ht="12.75" customHeight="1">
      <c r="J171" s="200"/>
      <c r="K171" s="200"/>
      <c r="L171" s="200"/>
      <c r="M171" s="200"/>
      <c r="N171" s="200"/>
      <c r="O171" s="200"/>
      <c r="P171" s="200"/>
      <c r="Q171" s="200"/>
    </row>
    <row r="172" spans="1:17" ht="15.95" customHeight="1" collapsed="1" thickBot="1">
      <c r="A172" s="4" t="s">
        <v>167</v>
      </c>
      <c r="B172" s="628" t="s">
        <v>449</v>
      </c>
      <c r="C172" s="628"/>
      <c r="D172" s="629"/>
      <c r="E172" s="629"/>
      <c r="F172" s="629"/>
      <c r="G172" s="629"/>
      <c r="H172" s="629"/>
      <c r="I172" s="629"/>
      <c r="J172" s="629"/>
      <c r="K172" s="629"/>
      <c r="L172" s="629"/>
      <c r="M172" s="629"/>
      <c r="N172" s="629"/>
      <c r="O172" s="630"/>
      <c r="P172" s="630"/>
      <c r="Q172" s="630"/>
    </row>
    <row r="173" spans="1:17" ht="15" customHeight="1">
      <c r="B173" s="895" t="str">
        <f>+B7</f>
        <v>Fiscal Year Ended December 31,</v>
      </c>
      <c r="C173" s="1146"/>
      <c r="D173" s="1146"/>
      <c r="E173" s="1146"/>
      <c r="F173" s="1146"/>
      <c r="G173" s="1146"/>
      <c r="H173" s="1146"/>
      <c r="I173" s="959"/>
      <c r="J173" s="959">
        <f t="shared" ref="J173:Q173" si="92">J7</f>
        <v>2017</v>
      </c>
      <c r="K173" s="1147">
        <f t="shared" si="92"/>
        <v>2018</v>
      </c>
      <c r="L173" s="1148">
        <f t="shared" si="92"/>
        <v>2019</v>
      </c>
      <c r="M173" s="960">
        <f t="shared" si="92"/>
        <v>2020</v>
      </c>
      <c r="N173" s="960">
        <f t="shared" si="92"/>
        <v>2021</v>
      </c>
      <c r="O173" s="960">
        <f t="shared" si="92"/>
        <v>2022</v>
      </c>
      <c r="P173" s="960">
        <f t="shared" si="92"/>
        <v>2023</v>
      </c>
      <c r="Q173" s="960">
        <f t="shared" si="92"/>
        <v>2024</v>
      </c>
    </row>
    <row r="174" spans="1:17" ht="15" customHeight="1">
      <c r="B174" s="3" t="s">
        <v>61</v>
      </c>
      <c r="J174" s="200">
        <f t="shared" ref="J174:Q174" si="93">IF((J70+J74+SUM(J76:J78))&gt;0,(J70+J74)/(J70+J74+SUM(J76:J78)),"NM")</f>
        <v>0.16586074515398166</v>
      </c>
      <c r="K174" s="200">
        <f t="shared" si="93"/>
        <v>0.16150194731844394</v>
      </c>
      <c r="L174" s="200">
        <f t="shared" ca="1" si="93"/>
        <v>0</v>
      </c>
      <c r="M174" s="200">
        <f t="shared" ca="1" si="93"/>
        <v>0</v>
      </c>
      <c r="N174" s="200">
        <f t="shared" ca="1" si="93"/>
        <v>0</v>
      </c>
      <c r="O174" s="200">
        <f t="shared" ca="1" si="93"/>
        <v>0</v>
      </c>
      <c r="P174" s="200">
        <f t="shared" ca="1" si="93"/>
        <v>0</v>
      </c>
      <c r="Q174" s="200">
        <f t="shared" ca="1" si="93"/>
        <v>0</v>
      </c>
    </row>
    <row r="175" spans="1:17" ht="12.75" customHeight="1">
      <c r="B175" s="3" t="s">
        <v>62</v>
      </c>
      <c r="J175" s="200">
        <f t="shared" ref="J175:Q175" si="94">IF(J70+J74+SUM(J76:J78)-J58&gt;0,(J70+J74-J58)/(J70+J74+SUM(J76:J78)-J58),"NM")</f>
        <v>-0.3108569335378556</v>
      </c>
      <c r="K175" s="200">
        <f t="shared" si="94"/>
        <v>-0.58998863610009522</v>
      </c>
      <c r="L175" s="200">
        <f t="shared" ca="1" si="94"/>
        <v>-1.6451587856618064</v>
      </c>
      <c r="M175" s="200">
        <f t="shared" ca="1" si="94"/>
        <v>-1.950645522261705</v>
      </c>
      <c r="N175" s="200">
        <f t="shared" ca="1" si="94"/>
        <v>-2.2653254770177473</v>
      </c>
      <c r="O175" s="200">
        <f t="shared" ca="1" si="94"/>
        <v>-2.5879939732813959</v>
      </c>
      <c r="P175" s="200">
        <f t="shared" ca="1" si="94"/>
        <v>-2.9173221802695335</v>
      </c>
      <c r="Q175" s="200">
        <f t="shared" ca="1" si="94"/>
        <v>-3.2518765721759135</v>
      </c>
    </row>
    <row r="176" spans="1:17" ht="12.75" customHeight="1">
      <c r="J176" s="200"/>
      <c r="K176" s="200"/>
      <c r="L176" s="200"/>
      <c r="M176" s="200"/>
      <c r="N176" s="200"/>
      <c r="O176" s="200"/>
      <c r="P176" s="200"/>
      <c r="Q176" s="200"/>
    </row>
    <row r="177" spans="2:17" ht="12.75" customHeight="1">
      <c r="B177" s="139" t="s">
        <v>450</v>
      </c>
      <c r="J177" s="200"/>
      <c r="K177" s="200"/>
      <c r="L177" s="200"/>
      <c r="M177" s="200"/>
      <c r="N177" s="200"/>
      <c r="O177" s="200"/>
      <c r="P177" s="200"/>
      <c r="Q177" s="200"/>
    </row>
    <row r="178" spans="2:17" ht="12.75" customHeight="1">
      <c r="B178" s="3" t="str">
        <f>+B36</f>
        <v>EBITDA</v>
      </c>
      <c r="J178" s="353">
        <f t="shared" ref="J178:Q178" si="95">J36</f>
        <v>13.2</v>
      </c>
      <c r="K178" s="353">
        <f t="shared" si="95"/>
        <v>13.9</v>
      </c>
      <c r="L178" s="353">
        <f t="shared" si="95"/>
        <v>20.000000000000004</v>
      </c>
      <c r="M178" s="353">
        <f t="shared" si="95"/>
        <v>21.500000000000007</v>
      </c>
      <c r="N178" s="353">
        <f t="shared" si="95"/>
        <v>23.650000000000006</v>
      </c>
      <c r="O178" s="353">
        <f t="shared" si="95"/>
        <v>26.015000000000015</v>
      </c>
      <c r="P178" s="353">
        <f t="shared" si="95"/>
        <v>28.61650000000002</v>
      </c>
      <c r="Q178" s="353">
        <f t="shared" si="95"/>
        <v>31.478150000000021</v>
      </c>
    </row>
    <row r="179" spans="2:17" ht="12.75" customHeight="1">
      <c r="B179" s="3" t="s">
        <v>451</v>
      </c>
      <c r="J179" s="103">
        <f>'Tar Income Statement'!K116</f>
        <v>1.1000000000000001</v>
      </c>
      <c r="K179" s="103">
        <f>'Tar Income Statement'!L116</f>
        <v>1.2000000000000002</v>
      </c>
      <c r="L179" s="128">
        <v>0</v>
      </c>
      <c r="M179" s="128">
        <v>0</v>
      </c>
      <c r="N179" s="128">
        <v>0</v>
      </c>
      <c r="O179" s="128">
        <v>0</v>
      </c>
      <c r="P179" s="128">
        <v>0</v>
      </c>
      <c r="Q179" s="128">
        <v>0</v>
      </c>
    </row>
    <row r="180" spans="2:17" ht="12.75" customHeight="1">
      <c r="B180" s="151" t="s">
        <v>436</v>
      </c>
      <c r="J180" s="863">
        <f t="shared" ref="J180:Q180" si="96">SUM(J178:J179)</f>
        <v>14.299999999999999</v>
      </c>
      <c r="K180" s="863">
        <f t="shared" si="96"/>
        <v>15.100000000000001</v>
      </c>
      <c r="L180" s="863">
        <f t="shared" si="96"/>
        <v>20.000000000000004</v>
      </c>
      <c r="M180" s="863">
        <f t="shared" si="96"/>
        <v>21.500000000000007</v>
      </c>
      <c r="N180" s="863">
        <f t="shared" si="96"/>
        <v>23.650000000000006</v>
      </c>
      <c r="O180" s="863">
        <f t="shared" si="96"/>
        <v>26.015000000000015</v>
      </c>
      <c r="P180" s="863">
        <f t="shared" si="96"/>
        <v>28.61650000000002</v>
      </c>
      <c r="Q180" s="863">
        <f t="shared" si="96"/>
        <v>31.478150000000021</v>
      </c>
    </row>
    <row r="181" spans="2:17" ht="12.75" customHeight="1">
      <c r="J181" s="200"/>
      <c r="K181" s="200"/>
      <c r="L181" s="200"/>
      <c r="M181" s="200"/>
      <c r="N181" s="200"/>
      <c r="O181" s="200"/>
      <c r="P181" s="200"/>
      <c r="Q181" s="200"/>
    </row>
    <row r="182" spans="2:17" ht="12.75" customHeight="1">
      <c r="B182" s="3" t="str">
        <f>+B38</f>
        <v>EBITDAR</v>
      </c>
      <c r="J182" s="353">
        <f>J38</f>
        <v>14.399999999999999</v>
      </c>
      <c r="K182" s="353">
        <f t="shared" ref="K182:Q182" si="97">K38</f>
        <v>15.200000000000001</v>
      </c>
      <c r="L182" s="353">
        <f t="shared" si="97"/>
        <v>21.354166666666671</v>
      </c>
      <c r="M182" s="353">
        <f t="shared" si="97"/>
        <v>22.989583333333339</v>
      </c>
      <c r="N182" s="353">
        <f t="shared" si="97"/>
        <v>25.288541666666674</v>
      </c>
      <c r="O182" s="353">
        <f t="shared" si="97"/>
        <v>27.81739583333335</v>
      </c>
      <c r="P182" s="353">
        <f t="shared" si="97"/>
        <v>30.599135416666687</v>
      </c>
      <c r="Q182" s="353">
        <f t="shared" si="97"/>
        <v>33.659048958333358</v>
      </c>
    </row>
    <row r="183" spans="2:17" ht="12.75" customHeight="1">
      <c r="B183" s="3" t="s">
        <v>451</v>
      </c>
      <c r="J183" s="343">
        <f t="shared" ref="J183:Q183" si="98">J179</f>
        <v>1.1000000000000001</v>
      </c>
      <c r="K183" s="343">
        <f t="shared" si="98"/>
        <v>1.2000000000000002</v>
      </c>
      <c r="L183" s="343">
        <f t="shared" si="98"/>
        <v>0</v>
      </c>
      <c r="M183" s="343">
        <f t="shared" si="98"/>
        <v>0</v>
      </c>
      <c r="N183" s="343">
        <f t="shared" si="98"/>
        <v>0</v>
      </c>
      <c r="O183" s="343">
        <f t="shared" si="98"/>
        <v>0</v>
      </c>
      <c r="P183" s="343">
        <f t="shared" si="98"/>
        <v>0</v>
      </c>
      <c r="Q183" s="343">
        <f t="shared" si="98"/>
        <v>0</v>
      </c>
    </row>
    <row r="184" spans="2:17" ht="12.75" customHeight="1">
      <c r="B184" s="151" t="s">
        <v>446</v>
      </c>
      <c r="J184" s="863">
        <f>SUM(J182:J183)</f>
        <v>15.499999999999998</v>
      </c>
      <c r="K184" s="863">
        <f t="shared" ref="K184:Q184" si="99">SUM(K182:K183)</f>
        <v>16.400000000000002</v>
      </c>
      <c r="L184" s="863">
        <f t="shared" si="99"/>
        <v>21.354166666666671</v>
      </c>
      <c r="M184" s="863">
        <f t="shared" si="99"/>
        <v>22.989583333333339</v>
      </c>
      <c r="N184" s="863">
        <f t="shared" si="99"/>
        <v>25.288541666666674</v>
      </c>
      <c r="O184" s="863">
        <f t="shared" si="99"/>
        <v>27.81739583333335</v>
      </c>
      <c r="P184" s="863">
        <f t="shared" si="99"/>
        <v>30.599135416666687</v>
      </c>
      <c r="Q184" s="863">
        <f t="shared" si="99"/>
        <v>33.659048958333358</v>
      </c>
    </row>
    <row r="185" spans="2:17" ht="12.75" customHeight="1">
      <c r="J185" s="200"/>
      <c r="K185" s="200"/>
      <c r="L185" s="200"/>
      <c r="M185" s="200"/>
      <c r="N185" s="200"/>
      <c r="O185" s="200"/>
      <c r="P185" s="200"/>
      <c r="Q185" s="200"/>
    </row>
    <row r="186" spans="2:17" ht="12.75" customHeight="1">
      <c r="B186" s="109" t="str">
        <f>'Tar Sum Financials'!A43</f>
        <v>Adjusted Debt / EBITDAR</v>
      </c>
      <c r="C186" s="109"/>
      <c r="D186" s="109"/>
      <c r="E186" s="907">
        <f>'Tar Balance Sheet'!D52</f>
        <v>8</v>
      </c>
      <c r="J186" s="144">
        <f t="shared" ref="J186:Q186" si="100">IF(AND((J70+J74+J37*$E186)&gt;0,182&gt;0),(J70+J74+J37*$E186)/J184,"NM")</f>
        <v>1.3538709677419356</v>
      </c>
      <c r="K186" s="144">
        <f t="shared" si="100"/>
        <v>1.4393292682926828</v>
      </c>
      <c r="L186" s="144">
        <f t="shared" ca="1" si="100"/>
        <v>0.5073170731707316</v>
      </c>
      <c r="M186" s="144">
        <f t="shared" ca="1" si="100"/>
        <v>0.51835070231082914</v>
      </c>
      <c r="N186" s="144">
        <f t="shared" ca="1" si="100"/>
        <v>0.51835070231082914</v>
      </c>
      <c r="O186" s="144">
        <f t="shared" ca="1" si="100"/>
        <v>0.51835070231082914</v>
      </c>
      <c r="P186" s="144">
        <f t="shared" ca="1" si="100"/>
        <v>0.51835070231082914</v>
      </c>
      <c r="Q186" s="144">
        <f t="shared" ca="1" si="100"/>
        <v>0.51835070231082914</v>
      </c>
    </row>
    <row r="187" spans="2:17" ht="12.75" customHeight="1">
      <c r="B187" s="109" t="str">
        <f>'Tar Sum Financials'!B44</f>
        <v>Total Debt / EBITDA</v>
      </c>
      <c r="C187" s="109"/>
      <c r="D187" s="109"/>
      <c r="E187" s="109"/>
      <c r="J187" s="144">
        <f t="shared" ref="J187:Q187" si="101">IF(AND((J70+J74)&gt;0,J180&gt;0),(J70+J74)/J180,"NM")</f>
        <v>0.79615384615384621</v>
      </c>
      <c r="K187" s="144">
        <f t="shared" si="101"/>
        <v>0.87450331125827807</v>
      </c>
      <c r="L187" s="144" t="str">
        <f t="shared" ca="1" si="101"/>
        <v>NM</v>
      </c>
      <c r="M187" s="144" t="str">
        <f t="shared" ca="1" si="101"/>
        <v>NM</v>
      </c>
      <c r="N187" s="144" t="str">
        <f t="shared" ca="1" si="101"/>
        <v>NM</v>
      </c>
      <c r="O187" s="144" t="str">
        <f t="shared" ca="1" si="101"/>
        <v>NM</v>
      </c>
      <c r="P187" s="144" t="str">
        <f t="shared" ca="1" si="101"/>
        <v>NM</v>
      </c>
      <c r="Q187" s="144" t="str">
        <f t="shared" ca="1" si="101"/>
        <v>NM</v>
      </c>
    </row>
    <row r="188" spans="2:17" ht="12.75" customHeight="1">
      <c r="B188" s="109" t="str">
        <f>'Tar Sum Financials'!B45</f>
        <v>Net Debt / EBITDA</v>
      </c>
      <c r="C188" s="109"/>
      <c r="D188" s="109"/>
      <c r="E188" s="109"/>
      <c r="J188" s="144" t="str">
        <f t="shared" ref="J188:Q188" si="102">IF(AND((J70+J74-J58)&gt;0,J180&gt;0),(J70+J74-J58)/J180,"NM")</f>
        <v>NM</v>
      </c>
      <c r="K188" s="144" t="str">
        <f t="shared" si="102"/>
        <v>NM</v>
      </c>
      <c r="L188" s="144" t="str">
        <f t="shared" ca="1" si="102"/>
        <v>NM</v>
      </c>
      <c r="M188" s="144" t="str">
        <f t="shared" ca="1" si="102"/>
        <v>NM</v>
      </c>
      <c r="N188" s="144" t="str">
        <f t="shared" ca="1" si="102"/>
        <v>NM</v>
      </c>
      <c r="O188" s="144" t="str">
        <f t="shared" ca="1" si="102"/>
        <v>NM</v>
      </c>
      <c r="P188" s="144" t="str">
        <f t="shared" ca="1" si="102"/>
        <v>NM</v>
      </c>
      <c r="Q188" s="144" t="str">
        <f t="shared" ca="1" si="102"/>
        <v>NM</v>
      </c>
    </row>
    <row r="189" spans="2:17" ht="12.75" customHeight="1">
      <c r="B189" s="3" t="str">
        <f>"Sr. Secured Debt /"&amp;RIGHT(B188,LEN(B188)-FIND("/",B188))</f>
        <v>Sr. Secured Debt / EBITDA</v>
      </c>
      <c r="J189" s="144"/>
      <c r="K189" s="144" t="str">
        <f t="shared" ref="K189:Q189" si="103">IF(AND((K128+K129)&gt;0,K180&gt;0),(K128+K129)/K180,"NM")</f>
        <v>NM</v>
      </c>
      <c r="L189" s="144" t="str">
        <f t="shared" ca="1" si="103"/>
        <v>NM</v>
      </c>
      <c r="M189" s="144" t="str">
        <f t="shared" ca="1" si="103"/>
        <v>NM</v>
      </c>
      <c r="N189" s="144" t="str">
        <f t="shared" ca="1" si="103"/>
        <v>NM</v>
      </c>
      <c r="O189" s="144" t="str">
        <f t="shared" ca="1" si="103"/>
        <v>NM</v>
      </c>
      <c r="P189" s="144" t="str">
        <f t="shared" ca="1" si="103"/>
        <v>NM</v>
      </c>
      <c r="Q189" s="144" t="str">
        <f t="shared" ca="1" si="103"/>
        <v>NM</v>
      </c>
    </row>
    <row r="190" spans="2:17" ht="12.75" customHeight="1">
      <c r="L190" s="294"/>
      <c r="M190" s="294"/>
      <c r="N190" s="294"/>
      <c r="O190" s="294"/>
      <c r="P190" s="294"/>
      <c r="Q190" s="294"/>
    </row>
    <row r="191" spans="2:17" ht="12.75" customHeight="1">
      <c r="B191" s="109" t="str">
        <f>'Tar Sum Financials'!B46</f>
        <v>EBITDA / Interest, Net</v>
      </c>
      <c r="C191" s="109"/>
      <c r="J191" s="144">
        <f>IF(AND(J36&gt;0,J15&gt;0),J36/J15,"NM")</f>
        <v>23.441662226957913</v>
      </c>
      <c r="K191" s="144">
        <f>IF(AND(K36&gt;0,K15&gt;0),K36/K15,"NM")</f>
        <v>27.6287020473067</v>
      </c>
      <c r="L191" s="144" t="str">
        <f t="shared" ref="L191:Q191" ca="1" si="104">IF(AND(L180&gt;0,L15&gt;0),L180/L15,"NM")</f>
        <v>NM</v>
      </c>
      <c r="M191" s="144" t="str">
        <f t="shared" ca="1" si="104"/>
        <v>NM</v>
      </c>
      <c r="N191" s="144" t="str">
        <f t="shared" ca="1" si="104"/>
        <v>NM</v>
      </c>
      <c r="O191" s="144" t="str">
        <f t="shared" ca="1" si="104"/>
        <v>NM</v>
      </c>
      <c r="P191" s="144" t="str">
        <f t="shared" ca="1" si="104"/>
        <v>NM</v>
      </c>
      <c r="Q191" s="144" t="str">
        <f t="shared" ca="1" si="104"/>
        <v>NM</v>
      </c>
    </row>
    <row r="192" spans="2:17" ht="12.75" customHeight="1">
      <c r="B192" s="109" t="str">
        <f>'Tar Sum Financials'!B47</f>
        <v>(EBITDA - Capex) / Interest, Net</v>
      </c>
      <c r="C192" s="109"/>
      <c r="J192" s="144">
        <f>IF(AND((J36+J98)&gt;0,J15&gt;0),(J36+J98)/J15,"NM")</f>
        <v>23.441662226957913</v>
      </c>
      <c r="K192" s="144">
        <f>IF(AND((K36+K98)&gt;0,K15&gt;0),(K36+K98)/K15,"NM")</f>
        <v>27.6287020473067</v>
      </c>
      <c r="L192" s="144" t="str">
        <f t="shared" ref="L192:Q192" ca="1" si="105">IF(AND((L180+L98)&gt;0,L15&gt;0),(L180+L98)/L15,"NM")</f>
        <v>NM</v>
      </c>
      <c r="M192" s="144" t="str">
        <f t="shared" ca="1" si="105"/>
        <v>NM</v>
      </c>
      <c r="N192" s="144" t="str">
        <f t="shared" ca="1" si="105"/>
        <v>NM</v>
      </c>
      <c r="O192" s="144" t="str">
        <f t="shared" ca="1" si="105"/>
        <v>NM</v>
      </c>
      <c r="P192" s="144" t="str">
        <f t="shared" ca="1" si="105"/>
        <v>NM</v>
      </c>
      <c r="Q192" s="144" t="str">
        <f t="shared" ca="1" si="105"/>
        <v>NM</v>
      </c>
    </row>
    <row r="193" spans="1:18" ht="12.75" customHeight="1">
      <c r="J193" s="200"/>
      <c r="K193" s="200"/>
      <c r="L193" s="200"/>
      <c r="M193" s="200"/>
      <c r="N193" s="200"/>
      <c r="O193" s="200"/>
      <c r="P193" s="200"/>
      <c r="Q193" s="200"/>
    </row>
    <row r="194" spans="1:18" ht="15.95" customHeight="1" collapsed="1" thickBot="1">
      <c r="A194" s="4" t="s">
        <v>167</v>
      </c>
      <c r="B194" s="628" t="s">
        <v>311</v>
      </c>
      <c r="C194" s="628"/>
      <c r="D194" s="629"/>
      <c r="E194" s="629"/>
      <c r="F194" s="629"/>
      <c r="G194" s="629"/>
      <c r="H194" s="629"/>
      <c r="I194" s="629"/>
      <c r="J194" s="629"/>
      <c r="K194" s="629"/>
      <c r="L194" s="629"/>
      <c r="M194" s="629"/>
      <c r="N194" s="629"/>
      <c r="O194" s="630"/>
      <c r="P194" s="630"/>
      <c r="Q194" s="630"/>
    </row>
    <row r="195" spans="1:18" ht="15" customHeight="1">
      <c r="B195" s="895" t="str">
        <f>$B$7</f>
        <v>Fiscal Year Ended December 31,</v>
      </c>
      <c r="C195" s="1146"/>
      <c r="D195" s="1146"/>
      <c r="E195" s="1146"/>
      <c r="F195" s="1146"/>
      <c r="G195" s="1146"/>
      <c r="H195" s="1146"/>
      <c r="I195" s="959"/>
      <c r="J195" s="959"/>
      <c r="K195" s="1147"/>
      <c r="L195" s="1148">
        <f t="shared" ref="L195:Q195" si="106">L7</f>
        <v>2019</v>
      </c>
      <c r="M195" s="960">
        <f t="shared" si="106"/>
        <v>2020</v>
      </c>
      <c r="N195" s="960">
        <f t="shared" si="106"/>
        <v>2021</v>
      </c>
      <c r="O195" s="960">
        <f t="shared" si="106"/>
        <v>2022</v>
      </c>
      <c r="P195" s="960">
        <f t="shared" si="106"/>
        <v>2023</v>
      </c>
      <c r="Q195" s="960">
        <f t="shared" si="106"/>
        <v>2024</v>
      </c>
    </row>
    <row r="196" spans="1:18" s="17" customFormat="1" ht="15" customHeight="1">
      <c r="B196" s="10" t="s">
        <v>310</v>
      </c>
      <c r="C196" s="10"/>
      <c r="D196" s="10"/>
      <c r="E196" s="10"/>
      <c r="F196" s="10"/>
      <c r="G196" s="27"/>
      <c r="H196" s="27"/>
      <c r="I196" s="572">
        <f>tfy+1</f>
        <v>2019</v>
      </c>
      <c r="J196" s="572">
        <f>tfy+2</f>
        <v>2020</v>
      </c>
      <c r="L196" s="33"/>
      <c r="M196" s="33">
        <f ca="1">M26</f>
        <v>1.8201391601437822</v>
      </c>
      <c r="N196" s="33">
        <f ca="1">N26</f>
        <v>2.0055836237636062</v>
      </c>
      <c r="O196" s="33">
        <f ca="1">O26</f>
        <v>2.2096004071628967</v>
      </c>
      <c r="P196" s="33">
        <f ca="1">P26</f>
        <v>2.4340468470412655</v>
      </c>
      <c r="Q196" s="33">
        <f ca="1">Q26</f>
        <v>2.6809660141617333</v>
      </c>
      <c r="R196" s="1168">
        <f ca="1">Q196*(1+tltg)</f>
        <v>3.0831109162859929</v>
      </c>
    </row>
    <row r="197" spans="1:18" s="17" customFormat="1" ht="12.75" customHeight="1">
      <c r="B197" s="10" t="s">
        <v>537</v>
      </c>
      <c r="C197" s="10"/>
      <c r="D197" s="10"/>
      <c r="E197" s="10"/>
      <c r="F197" s="10"/>
      <c r="G197" s="10"/>
      <c r="H197" s="10"/>
      <c r="I197" s="972">
        <f>'Tar Spread Cover'!J30</f>
        <v>12.626262626262626</v>
      </c>
      <c r="J197" s="972">
        <f>'Tar Spread Cover'!J31</f>
        <v>11.904761904761905</v>
      </c>
      <c r="L197" s="1169"/>
      <c r="M197" s="973">
        <f ca="1">$I197*M196</f>
        <v>22.981555052320481</v>
      </c>
      <c r="N197" s="973">
        <f ca="1">$I197*N196</f>
        <v>25.323025552570787</v>
      </c>
      <c r="O197" s="973">
        <f ca="1">$I197*O196</f>
        <v>27.898995039935564</v>
      </c>
      <c r="P197" s="973">
        <f ca="1">$I197*P196</f>
        <v>30.732914735369516</v>
      </c>
      <c r="Q197" s="973">
        <f ca="1">$I197*Q196</f>
        <v>33.85058098689057</v>
      </c>
      <c r="R197" s="37"/>
    </row>
    <row r="198" spans="1:18" s="17" customFormat="1" ht="12.75" customHeight="1">
      <c r="B198" s="10" t="s">
        <v>421</v>
      </c>
      <c r="C198" s="10"/>
      <c r="D198" s="10"/>
      <c r="E198" s="10"/>
      <c r="F198" s="10"/>
      <c r="G198" s="10"/>
      <c r="H198" s="10"/>
      <c r="I198" s="975"/>
      <c r="L198" s="1170">
        <v>0.05</v>
      </c>
      <c r="M198" s="888">
        <f>L198</f>
        <v>0.05</v>
      </c>
      <c r="N198" s="888">
        <f>M198</f>
        <v>0.05</v>
      </c>
      <c r="O198" s="888">
        <f>N198</f>
        <v>0.05</v>
      </c>
      <c r="P198" s="888">
        <f>O198</f>
        <v>0.05</v>
      </c>
      <c r="Q198" s="888">
        <f>P198</f>
        <v>0.05</v>
      </c>
      <c r="R198" s="37"/>
    </row>
    <row r="199" spans="1:18" s="437" customFormat="1" ht="12.75" customHeight="1">
      <c r="B199" s="10" t="s">
        <v>312</v>
      </c>
      <c r="C199" s="257"/>
      <c r="D199" s="257"/>
      <c r="E199" s="257"/>
      <c r="F199" s="257"/>
      <c r="G199" s="257"/>
      <c r="H199" s="257"/>
      <c r="I199" s="977"/>
      <c r="L199" s="1171">
        <f>tprice*(1+L198)</f>
        <v>26.25</v>
      </c>
      <c r="M199" s="978">
        <f ca="1">M197*(1+M198)</f>
        <v>24.130632804936507</v>
      </c>
      <c r="N199" s="978">
        <f ca="1">N197*(1+N198)</f>
        <v>26.589176830199328</v>
      </c>
      <c r="O199" s="978">
        <f ca="1">O197*(1+O198)</f>
        <v>29.293944791932343</v>
      </c>
      <c r="P199" s="978">
        <f ca="1">P197*(1+P198)</f>
        <v>32.269560472137989</v>
      </c>
      <c r="Q199" s="978">
        <f ca="1">Q197*(1+Q198)</f>
        <v>35.543110036235099</v>
      </c>
      <c r="R199" s="979"/>
    </row>
    <row r="200" spans="1:18" s="17" customFormat="1" ht="12.75" customHeight="1">
      <c r="B200" s="10"/>
      <c r="C200" s="10"/>
      <c r="D200" s="10"/>
      <c r="E200" s="10"/>
      <c r="F200" s="10"/>
      <c r="G200" s="27"/>
      <c r="H200" s="27"/>
      <c r="I200" s="27"/>
      <c r="L200" s="980"/>
      <c r="M200" s="980"/>
      <c r="N200" s="980"/>
      <c r="O200" s="980"/>
      <c r="P200" s="980"/>
      <c r="Q200" s="980"/>
      <c r="R200" s="10"/>
    </row>
    <row r="201" spans="1:18" s="17" customFormat="1" ht="12.75" customHeight="1">
      <c r="B201" s="10" t="s">
        <v>469</v>
      </c>
      <c r="C201" s="10"/>
      <c r="D201" s="10"/>
      <c r="E201" s="10"/>
      <c r="F201" s="10"/>
      <c r="G201" s="27"/>
      <c r="H201" s="27"/>
      <c r="I201" s="27"/>
      <c r="L201" s="59">
        <v>0</v>
      </c>
      <c r="M201" s="59">
        <v>0</v>
      </c>
      <c r="N201" s="59">
        <v>0</v>
      </c>
      <c r="O201" s="59">
        <v>0</v>
      </c>
      <c r="P201" s="59">
        <v>0</v>
      </c>
      <c r="Q201" s="59">
        <v>0</v>
      </c>
      <c r="R201" s="10"/>
    </row>
    <row r="202" spans="1:18" s="17" customFormat="1" ht="12.75" customHeight="1">
      <c r="B202" s="10"/>
      <c r="C202" s="10"/>
      <c r="D202" s="10"/>
      <c r="E202" s="10"/>
      <c r="F202" s="10"/>
      <c r="G202" s="27"/>
      <c r="H202" s="27"/>
      <c r="I202" s="27"/>
      <c r="L202" s="980"/>
      <c r="M202" s="980"/>
      <c r="N202" s="980"/>
      <c r="O202" s="980"/>
      <c r="P202" s="980"/>
      <c r="Q202" s="980"/>
      <c r="R202" s="10"/>
    </row>
    <row r="203" spans="1:18" s="17" customFormat="1" ht="12.75" customHeight="1">
      <c r="B203" s="10" t="s">
        <v>472</v>
      </c>
      <c r="C203" s="10"/>
      <c r="D203" s="10"/>
      <c r="E203" s="10"/>
      <c r="F203" s="10"/>
      <c r="G203" s="27"/>
      <c r="H203" s="27"/>
      <c r="I203" s="27"/>
      <c r="L203" s="925">
        <f>L209+(tdshares-tshares)</f>
        <v>6.9126499999999993</v>
      </c>
      <c r="M203" s="32">
        <f>+L206</f>
        <v>6.9126499999999993</v>
      </c>
      <c r="N203" s="32">
        <f>+M206</f>
        <v>6.9126499999999993</v>
      </c>
      <c r="O203" s="32">
        <f>+N206</f>
        <v>6.9126499999999993</v>
      </c>
      <c r="P203" s="32">
        <f>+O206</f>
        <v>6.9126499999999993</v>
      </c>
      <c r="Q203" s="32">
        <f>+P206</f>
        <v>6.9126499999999993</v>
      </c>
      <c r="R203" s="10"/>
    </row>
    <row r="204" spans="1:18" s="17" customFormat="1" ht="12.75" customHeight="1">
      <c r="B204" s="10" t="s">
        <v>470</v>
      </c>
      <c r="C204" s="10"/>
      <c r="D204" s="10"/>
      <c r="E204" s="10"/>
      <c r="F204" s="10"/>
      <c r="G204" s="27"/>
      <c r="H204" s="27"/>
      <c r="I204" s="27"/>
      <c r="L204" s="35">
        <v>0</v>
      </c>
      <c r="M204" s="35">
        <v>0</v>
      </c>
      <c r="N204" s="35">
        <v>0</v>
      </c>
      <c r="O204" s="35">
        <v>0</v>
      </c>
      <c r="P204" s="35">
        <v>0</v>
      </c>
      <c r="Q204" s="35">
        <v>0</v>
      </c>
      <c r="R204" s="10"/>
    </row>
    <row r="205" spans="1:18" s="17" customFormat="1" ht="12.75" customHeight="1">
      <c r="B205" s="10" t="s">
        <v>414</v>
      </c>
      <c r="C205" s="10"/>
      <c r="D205" s="10"/>
      <c r="E205" s="10"/>
      <c r="F205" s="10"/>
      <c r="G205" s="27"/>
      <c r="H205" s="27"/>
      <c r="I205" s="27"/>
      <c r="L205" s="32">
        <f t="shared" ref="L205:Q205" si="107">IF(L201=0,0,-L201/L199)</f>
        <v>0</v>
      </c>
      <c r="M205" s="32">
        <f t="shared" si="107"/>
        <v>0</v>
      </c>
      <c r="N205" s="32">
        <f t="shared" si="107"/>
        <v>0</v>
      </c>
      <c r="O205" s="32">
        <f t="shared" si="107"/>
        <v>0</v>
      </c>
      <c r="P205" s="32">
        <f t="shared" si="107"/>
        <v>0</v>
      </c>
      <c r="Q205" s="32">
        <f t="shared" si="107"/>
        <v>0</v>
      </c>
      <c r="R205" s="10"/>
    </row>
    <row r="206" spans="1:18" s="17" customFormat="1" ht="12.75" customHeight="1">
      <c r="B206" s="10" t="s">
        <v>415</v>
      </c>
      <c r="C206" s="10"/>
      <c r="D206" s="10"/>
      <c r="E206" s="10"/>
      <c r="F206" s="10"/>
      <c r="G206" s="27"/>
      <c r="H206" s="27"/>
      <c r="I206" s="27"/>
      <c r="L206" s="951">
        <f t="shared" ref="L206:Q206" si="108">SUM(L203:L205)</f>
        <v>6.9126499999999993</v>
      </c>
      <c r="M206" s="951">
        <f t="shared" si="108"/>
        <v>6.9126499999999993</v>
      </c>
      <c r="N206" s="951">
        <f t="shared" si="108"/>
        <v>6.9126499999999993</v>
      </c>
      <c r="O206" s="951">
        <f t="shared" si="108"/>
        <v>6.9126499999999993</v>
      </c>
      <c r="P206" s="951">
        <f t="shared" si="108"/>
        <v>6.9126499999999993</v>
      </c>
      <c r="Q206" s="951">
        <f t="shared" si="108"/>
        <v>6.9126499999999993</v>
      </c>
      <c r="R206" s="10"/>
    </row>
    <row r="207" spans="1:18" s="17" customFormat="1" ht="12.75" customHeight="1">
      <c r="B207" s="17" t="s">
        <v>191</v>
      </c>
      <c r="F207" s="17" t="s">
        <v>416</v>
      </c>
      <c r="G207" s="1172">
        <v>0.5</v>
      </c>
      <c r="H207" s="1172"/>
      <c r="I207" s="27"/>
      <c r="L207" s="32">
        <f t="shared" ref="L207:Q207" si="109">((L203+L204)*$G207)+(L206*(1-$G207))</f>
        <v>6.9126499999999993</v>
      </c>
      <c r="M207" s="32">
        <f t="shared" si="109"/>
        <v>6.9126499999999993</v>
      </c>
      <c r="N207" s="32">
        <f t="shared" si="109"/>
        <v>6.9126499999999993</v>
      </c>
      <c r="O207" s="32">
        <f t="shared" si="109"/>
        <v>6.9126499999999993</v>
      </c>
      <c r="P207" s="32">
        <f t="shared" si="109"/>
        <v>6.9126499999999993</v>
      </c>
      <c r="Q207" s="32">
        <f t="shared" si="109"/>
        <v>6.9126499999999993</v>
      </c>
    </row>
    <row r="208" spans="1:18" s="17" customFormat="1" ht="12.75" customHeight="1">
      <c r="B208" s="10"/>
      <c r="C208" s="10"/>
      <c r="D208" s="10"/>
      <c r="E208" s="10"/>
      <c r="F208" s="10"/>
      <c r="G208" s="10"/>
      <c r="H208" s="10"/>
      <c r="I208" s="986"/>
      <c r="J208" s="986"/>
      <c r="K208" s="986"/>
      <c r="L208" s="987"/>
      <c r="M208" s="987"/>
      <c r="N208" s="987"/>
      <c r="O208" s="987"/>
      <c r="P208" s="987"/>
      <c r="Q208" s="987"/>
    </row>
    <row r="209" spans="1:18" s="17" customFormat="1" ht="12.75" customHeight="1">
      <c r="B209" s="10" t="s">
        <v>471</v>
      </c>
      <c r="C209" s="10"/>
      <c r="D209" s="10"/>
      <c r="E209" s="10"/>
      <c r="F209" s="10"/>
      <c r="G209" s="27"/>
      <c r="H209" s="27"/>
      <c r="I209" s="27"/>
      <c r="L209" s="925">
        <f>tfyshares</f>
        <v>6.8926499999999997</v>
      </c>
      <c r="M209" s="32">
        <f>+L212</f>
        <v>6.8926499999999997</v>
      </c>
      <c r="N209" s="32">
        <f>+M212</f>
        <v>6.8926499999999997</v>
      </c>
      <c r="O209" s="32">
        <f>+N212</f>
        <v>6.8926499999999997</v>
      </c>
      <c r="P209" s="32">
        <f>+O212</f>
        <v>6.8926499999999997</v>
      </c>
      <c r="Q209" s="32">
        <f>+P212</f>
        <v>6.8926499999999997</v>
      </c>
      <c r="R209" s="10"/>
    </row>
    <row r="210" spans="1:18" s="17" customFormat="1" ht="12.75" customHeight="1">
      <c r="B210" s="10" t="s">
        <v>470</v>
      </c>
      <c r="C210" s="10"/>
      <c r="D210" s="10"/>
      <c r="E210" s="10"/>
      <c r="F210" s="10"/>
      <c r="G210" s="27"/>
      <c r="H210" s="27"/>
      <c r="I210" s="27"/>
      <c r="L210" s="32">
        <f t="shared" ref="L210:Q211" si="110">+L204</f>
        <v>0</v>
      </c>
      <c r="M210" s="32">
        <f t="shared" si="110"/>
        <v>0</v>
      </c>
      <c r="N210" s="32">
        <f t="shared" si="110"/>
        <v>0</v>
      </c>
      <c r="O210" s="32">
        <f t="shared" si="110"/>
        <v>0</v>
      </c>
      <c r="P210" s="32">
        <f t="shared" si="110"/>
        <v>0</v>
      </c>
      <c r="Q210" s="32">
        <f t="shared" si="110"/>
        <v>0</v>
      </c>
      <c r="R210" s="10"/>
    </row>
    <row r="211" spans="1:18" s="17" customFormat="1" ht="12.75" customHeight="1">
      <c r="B211" s="10" t="s">
        <v>414</v>
      </c>
      <c r="C211" s="10"/>
      <c r="D211" s="10"/>
      <c r="E211" s="10"/>
      <c r="F211" s="10"/>
      <c r="G211" s="27"/>
      <c r="H211" s="27"/>
      <c r="I211" s="27"/>
      <c r="L211" s="32">
        <f t="shared" si="110"/>
        <v>0</v>
      </c>
      <c r="M211" s="32">
        <f t="shared" si="110"/>
        <v>0</v>
      </c>
      <c r="N211" s="32">
        <f t="shared" si="110"/>
        <v>0</v>
      </c>
      <c r="O211" s="32">
        <f t="shared" si="110"/>
        <v>0</v>
      </c>
      <c r="P211" s="32">
        <f t="shared" si="110"/>
        <v>0</v>
      </c>
      <c r="Q211" s="32">
        <f t="shared" si="110"/>
        <v>0</v>
      </c>
      <c r="R211" s="10"/>
    </row>
    <row r="212" spans="1:18" s="17" customFormat="1" ht="12.75" customHeight="1">
      <c r="B212" s="10" t="s">
        <v>415</v>
      </c>
      <c r="C212" s="10"/>
      <c r="D212" s="10"/>
      <c r="E212" s="10"/>
      <c r="F212" s="10"/>
      <c r="G212" s="27"/>
      <c r="H212" s="27"/>
      <c r="I212" s="27"/>
      <c r="L212" s="951">
        <f t="shared" ref="L212:Q212" si="111">SUM(L209:L211)</f>
        <v>6.8926499999999997</v>
      </c>
      <c r="M212" s="951">
        <f t="shared" si="111"/>
        <v>6.8926499999999997</v>
      </c>
      <c r="N212" s="951">
        <f t="shared" si="111"/>
        <v>6.8926499999999997</v>
      </c>
      <c r="O212" s="951">
        <f t="shared" si="111"/>
        <v>6.8926499999999997</v>
      </c>
      <c r="P212" s="951">
        <f t="shared" si="111"/>
        <v>6.8926499999999997</v>
      </c>
      <c r="Q212" s="951">
        <f t="shared" si="111"/>
        <v>6.8926499999999997</v>
      </c>
      <c r="R212" s="10"/>
    </row>
    <row r="213" spans="1:18" s="17" customFormat="1" ht="12.75" customHeight="1">
      <c r="B213" s="17" t="s">
        <v>473</v>
      </c>
      <c r="F213" s="17" t="s">
        <v>416</v>
      </c>
      <c r="G213" s="988">
        <f>+G207</f>
        <v>0.5</v>
      </c>
      <c r="H213" s="988"/>
      <c r="I213" s="27"/>
      <c r="L213" s="32">
        <f t="shared" ref="L213:Q213" si="112">((L209+L210)*$G213)+(L212*(1-$G213))</f>
        <v>6.8926499999999997</v>
      </c>
      <c r="M213" s="32">
        <f t="shared" si="112"/>
        <v>6.8926499999999997</v>
      </c>
      <c r="N213" s="32">
        <f t="shared" si="112"/>
        <v>6.8926499999999997</v>
      </c>
      <c r="O213" s="32">
        <f t="shared" si="112"/>
        <v>6.8926499999999997</v>
      </c>
      <c r="P213" s="32">
        <f t="shared" si="112"/>
        <v>6.8926499999999997</v>
      </c>
      <c r="Q213" s="32">
        <f t="shared" si="112"/>
        <v>6.8926499999999997</v>
      </c>
    </row>
    <row r="214" spans="1:18" s="17" customFormat="1" ht="12.75" customHeight="1">
      <c r="B214" s="10"/>
      <c r="C214" s="10"/>
      <c r="D214" s="10"/>
      <c r="E214" s="10"/>
      <c r="F214" s="10"/>
      <c r="G214" s="10"/>
      <c r="H214" s="10"/>
      <c r="I214" s="986"/>
      <c r="J214" s="986"/>
      <c r="K214" s="986"/>
      <c r="L214" s="987"/>
      <c r="M214" s="987"/>
      <c r="N214" s="987"/>
      <c r="O214" s="987"/>
      <c r="P214" s="987"/>
      <c r="Q214" s="987"/>
    </row>
    <row r="215" spans="1:18" ht="15.95" customHeight="1" collapsed="1" thickBot="1">
      <c r="A215" s="4" t="s">
        <v>167</v>
      </c>
      <c r="B215" s="628" t="s">
        <v>126</v>
      </c>
      <c r="C215" s="628"/>
      <c r="D215" s="629"/>
      <c r="E215" s="629"/>
      <c r="F215" s="629"/>
      <c r="G215" s="629"/>
      <c r="H215" s="629"/>
      <c r="I215" s="629"/>
      <c r="J215" s="629"/>
      <c r="K215" s="629"/>
      <c r="L215" s="629"/>
      <c r="M215" s="629"/>
      <c r="N215" s="629"/>
      <c r="O215" s="630"/>
      <c r="P215" s="630"/>
      <c r="Q215" s="630"/>
    </row>
    <row r="216" spans="1:18" ht="15" customHeight="1">
      <c r="B216" s="895" t="str">
        <f>$B$7</f>
        <v>Fiscal Year Ended December 31,</v>
      </c>
      <c r="C216" s="1146"/>
      <c r="D216" s="1146"/>
      <c r="E216" s="1146"/>
      <c r="F216" s="1146"/>
      <c r="G216" s="1146"/>
      <c r="H216" s="1146"/>
      <c r="I216" s="959">
        <f>I7</f>
        <v>2016</v>
      </c>
      <c r="J216" s="959">
        <f>J7</f>
        <v>2017</v>
      </c>
      <c r="K216" s="1147">
        <f>K7</f>
        <v>2018</v>
      </c>
      <c r="L216" s="1148">
        <f>L7</f>
        <v>2019</v>
      </c>
      <c r="M216" s="960">
        <f>$M$7</f>
        <v>2020</v>
      </c>
      <c r="N216" s="960">
        <f>N7</f>
        <v>2021</v>
      </c>
      <c r="O216" s="960">
        <f>O7</f>
        <v>2022</v>
      </c>
      <c r="P216" s="960">
        <f>P7</f>
        <v>2023</v>
      </c>
      <c r="Q216" s="960">
        <f>Q7</f>
        <v>2024</v>
      </c>
    </row>
    <row r="217" spans="1:18" s="17" customFormat="1" ht="15" customHeight="1">
      <c r="B217" s="10" t="s">
        <v>122</v>
      </c>
      <c r="C217" s="10"/>
      <c r="D217" s="10"/>
      <c r="E217" s="10"/>
      <c r="F217" s="10"/>
      <c r="G217" s="10"/>
      <c r="H217" s="10"/>
      <c r="I217" s="444">
        <f>-'Tar Cash Flow'!I15</f>
        <v>2.4</v>
      </c>
      <c r="J217" s="444">
        <f>-'Tar Cash Flow'!J15</f>
        <v>3.3</v>
      </c>
      <c r="K217" s="444">
        <f>-'Tar Cash Flow'!K15</f>
        <v>0.9</v>
      </c>
      <c r="L217" s="886">
        <f t="shared" ref="L217:Q217" si="113">L8*L218</f>
        <v>5</v>
      </c>
      <c r="M217" s="886">
        <f t="shared" si="113"/>
        <v>5.5000000000000009</v>
      </c>
      <c r="N217" s="886">
        <f t="shared" si="113"/>
        <v>6.0500000000000016</v>
      </c>
      <c r="O217" s="886">
        <f t="shared" si="113"/>
        <v>6.6550000000000029</v>
      </c>
      <c r="P217" s="886">
        <f t="shared" si="113"/>
        <v>7.3205000000000044</v>
      </c>
      <c r="Q217" s="886">
        <f t="shared" si="113"/>
        <v>8.0525500000000054</v>
      </c>
    </row>
    <row r="218" spans="1:18" s="17" customFormat="1" ht="12.75" customHeight="1">
      <c r="B218" s="323" t="s">
        <v>300</v>
      </c>
      <c r="C218" s="10"/>
      <c r="D218" s="10"/>
      <c r="E218" s="10"/>
      <c r="F218" s="10"/>
      <c r="G218" s="10"/>
      <c r="H218" s="10"/>
      <c r="I218" s="889">
        <f>I217/I8</f>
        <v>5.4545454545454543E-2</v>
      </c>
      <c r="J218" s="889">
        <f>J217/J8</f>
        <v>7.1739130434782611E-2</v>
      </c>
      <c r="K218" s="889">
        <f>K217/K8</f>
        <v>1.8749999999999999E-2</v>
      </c>
      <c r="L218" s="1096">
        <f>+L286/L270</f>
        <v>0.1</v>
      </c>
      <c r="M218" s="1096">
        <f>+M286/M270</f>
        <v>0.1</v>
      </c>
      <c r="N218" s="889">
        <f>M218</f>
        <v>0.1</v>
      </c>
      <c r="O218" s="889">
        <f>N218</f>
        <v>0.1</v>
      </c>
      <c r="P218" s="889">
        <f>O218</f>
        <v>0.1</v>
      </c>
      <c r="Q218" s="889">
        <f>P218</f>
        <v>0.1</v>
      </c>
    </row>
    <row r="219" spans="1:18" s="17" customFormat="1" ht="12.75" customHeight="1">
      <c r="B219" s="10"/>
      <c r="C219" s="10"/>
      <c r="D219" s="10"/>
      <c r="E219" s="10"/>
      <c r="F219" s="10"/>
      <c r="G219" s="10"/>
      <c r="H219" s="10"/>
      <c r="I219" s="986"/>
      <c r="J219" s="986"/>
      <c r="K219" s="986"/>
      <c r="L219" s="987"/>
      <c r="M219" s="987"/>
      <c r="N219" s="987"/>
      <c r="O219" s="987"/>
      <c r="P219" s="987"/>
      <c r="Q219" s="987"/>
    </row>
    <row r="220" spans="1:18" s="17" customFormat="1" ht="12.75" customHeight="1">
      <c r="B220" s="10" t="s">
        <v>362</v>
      </c>
      <c r="C220" s="10"/>
      <c r="D220" s="10"/>
      <c r="E220" s="10"/>
      <c r="F220" s="10"/>
      <c r="G220" s="10"/>
      <c r="H220" s="10"/>
      <c r="I220" s="886">
        <f>I35</f>
        <v>1.6</v>
      </c>
      <c r="J220" s="886">
        <f>J35</f>
        <v>1.7</v>
      </c>
      <c r="K220" s="886">
        <f>K35</f>
        <v>1.9</v>
      </c>
      <c r="L220" s="886">
        <f t="shared" ref="L220:Q220" si="114">L8*L221</f>
        <v>5</v>
      </c>
      <c r="M220" s="886">
        <f t="shared" si="114"/>
        <v>5.0000000000000009</v>
      </c>
      <c r="N220" s="886">
        <f t="shared" si="114"/>
        <v>5.5000000000000018</v>
      </c>
      <c r="O220" s="886">
        <f t="shared" si="114"/>
        <v>6.0500000000000025</v>
      </c>
      <c r="P220" s="886">
        <f t="shared" si="114"/>
        <v>6.6550000000000038</v>
      </c>
      <c r="Q220" s="886">
        <f t="shared" si="114"/>
        <v>7.3205000000000044</v>
      </c>
    </row>
    <row r="221" spans="1:18" s="17" customFormat="1" ht="12.75" customHeight="1">
      <c r="B221" s="323" t="s">
        <v>300</v>
      </c>
      <c r="C221" s="10"/>
      <c r="D221" s="10"/>
      <c r="E221" s="10"/>
      <c r="F221" s="10"/>
      <c r="G221" s="10"/>
      <c r="H221" s="10"/>
      <c r="I221" s="889">
        <f>I220/I8</f>
        <v>3.6363636363636369E-2</v>
      </c>
      <c r="J221" s="889">
        <f>J220/J8</f>
        <v>3.6956521739130437E-2</v>
      </c>
      <c r="K221" s="889">
        <f>K220/K8</f>
        <v>3.9583333333333331E-2</v>
      </c>
      <c r="L221" s="1096">
        <f>+L283/L270</f>
        <v>0.1</v>
      </c>
      <c r="M221" s="1096">
        <f>+M283/M270</f>
        <v>9.0909090909090912E-2</v>
      </c>
      <c r="N221" s="889">
        <f>M221</f>
        <v>9.0909090909090912E-2</v>
      </c>
      <c r="O221" s="889">
        <f>N221</f>
        <v>9.0909090909090912E-2</v>
      </c>
      <c r="P221" s="889">
        <f>O221</f>
        <v>9.0909090909090912E-2</v>
      </c>
      <c r="Q221" s="889">
        <f>P221</f>
        <v>9.0909090909090912E-2</v>
      </c>
    </row>
    <row r="222" spans="1:18" ht="12.75" customHeight="1">
      <c r="I222" s="577"/>
      <c r="J222" s="577"/>
      <c r="K222" s="1041"/>
      <c r="L222" s="1094"/>
      <c r="M222" s="1173"/>
      <c r="N222" s="1173"/>
      <c r="O222" s="1173"/>
      <c r="P222" s="1173"/>
      <c r="Q222" s="1173"/>
    </row>
    <row r="223" spans="1:18" ht="12.75" customHeight="1">
      <c r="B223" s="139" t="s">
        <v>94</v>
      </c>
      <c r="Q223" s="3"/>
    </row>
    <row r="224" spans="1:18" ht="12.75" customHeight="1">
      <c r="B224" s="3" t="s">
        <v>39</v>
      </c>
      <c r="J224" s="153">
        <f>J59</f>
        <v>8.9939999999999998</v>
      </c>
      <c r="K224" s="153">
        <f>K59</f>
        <v>9.4939999999999998</v>
      </c>
      <c r="L224" s="153">
        <f t="shared" ref="L224:Q224" si="115">(L226*L8)/365</f>
        <v>9.8895833333333343</v>
      </c>
      <c r="M224" s="153">
        <f t="shared" si="115"/>
        <v>10.878541666666669</v>
      </c>
      <c r="N224" s="153">
        <f t="shared" si="115"/>
        <v>11.966395833333337</v>
      </c>
      <c r="O224" s="153">
        <f t="shared" si="115"/>
        <v>13.163035416666673</v>
      </c>
      <c r="P224" s="153">
        <f t="shared" si="115"/>
        <v>14.479338958333342</v>
      </c>
      <c r="Q224" s="153">
        <f t="shared" si="115"/>
        <v>15.927272854166677</v>
      </c>
    </row>
    <row r="225" spans="2:17" ht="12.75" customHeight="1">
      <c r="B225" s="151" t="s">
        <v>257</v>
      </c>
      <c r="J225" s="141">
        <f t="shared" ref="J225:Q225" si="116">J224/J8</f>
        <v>0.19552173913043477</v>
      </c>
      <c r="K225" s="141">
        <f t="shared" si="116"/>
        <v>0.19779166666666667</v>
      </c>
      <c r="L225" s="141">
        <f t="shared" si="116"/>
        <v>0.1977916666666667</v>
      </c>
      <c r="M225" s="141">
        <f t="shared" si="116"/>
        <v>0.19779166666666667</v>
      </c>
      <c r="N225" s="141">
        <f t="shared" si="116"/>
        <v>0.19779166666666667</v>
      </c>
      <c r="O225" s="141">
        <f t="shared" si="116"/>
        <v>0.1977916666666667</v>
      </c>
      <c r="P225" s="141">
        <f t="shared" si="116"/>
        <v>0.19779166666666667</v>
      </c>
      <c r="Q225" s="141">
        <f t="shared" si="116"/>
        <v>0.19779166666666667</v>
      </c>
    </row>
    <row r="226" spans="2:17" ht="12.75" customHeight="1">
      <c r="B226" s="151" t="s">
        <v>95</v>
      </c>
      <c r="J226" s="161">
        <f>J225*365</f>
        <v>71.365434782608688</v>
      </c>
      <c r="K226" s="161">
        <f>K225*365</f>
        <v>72.193958333333342</v>
      </c>
      <c r="L226" s="201">
        <f t="shared" ref="L226:Q226" si="117">K226</f>
        <v>72.193958333333342</v>
      </c>
      <c r="M226" s="201">
        <f t="shared" si="117"/>
        <v>72.193958333333342</v>
      </c>
      <c r="N226" s="161">
        <f t="shared" si="117"/>
        <v>72.193958333333342</v>
      </c>
      <c r="O226" s="161">
        <f t="shared" si="117"/>
        <v>72.193958333333342</v>
      </c>
      <c r="P226" s="161">
        <f t="shared" si="117"/>
        <v>72.193958333333342</v>
      </c>
      <c r="Q226" s="161">
        <f t="shared" si="117"/>
        <v>72.193958333333342</v>
      </c>
    </row>
    <row r="227" spans="2:17" ht="12.75" customHeight="1">
      <c r="J227" s="310"/>
      <c r="K227" s="310"/>
      <c r="L227" s="161"/>
      <c r="M227" s="201"/>
      <c r="N227" s="201"/>
      <c r="O227" s="201"/>
      <c r="P227" s="201"/>
      <c r="Q227" s="1174"/>
    </row>
    <row r="228" spans="2:17" ht="12.75" customHeight="1">
      <c r="B228" s="3" t="s">
        <v>40</v>
      </c>
      <c r="J228" s="153">
        <f>J60</f>
        <v>4.1970000000000001</v>
      </c>
      <c r="K228" s="153">
        <f>K60</f>
        <v>4.6970000000000001</v>
      </c>
      <c r="L228" s="153">
        <f t="shared" ref="L228:Q228" si="118">L9/L230</f>
        <v>4.403437499999999</v>
      </c>
      <c r="M228" s="153">
        <f t="shared" si="118"/>
        <v>4.8437812500000001</v>
      </c>
      <c r="N228" s="153">
        <f t="shared" si="118"/>
        <v>5.3281593750000011</v>
      </c>
      <c r="O228" s="153">
        <f t="shared" si="118"/>
        <v>5.8609753125000017</v>
      </c>
      <c r="P228" s="153">
        <f t="shared" si="118"/>
        <v>6.4470728437500036</v>
      </c>
      <c r="Q228" s="153">
        <f t="shared" si="118"/>
        <v>7.0917801281250039</v>
      </c>
    </row>
    <row r="229" spans="2:17" ht="12.75" customHeight="1">
      <c r="B229" s="151" t="s">
        <v>96</v>
      </c>
      <c r="J229" s="141">
        <f t="shared" ref="J229:Q229" si="119">J228/J9</f>
        <v>0.18247826086956523</v>
      </c>
      <c r="K229" s="141">
        <f t="shared" si="119"/>
        <v>0.19570833333333335</v>
      </c>
      <c r="L229" s="141">
        <f t="shared" si="119"/>
        <v>0.19570833333333332</v>
      </c>
      <c r="M229" s="141">
        <f t="shared" si="119"/>
        <v>0.19570833333333335</v>
      </c>
      <c r="N229" s="141">
        <f t="shared" si="119"/>
        <v>0.19570833333333335</v>
      </c>
      <c r="O229" s="141">
        <f t="shared" si="119"/>
        <v>0.19570833333333335</v>
      </c>
      <c r="P229" s="141">
        <f t="shared" si="119"/>
        <v>0.19570833333333335</v>
      </c>
      <c r="Q229" s="141">
        <f t="shared" si="119"/>
        <v>0.19570833333333335</v>
      </c>
    </row>
    <row r="230" spans="2:17" ht="12.75" customHeight="1">
      <c r="B230" s="151" t="s">
        <v>97</v>
      </c>
      <c r="J230" s="161">
        <f>1/J229</f>
        <v>5.4801048367881817</v>
      </c>
      <c r="K230" s="161">
        <f>1/K229</f>
        <v>5.1096444539067489</v>
      </c>
      <c r="L230" s="201">
        <f t="shared" ref="L230:Q230" si="120">K230</f>
        <v>5.1096444539067489</v>
      </c>
      <c r="M230" s="201">
        <f t="shared" si="120"/>
        <v>5.1096444539067489</v>
      </c>
      <c r="N230" s="161">
        <f t="shared" si="120"/>
        <v>5.1096444539067489</v>
      </c>
      <c r="O230" s="161">
        <f t="shared" si="120"/>
        <v>5.1096444539067489</v>
      </c>
      <c r="P230" s="161">
        <f t="shared" si="120"/>
        <v>5.1096444539067489</v>
      </c>
      <c r="Q230" s="161">
        <f t="shared" si="120"/>
        <v>5.1096444539067489</v>
      </c>
    </row>
    <row r="231" spans="2:17" ht="12.75" customHeight="1">
      <c r="J231" s="310"/>
      <c r="K231" s="310"/>
      <c r="L231" s="161"/>
      <c r="M231" s="201"/>
      <c r="N231" s="201"/>
      <c r="O231" s="201"/>
      <c r="P231" s="201"/>
      <c r="Q231" s="1174"/>
    </row>
    <row r="232" spans="2:17" ht="12.75" customHeight="1">
      <c r="B232" s="3" t="s">
        <v>367</v>
      </c>
      <c r="J232" s="153">
        <f>J61</f>
        <v>1.0960000000000001</v>
      </c>
      <c r="K232" s="153">
        <f>K61</f>
        <v>1.5960000000000001</v>
      </c>
      <c r="L232" s="153">
        <f t="shared" ref="L232:Q232" si="121">L233*L8</f>
        <v>1.6625000000000001</v>
      </c>
      <c r="M232" s="153">
        <f t="shared" si="121"/>
        <v>1.8287500000000003</v>
      </c>
      <c r="N232" s="153">
        <f t="shared" si="121"/>
        <v>2.0116250000000004</v>
      </c>
      <c r="O232" s="153">
        <f t="shared" si="121"/>
        <v>2.212787500000001</v>
      </c>
      <c r="P232" s="153">
        <f t="shared" si="121"/>
        <v>2.4340662500000017</v>
      </c>
      <c r="Q232" s="153">
        <f t="shared" si="121"/>
        <v>2.6774728750000016</v>
      </c>
    </row>
    <row r="233" spans="2:17" ht="12.75" customHeight="1">
      <c r="B233" s="151" t="s">
        <v>368</v>
      </c>
      <c r="J233" s="141">
        <f>J232/J8</f>
        <v>2.382608695652174E-2</v>
      </c>
      <c r="K233" s="141">
        <f>K232/K8</f>
        <v>3.3250000000000002E-2</v>
      </c>
      <c r="L233" s="372">
        <f t="shared" ref="L233:Q233" si="122">K233</f>
        <v>3.3250000000000002E-2</v>
      </c>
      <c r="M233" s="372">
        <f t="shared" si="122"/>
        <v>3.3250000000000002E-2</v>
      </c>
      <c r="N233" s="141">
        <f t="shared" si="122"/>
        <v>3.3250000000000002E-2</v>
      </c>
      <c r="O233" s="141">
        <f t="shared" si="122"/>
        <v>3.3250000000000002E-2</v>
      </c>
      <c r="P233" s="141">
        <f t="shared" si="122"/>
        <v>3.3250000000000002E-2</v>
      </c>
      <c r="Q233" s="141">
        <f t="shared" si="122"/>
        <v>3.3250000000000002E-2</v>
      </c>
    </row>
    <row r="234" spans="2:17" ht="12.75" customHeight="1">
      <c r="J234" s="687"/>
      <c r="K234" s="687"/>
      <c r="L234" s="141"/>
      <c r="M234" s="372"/>
      <c r="N234" s="372"/>
      <c r="O234" s="372"/>
      <c r="P234" s="372"/>
      <c r="Q234" s="1175"/>
    </row>
    <row r="235" spans="2:17" ht="12.75" customHeight="1">
      <c r="B235" s="3" t="s">
        <v>48</v>
      </c>
      <c r="J235" s="153">
        <f>J71</f>
        <v>4.4509999999999996</v>
      </c>
      <c r="K235" s="153">
        <f>K71</f>
        <v>4.6509999999999998</v>
      </c>
      <c r="L235" s="153">
        <f t="shared" ref="L235:Q235" si="123">(L237*L9)/365</f>
        <v>4.3603124999999991</v>
      </c>
      <c r="M235" s="153">
        <f t="shared" si="123"/>
        <v>4.7963437500000001</v>
      </c>
      <c r="N235" s="153">
        <f t="shared" si="123"/>
        <v>5.2759781250000009</v>
      </c>
      <c r="O235" s="153">
        <f t="shared" si="123"/>
        <v>5.8035759375000016</v>
      </c>
      <c r="P235" s="153">
        <f t="shared" si="123"/>
        <v>6.383933531250003</v>
      </c>
      <c r="Q235" s="153">
        <f t="shared" si="123"/>
        <v>7.022326884375004</v>
      </c>
    </row>
    <row r="236" spans="2:17" ht="12.75" customHeight="1">
      <c r="B236" s="151" t="s">
        <v>98</v>
      </c>
      <c r="J236" s="141">
        <f t="shared" ref="J236:Q236" si="124">J235/J60</f>
        <v>1.0605194186323563</v>
      </c>
      <c r="K236" s="141">
        <f t="shared" si="124"/>
        <v>0.99020651479667865</v>
      </c>
      <c r="L236" s="141">
        <f t="shared" si="124"/>
        <v>0.99020651479667876</v>
      </c>
      <c r="M236" s="141">
        <f t="shared" si="124"/>
        <v>0.99020651479667876</v>
      </c>
      <c r="N236" s="141">
        <f t="shared" si="124"/>
        <v>0.99020651479667865</v>
      </c>
      <c r="O236" s="141">
        <f t="shared" si="124"/>
        <v>0.99020651479667876</v>
      </c>
      <c r="P236" s="141">
        <f t="shared" si="124"/>
        <v>0.99020651479667865</v>
      </c>
      <c r="Q236" s="141">
        <f t="shared" si="124"/>
        <v>0.99020651479667876</v>
      </c>
    </row>
    <row r="237" spans="2:17" ht="12.75" customHeight="1">
      <c r="B237" s="151" t="s">
        <v>99</v>
      </c>
      <c r="J237" s="161">
        <f>J235/J9*365</f>
        <v>70.635434782608698</v>
      </c>
      <c r="K237" s="161">
        <f>K235/K9*365</f>
        <v>70.733958333333334</v>
      </c>
      <c r="L237" s="201">
        <f t="shared" ref="L237:Q237" si="125">K237</f>
        <v>70.733958333333334</v>
      </c>
      <c r="M237" s="201">
        <f t="shared" si="125"/>
        <v>70.733958333333334</v>
      </c>
      <c r="N237" s="161">
        <f t="shared" si="125"/>
        <v>70.733958333333334</v>
      </c>
      <c r="O237" s="161">
        <f t="shared" si="125"/>
        <v>70.733958333333334</v>
      </c>
      <c r="P237" s="161">
        <f t="shared" si="125"/>
        <v>70.733958333333334</v>
      </c>
      <c r="Q237" s="161">
        <f t="shared" si="125"/>
        <v>70.733958333333334</v>
      </c>
    </row>
    <row r="238" spans="2:17" ht="12.75" customHeight="1">
      <c r="J238" s="310"/>
      <c r="K238" s="310"/>
      <c r="L238" s="161"/>
      <c r="M238" s="201"/>
      <c r="N238" s="201"/>
      <c r="O238" s="201"/>
      <c r="P238" s="201"/>
      <c r="Q238" s="1174"/>
    </row>
    <row r="239" spans="2:17" ht="12.75" customHeight="1">
      <c r="B239" s="3" t="s">
        <v>100</v>
      </c>
      <c r="J239" s="153">
        <f>J72</f>
        <v>5.6390000000000002</v>
      </c>
      <c r="K239" s="153">
        <f>K72</f>
        <v>5.8390000000000004</v>
      </c>
      <c r="L239" s="153">
        <f t="shared" ref="L239:Q239" si="126">L8*L240</f>
        <v>6.0822916666666673</v>
      </c>
      <c r="M239" s="153">
        <f t="shared" si="126"/>
        <v>6.690520833333335</v>
      </c>
      <c r="N239" s="153">
        <f t="shared" si="126"/>
        <v>7.3595729166666688</v>
      </c>
      <c r="O239" s="153">
        <f t="shared" si="126"/>
        <v>8.0955302083333365</v>
      </c>
      <c r="P239" s="153">
        <f t="shared" si="126"/>
        <v>8.9050832291666726</v>
      </c>
      <c r="Q239" s="153">
        <f t="shared" si="126"/>
        <v>9.7955915520833408</v>
      </c>
    </row>
    <row r="240" spans="2:17" ht="12.75" customHeight="1">
      <c r="B240" s="151" t="s">
        <v>259</v>
      </c>
      <c r="J240" s="141">
        <f>J239/J8</f>
        <v>0.12258695652173913</v>
      </c>
      <c r="K240" s="141">
        <f>K239/K8</f>
        <v>0.12164583333333334</v>
      </c>
      <c r="L240" s="372">
        <f t="shared" ref="L240:Q240" si="127">K240</f>
        <v>0.12164583333333334</v>
      </c>
      <c r="M240" s="372">
        <f t="shared" si="127"/>
        <v>0.12164583333333334</v>
      </c>
      <c r="N240" s="141">
        <f t="shared" si="127"/>
        <v>0.12164583333333334</v>
      </c>
      <c r="O240" s="141">
        <f t="shared" si="127"/>
        <v>0.12164583333333334</v>
      </c>
      <c r="P240" s="141">
        <f t="shared" si="127"/>
        <v>0.12164583333333334</v>
      </c>
      <c r="Q240" s="141">
        <f t="shared" si="127"/>
        <v>0.12164583333333334</v>
      </c>
    </row>
    <row r="241" spans="1:17">
      <c r="J241" s="1075"/>
      <c r="K241" s="1075"/>
      <c r="L241" s="1075"/>
      <c r="M241" s="1176"/>
      <c r="N241" s="1176"/>
      <c r="O241" s="1176"/>
      <c r="P241" s="1176"/>
      <c r="Q241" s="1176"/>
    </row>
    <row r="242" spans="1:17" ht="15.95" customHeight="1" thickBot="1">
      <c r="A242" s="4" t="s">
        <v>167</v>
      </c>
      <c r="B242" s="628" t="s">
        <v>181</v>
      </c>
      <c r="C242" s="628"/>
      <c r="D242" s="629"/>
      <c r="E242" s="629"/>
      <c r="F242" s="629"/>
      <c r="G242" s="629"/>
      <c r="H242" s="629"/>
      <c r="I242" s="629"/>
      <c r="J242" s="629"/>
      <c r="K242" s="629"/>
      <c r="L242" s="629"/>
      <c r="M242" s="629"/>
      <c r="N242" s="629"/>
      <c r="O242" s="630"/>
      <c r="P242" s="630"/>
      <c r="Q242" s="630"/>
    </row>
    <row r="243" spans="1:17" ht="12.75" customHeight="1">
      <c r="B243" s="117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4"/>
    </row>
    <row r="244" spans="1:17" ht="12.75" customHeight="1">
      <c r="B244" s="211" t="s">
        <v>182</v>
      </c>
      <c r="C244" s="1178">
        <v>1</v>
      </c>
      <c r="D244" s="257" t="str">
        <f>INDEX(C247:C251,tcase)</f>
        <v>Wall street consensus</v>
      </c>
      <c r="G244" s="4"/>
      <c r="H244" s="4"/>
      <c r="I244" s="205" t="str">
        <f>$B$7</f>
        <v>Fiscal Year Ended December 31,</v>
      </c>
      <c r="J244" s="142"/>
      <c r="K244" s="142"/>
      <c r="L244" s="1179">
        <f t="shared" ref="L244:Q244" si="128">L7</f>
        <v>2019</v>
      </c>
      <c r="M244" s="1180">
        <f t="shared" si="128"/>
        <v>2020</v>
      </c>
      <c r="N244" s="1180">
        <f t="shared" si="128"/>
        <v>2021</v>
      </c>
      <c r="O244" s="1180">
        <f t="shared" si="128"/>
        <v>2022</v>
      </c>
      <c r="P244" s="1180">
        <f t="shared" si="128"/>
        <v>2023</v>
      </c>
      <c r="Q244" s="1180">
        <f t="shared" si="128"/>
        <v>2024</v>
      </c>
    </row>
    <row r="245" spans="1:17" ht="12.75" customHeight="1">
      <c r="C245" s="4"/>
      <c r="D245" s="4"/>
      <c r="G245" s="4"/>
      <c r="H245" s="4"/>
      <c r="I245" s="1181"/>
      <c r="J245" s="767"/>
      <c r="K245" s="767"/>
      <c r="L245" s="1182"/>
      <c r="M245" s="1182"/>
      <c r="N245" s="1182"/>
      <c r="O245" s="1183"/>
      <c r="P245" s="1183"/>
      <c r="Q245" s="1183"/>
    </row>
    <row r="246" spans="1:17" ht="12.75" customHeight="1">
      <c r="B246" s="1184" t="s">
        <v>182</v>
      </c>
      <c r="C246" s="211" t="s">
        <v>319</v>
      </c>
      <c r="D246" s="4"/>
      <c r="E246" s="211" t="s">
        <v>317</v>
      </c>
      <c r="G246" s="4"/>
      <c r="H246" s="4"/>
      <c r="I246" s="1185" t="s">
        <v>260</v>
      </c>
      <c r="K246" s="1186">
        <f>$C$244</f>
        <v>1</v>
      </c>
      <c r="L246" s="1187">
        <f t="shared" ref="L246:Q246" si="129">INDEX(L247:L251,$K246)</f>
        <v>4.1666666666666741E-2</v>
      </c>
      <c r="M246" s="368">
        <f t="shared" si="129"/>
        <v>0.10000000000000009</v>
      </c>
      <c r="N246" s="368">
        <f t="shared" si="129"/>
        <v>0.10000000000000009</v>
      </c>
      <c r="O246" s="368">
        <f t="shared" si="129"/>
        <v>0.10000000000000009</v>
      </c>
      <c r="P246" s="368">
        <f t="shared" si="129"/>
        <v>0.10000000000000009</v>
      </c>
      <c r="Q246" s="1188">
        <f t="shared" si="129"/>
        <v>0.10000000000000009</v>
      </c>
    </row>
    <row r="247" spans="1:17" ht="12.75" customHeight="1">
      <c r="B247" s="1189">
        <v>1</v>
      </c>
      <c r="C247" s="1190" t="s">
        <v>669</v>
      </c>
      <c r="D247" s="156"/>
      <c r="E247" s="1190" t="s">
        <v>670</v>
      </c>
      <c r="F247" s="156"/>
      <c r="G247" s="4"/>
      <c r="H247" s="4"/>
      <c r="K247" s="1191">
        <v>1</v>
      </c>
      <c r="L247" s="372">
        <f>+Inputs!M35/'Tar Income Statement'!L7-1</f>
        <v>4.1666666666666741E-2</v>
      </c>
      <c r="M247" s="372">
        <f>+Inputs!N35/Inputs!M35-1</f>
        <v>0.10000000000000009</v>
      </c>
      <c r="N247" s="889">
        <f t="shared" ref="N247:Q251" si="130">+M247</f>
        <v>0.10000000000000009</v>
      </c>
      <c r="O247" s="889">
        <f t="shared" si="130"/>
        <v>0.10000000000000009</v>
      </c>
      <c r="P247" s="889">
        <f t="shared" si="130"/>
        <v>0.10000000000000009</v>
      </c>
      <c r="Q247" s="889">
        <f t="shared" si="130"/>
        <v>0.10000000000000009</v>
      </c>
    </row>
    <row r="248" spans="1:17" ht="12.75" customHeight="1">
      <c r="B248" s="778">
        <v>2</v>
      </c>
      <c r="C248" s="1" t="s">
        <v>422</v>
      </c>
      <c r="D248" s="4"/>
      <c r="E248" s="1" t="s">
        <v>401</v>
      </c>
      <c r="G248" s="4"/>
      <c r="H248" s="4"/>
      <c r="K248" s="1192">
        <f>K247+1</f>
        <v>2</v>
      </c>
      <c r="L248" s="372">
        <v>0</v>
      </c>
      <c r="M248" s="372">
        <v>0</v>
      </c>
      <c r="N248" s="141">
        <f t="shared" si="130"/>
        <v>0</v>
      </c>
      <c r="O248" s="141">
        <f t="shared" si="130"/>
        <v>0</v>
      </c>
      <c r="P248" s="141">
        <f t="shared" si="130"/>
        <v>0</v>
      </c>
      <c r="Q248" s="141">
        <f t="shared" si="130"/>
        <v>0</v>
      </c>
    </row>
    <row r="249" spans="1:17" ht="12.75" customHeight="1">
      <c r="B249" s="778">
        <v>3</v>
      </c>
      <c r="C249" s="1" t="s">
        <v>427</v>
      </c>
      <c r="D249" s="4"/>
      <c r="E249" s="1" t="s">
        <v>401</v>
      </c>
      <c r="G249" s="4"/>
      <c r="H249" s="4"/>
      <c r="K249" s="1192">
        <f>K248+1</f>
        <v>3</v>
      </c>
      <c r="L249" s="372">
        <v>0</v>
      </c>
      <c r="M249" s="372">
        <v>0</v>
      </c>
      <c r="N249" s="141">
        <f t="shared" si="130"/>
        <v>0</v>
      </c>
      <c r="O249" s="141">
        <f t="shared" si="130"/>
        <v>0</v>
      </c>
      <c r="P249" s="141">
        <f t="shared" si="130"/>
        <v>0</v>
      </c>
      <c r="Q249" s="141">
        <f t="shared" si="130"/>
        <v>0</v>
      </c>
    </row>
    <row r="250" spans="1:17" ht="12.75" customHeight="1">
      <c r="B250" s="778">
        <v>4</v>
      </c>
      <c r="C250" s="1" t="s">
        <v>428</v>
      </c>
      <c r="D250" s="4"/>
      <c r="E250" s="1" t="s">
        <v>401</v>
      </c>
      <c r="G250" s="4"/>
      <c r="H250" s="4"/>
      <c r="K250" s="1192">
        <f>K249+1</f>
        <v>4</v>
      </c>
      <c r="L250" s="372">
        <v>0</v>
      </c>
      <c r="M250" s="372">
        <v>0</v>
      </c>
      <c r="N250" s="141">
        <f t="shared" si="130"/>
        <v>0</v>
      </c>
      <c r="O250" s="141">
        <f t="shared" si="130"/>
        <v>0</v>
      </c>
      <c r="P250" s="141">
        <f t="shared" si="130"/>
        <v>0</v>
      </c>
      <c r="Q250" s="141">
        <f t="shared" si="130"/>
        <v>0</v>
      </c>
    </row>
    <row r="251" spans="1:17" ht="12.75" customHeight="1">
      <c r="B251" s="778">
        <v>5</v>
      </c>
      <c r="C251" s="1" t="s">
        <v>429</v>
      </c>
      <c r="D251" s="4"/>
      <c r="E251" s="1" t="s">
        <v>401</v>
      </c>
      <c r="G251" s="4"/>
      <c r="H251" s="4"/>
      <c r="K251" s="1192">
        <f>K250+1</f>
        <v>5</v>
      </c>
      <c r="L251" s="372">
        <v>0</v>
      </c>
      <c r="M251" s="372">
        <v>0</v>
      </c>
      <c r="N251" s="141">
        <f t="shared" si="130"/>
        <v>0</v>
      </c>
      <c r="O251" s="141">
        <f t="shared" si="130"/>
        <v>0</v>
      </c>
      <c r="P251" s="141">
        <f t="shared" si="130"/>
        <v>0</v>
      </c>
      <c r="Q251" s="141">
        <f t="shared" si="130"/>
        <v>0</v>
      </c>
    </row>
    <row r="252" spans="1:17" ht="12.75" customHeight="1">
      <c r="G252" s="4"/>
      <c r="H252" s="4"/>
      <c r="I252" s="4"/>
      <c r="J252" s="4"/>
      <c r="K252" s="4"/>
      <c r="M252" s="1193"/>
      <c r="N252" s="1193"/>
      <c r="O252" s="1193"/>
      <c r="P252" s="1193"/>
      <c r="Q252" s="1193"/>
    </row>
    <row r="253" spans="1:17" ht="12.75" customHeight="1">
      <c r="B253" s="257"/>
      <c r="C253" s="17"/>
      <c r="G253" s="4"/>
      <c r="H253" s="4"/>
      <c r="I253" s="1185" t="s">
        <v>74</v>
      </c>
      <c r="K253" s="1186">
        <f>$C$244</f>
        <v>1</v>
      </c>
      <c r="L253" s="1187">
        <f t="shared" ref="L253:Q253" si="131">INDEX(L254:L258,$K253)</f>
        <v>0.55000000000000004</v>
      </c>
      <c r="M253" s="368">
        <f t="shared" si="131"/>
        <v>0.55000000000000004</v>
      </c>
      <c r="N253" s="368">
        <f t="shared" si="131"/>
        <v>0.55000000000000004</v>
      </c>
      <c r="O253" s="368">
        <f t="shared" si="131"/>
        <v>0.55000000000000004</v>
      </c>
      <c r="P253" s="368">
        <f t="shared" si="131"/>
        <v>0.55000000000000004</v>
      </c>
      <c r="Q253" s="1188">
        <f t="shared" si="131"/>
        <v>0.55000000000000004</v>
      </c>
    </row>
    <row r="254" spans="1:17" ht="12.75" customHeight="1">
      <c r="B254" s="4"/>
      <c r="C254" s="1194"/>
      <c r="G254" s="4"/>
      <c r="H254" s="4"/>
      <c r="K254" s="1195">
        <f>K$247</f>
        <v>1</v>
      </c>
      <c r="L254" s="372">
        <v>0.55000000000000004</v>
      </c>
      <c r="M254" s="372">
        <v>0.55000000000000004</v>
      </c>
      <c r="N254" s="889">
        <f t="shared" ref="N254:Q258" si="132">+M254</f>
        <v>0.55000000000000004</v>
      </c>
      <c r="O254" s="889">
        <f t="shared" si="132"/>
        <v>0.55000000000000004</v>
      </c>
      <c r="P254" s="889">
        <f t="shared" si="132"/>
        <v>0.55000000000000004</v>
      </c>
      <c r="Q254" s="889">
        <f t="shared" si="132"/>
        <v>0.55000000000000004</v>
      </c>
    </row>
    <row r="255" spans="1:17" ht="13.5">
      <c r="G255" s="4"/>
      <c r="H255" s="4"/>
      <c r="K255" s="1192">
        <f>K254+1</f>
        <v>2</v>
      </c>
      <c r="L255" s="372">
        <v>0</v>
      </c>
      <c r="M255" s="372">
        <v>0</v>
      </c>
      <c r="N255" s="141">
        <f t="shared" si="132"/>
        <v>0</v>
      </c>
      <c r="O255" s="141">
        <f t="shared" si="132"/>
        <v>0</v>
      </c>
      <c r="P255" s="141">
        <f t="shared" si="132"/>
        <v>0</v>
      </c>
      <c r="Q255" s="141">
        <f t="shared" si="132"/>
        <v>0</v>
      </c>
    </row>
    <row r="256" spans="1:17" ht="13.5">
      <c r="G256" s="4"/>
      <c r="H256" s="4"/>
      <c r="K256" s="1192">
        <f>K255+1</f>
        <v>3</v>
      </c>
      <c r="L256" s="372">
        <v>0</v>
      </c>
      <c r="M256" s="372">
        <v>0</v>
      </c>
      <c r="N256" s="141">
        <f t="shared" si="132"/>
        <v>0</v>
      </c>
      <c r="O256" s="141">
        <f t="shared" si="132"/>
        <v>0</v>
      </c>
      <c r="P256" s="141">
        <f t="shared" si="132"/>
        <v>0</v>
      </c>
      <c r="Q256" s="141">
        <f t="shared" si="132"/>
        <v>0</v>
      </c>
    </row>
    <row r="257" spans="1:20" ht="13.5">
      <c r="G257" s="4"/>
      <c r="H257" s="4"/>
      <c r="K257" s="1192">
        <f>K256+1</f>
        <v>4</v>
      </c>
      <c r="L257" s="372">
        <v>0</v>
      </c>
      <c r="M257" s="372">
        <v>0</v>
      </c>
      <c r="N257" s="141">
        <f t="shared" si="132"/>
        <v>0</v>
      </c>
      <c r="O257" s="141">
        <f t="shared" si="132"/>
        <v>0</v>
      </c>
      <c r="P257" s="141">
        <f t="shared" si="132"/>
        <v>0</v>
      </c>
      <c r="Q257" s="141">
        <f t="shared" si="132"/>
        <v>0</v>
      </c>
    </row>
    <row r="258" spans="1:20" ht="12.75" customHeight="1">
      <c r="G258" s="4"/>
      <c r="H258" s="4"/>
      <c r="K258" s="1192">
        <f>K257+1</f>
        <v>5</v>
      </c>
      <c r="L258" s="372">
        <v>0</v>
      </c>
      <c r="M258" s="372">
        <v>0</v>
      </c>
      <c r="N258" s="141">
        <f t="shared" si="132"/>
        <v>0</v>
      </c>
      <c r="O258" s="141">
        <f t="shared" si="132"/>
        <v>0</v>
      </c>
      <c r="P258" s="141">
        <f t="shared" si="132"/>
        <v>0</v>
      </c>
      <c r="Q258" s="141">
        <f t="shared" si="132"/>
        <v>0</v>
      </c>
    </row>
    <row r="259" spans="1:20">
      <c r="G259" s="4"/>
      <c r="H259" s="4"/>
      <c r="I259" s="4"/>
      <c r="J259" s="4"/>
      <c r="K259" s="4"/>
      <c r="M259" s="1193"/>
      <c r="N259" s="1193"/>
      <c r="O259" s="1193"/>
      <c r="P259" s="1193"/>
      <c r="Q259" s="1193"/>
    </row>
    <row r="260" spans="1:20">
      <c r="G260" s="4"/>
      <c r="H260" s="4"/>
      <c r="I260" s="1185" t="s">
        <v>318</v>
      </c>
      <c r="K260" s="1186">
        <f>$C$244</f>
        <v>1</v>
      </c>
      <c r="L260" s="1187">
        <f t="shared" ref="L260:Q260" si="133">INDEX(L261:L265,$K260)</f>
        <v>0.25</v>
      </c>
      <c r="M260" s="368">
        <f t="shared" si="133"/>
        <v>0.25</v>
      </c>
      <c r="N260" s="368">
        <f t="shared" si="133"/>
        <v>0.25</v>
      </c>
      <c r="O260" s="368">
        <f t="shared" si="133"/>
        <v>0.25</v>
      </c>
      <c r="P260" s="368">
        <f t="shared" si="133"/>
        <v>0.25</v>
      </c>
      <c r="Q260" s="1188">
        <f t="shared" si="133"/>
        <v>0.25</v>
      </c>
      <c r="T260" s="303"/>
    </row>
    <row r="261" spans="1:20" ht="13.5">
      <c r="K261" s="1195">
        <f>K$247</f>
        <v>1</v>
      </c>
      <c r="L261" s="372">
        <v>0.25</v>
      </c>
      <c r="M261" s="372">
        <v>0.25</v>
      </c>
      <c r="N261" s="141">
        <f t="shared" ref="N261:Q265" si="134">+M261</f>
        <v>0.25</v>
      </c>
      <c r="O261" s="141">
        <f t="shared" si="134"/>
        <v>0.25</v>
      </c>
      <c r="P261" s="141">
        <f t="shared" si="134"/>
        <v>0.25</v>
      </c>
      <c r="Q261" s="141">
        <f t="shared" si="134"/>
        <v>0.25</v>
      </c>
      <c r="T261" s="303"/>
    </row>
    <row r="262" spans="1:20" ht="13.5">
      <c r="K262" s="1192">
        <f>K261+1</f>
        <v>2</v>
      </c>
      <c r="L262" s="372">
        <v>0</v>
      </c>
      <c r="M262" s="372">
        <v>0</v>
      </c>
      <c r="N262" s="141">
        <f t="shared" si="134"/>
        <v>0</v>
      </c>
      <c r="O262" s="141">
        <f t="shared" si="134"/>
        <v>0</v>
      </c>
      <c r="P262" s="141">
        <f t="shared" si="134"/>
        <v>0</v>
      </c>
      <c r="Q262" s="141">
        <f t="shared" si="134"/>
        <v>0</v>
      </c>
      <c r="T262" s="303"/>
    </row>
    <row r="263" spans="1:20" ht="13.5">
      <c r="K263" s="1192">
        <f>K262+1</f>
        <v>3</v>
      </c>
      <c r="L263" s="372">
        <v>0</v>
      </c>
      <c r="M263" s="372">
        <v>0</v>
      </c>
      <c r="N263" s="141">
        <f t="shared" si="134"/>
        <v>0</v>
      </c>
      <c r="O263" s="141">
        <f t="shared" si="134"/>
        <v>0</v>
      </c>
      <c r="P263" s="141">
        <f t="shared" si="134"/>
        <v>0</v>
      </c>
      <c r="Q263" s="141">
        <f t="shared" si="134"/>
        <v>0</v>
      </c>
      <c r="T263" s="303"/>
    </row>
    <row r="264" spans="1:20" ht="13.5">
      <c r="B264" s="4"/>
      <c r="C264" s="4"/>
      <c r="D264" s="4"/>
      <c r="E264" s="4"/>
      <c r="F264" s="4"/>
      <c r="G264" s="4"/>
      <c r="H264" s="4"/>
      <c r="I264" s="4"/>
      <c r="J264" s="4"/>
      <c r="K264" s="1192">
        <f>K263+1</f>
        <v>4</v>
      </c>
      <c r="L264" s="372">
        <v>0</v>
      </c>
      <c r="M264" s="372">
        <v>0</v>
      </c>
      <c r="N264" s="141">
        <f t="shared" si="134"/>
        <v>0</v>
      </c>
      <c r="O264" s="141">
        <f t="shared" si="134"/>
        <v>0</v>
      </c>
      <c r="P264" s="141">
        <f t="shared" si="134"/>
        <v>0</v>
      </c>
      <c r="Q264" s="141">
        <f t="shared" si="134"/>
        <v>0</v>
      </c>
    </row>
    <row r="265" spans="1:20" ht="13.5">
      <c r="B265" s="4"/>
      <c r="C265" s="4"/>
      <c r="D265" s="4"/>
      <c r="E265" s="4"/>
      <c r="F265" s="4"/>
      <c r="G265" s="4"/>
      <c r="H265" s="4"/>
      <c r="I265" s="4"/>
      <c r="J265" s="4"/>
      <c r="K265" s="1192">
        <f>K264+1</f>
        <v>5</v>
      </c>
      <c r="L265" s="372">
        <v>0</v>
      </c>
      <c r="M265" s="372">
        <v>0</v>
      </c>
      <c r="N265" s="141">
        <f t="shared" si="134"/>
        <v>0</v>
      </c>
      <c r="O265" s="141">
        <f t="shared" si="134"/>
        <v>0</v>
      </c>
      <c r="P265" s="141">
        <f t="shared" si="134"/>
        <v>0</v>
      </c>
      <c r="Q265" s="141">
        <f t="shared" si="134"/>
        <v>0</v>
      </c>
    </row>
    <row r="266" spans="1:20">
      <c r="Q266" s="3"/>
    </row>
    <row r="267" spans="1:20" ht="16.5" thickBot="1">
      <c r="A267" s="17" t="s">
        <v>167</v>
      </c>
      <c r="B267" s="1196" t="s">
        <v>474</v>
      </c>
      <c r="C267" s="1196"/>
      <c r="D267" s="1197"/>
      <c r="E267" s="1197"/>
      <c r="F267" s="1197"/>
      <c r="G267" s="1197"/>
      <c r="H267" s="1197"/>
      <c r="I267" s="1197"/>
      <c r="J267" s="1197"/>
      <c r="K267" s="1197"/>
      <c r="L267" s="1197"/>
      <c r="M267" s="1197"/>
      <c r="N267" s="1197"/>
      <c r="O267" s="1197"/>
      <c r="P267" s="1060"/>
      <c r="Q267" s="1060"/>
    </row>
    <row r="268" spans="1:20">
      <c r="Q268" s="3"/>
    </row>
    <row r="269" spans="1:20">
      <c r="K269" s="1198">
        <f>+K$7</f>
        <v>2018</v>
      </c>
      <c r="L269" s="1199">
        <f t="shared" ref="L269:Q269" si="135">+L$7</f>
        <v>2019</v>
      </c>
      <c r="M269" s="1200">
        <f t="shared" si="135"/>
        <v>2020</v>
      </c>
      <c r="N269" s="1200">
        <f t="shared" si="135"/>
        <v>2021</v>
      </c>
      <c r="O269" s="1200">
        <f t="shared" si="135"/>
        <v>2022</v>
      </c>
      <c r="P269" s="1200">
        <f t="shared" si="135"/>
        <v>2023</v>
      </c>
      <c r="Q269" s="1200">
        <f t="shared" si="135"/>
        <v>2024</v>
      </c>
    </row>
    <row r="270" spans="1:20">
      <c r="I270" s="3" t="s">
        <v>254</v>
      </c>
      <c r="K270" s="353">
        <f>+K8</f>
        <v>48</v>
      </c>
      <c r="L270" s="352">
        <f>Inputs!M35</f>
        <v>50</v>
      </c>
      <c r="M270" s="352">
        <f>Inputs!N35</f>
        <v>55</v>
      </c>
      <c r="N270" s="353">
        <f>(M270/L270)*M270</f>
        <v>60.500000000000007</v>
      </c>
      <c r="O270" s="353">
        <f>(N270/M270)*N270</f>
        <v>66.550000000000011</v>
      </c>
      <c r="P270" s="353">
        <f>(O270/N270)*O270</f>
        <v>73.205000000000013</v>
      </c>
      <c r="Q270" s="353">
        <f>(P270/O270)*P270</f>
        <v>80.525500000000022</v>
      </c>
    </row>
    <row r="271" spans="1:20">
      <c r="I271" s="3" t="s">
        <v>73</v>
      </c>
      <c r="L271" s="822">
        <f t="shared" ref="L271:Q271" si="136">+L272-L270</f>
        <v>-22.499999999999996</v>
      </c>
      <c r="M271" s="822">
        <f t="shared" si="136"/>
        <v>-24.749999999999996</v>
      </c>
      <c r="N271" s="822">
        <f t="shared" si="136"/>
        <v>-27.225000000000001</v>
      </c>
      <c r="O271" s="822">
        <f t="shared" si="136"/>
        <v>-29.947500000000005</v>
      </c>
      <c r="P271" s="822">
        <f t="shared" si="136"/>
        <v>-32.942250000000001</v>
      </c>
      <c r="Q271" s="822">
        <f t="shared" si="136"/>
        <v>-36.236475000000006</v>
      </c>
    </row>
    <row r="272" spans="1:20">
      <c r="I272" s="3" t="s">
        <v>117</v>
      </c>
      <c r="L272" s="1201">
        <f>Inputs!M36*L270</f>
        <v>27.500000000000004</v>
      </c>
      <c r="M272" s="1201">
        <f>Inputs!N36*M270</f>
        <v>30.250000000000004</v>
      </c>
      <c r="N272" s="1202">
        <f>(M272/M$270)*N$270</f>
        <v>33.275000000000006</v>
      </c>
      <c r="O272" s="1202">
        <f t="shared" ref="O272:Q276" si="137">(N272/N$270)*O$270</f>
        <v>36.602500000000006</v>
      </c>
      <c r="P272" s="1202">
        <f t="shared" si="137"/>
        <v>40.262750000000011</v>
      </c>
      <c r="Q272" s="1202">
        <f t="shared" si="137"/>
        <v>44.289025000000017</v>
      </c>
    </row>
    <row r="273" spans="1:17">
      <c r="I273" s="3" t="s">
        <v>119</v>
      </c>
      <c r="L273" s="822">
        <f t="shared" ref="L273:Q273" si="138">+L274-L272</f>
        <v>-7.5000000000000036</v>
      </c>
      <c r="M273" s="822">
        <f t="shared" si="138"/>
        <v>-5.2500000000000036</v>
      </c>
      <c r="N273" s="822">
        <f t="shared" si="138"/>
        <v>-5.7750000000000021</v>
      </c>
      <c r="O273" s="822">
        <f t="shared" si="138"/>
        <v>-6.3525000000000027</v>
      </c>
      <c r="P273" s="822">
        <f t="shared" si="138"/>
        <v>-6.9877500000000055</v>
      </c>
      <c r="Q273" s="822">
        <f t="shared" si="138"/>
        <v>-7.6865250000000103</v>
      </c>
    </row>
    <row r="274" spans="1:17">
      <c r="I274" s="3" t="s">
        <v>64</v>
      </c>
      <c r="K274" s="661"/>
      <c r="L274" s="1203">
        <f>Inputs!M37</f>
        <v>20</v>
      </c>
      <c r="M274" s="1203">
        <f>Inputs!N37</f>
        <v>25</v>
      </c>
      <c r="N274" s="1202">
        <f>(M274/M$270)*N$270</f>
        <v>27.500000000000004</v>
      </c>
      <c r="O274" s="1202">
        <f t="shared" si="137"/>
        <v>30.250000000000004</v>
      </c>
      <c r="P274" s="1202">
        <f t="shared" si="137"/>
        <v>33.275000000000006</v>
      </c>
      <c r="Q274" s="1202">
        <f t="shared" si="137"/>
        <v>36.602500000000006</v>
      </c>
    </row>
    <row r="275" spans="1:17">
      <c r="I275" s="3" t="s">
        <v>75</v>
      </c>
      <c r="L275" s="822">
        <f t="shared" ref="L275:Q275" si="139">+L276-L274</f>
        <v>-2</v>
      </c>
      <c r="M275" s="822">
        <f t="shared" si="139"/>
        <v>-3</v>
      </c>
      <c r="N275" s="822">
        <f t="shared" si="139"/>
        <v>-3.3000000000000007</v>
      </c>
      <c r="O275" s="822">
        <f t="shared" si="139"/>
        <v>-3.629999999999999</v>
      </c>
      <c r="P275" s="822">
        <f t="shared" si="139"/>
        <v>-3.9929999999999986</v>
      </c>
      <c r="Q275" s="822">
        <f t="shared" si="139"/>
        <v>-4.3922999999999988</v>
      </c>
    </row>
    <row r="276" spans="1:17">
      <c r="I276" s="3" t="s">
        <v>76</v>
      </c>
      <c r="L276" s="1203">
        <f>Inputs!M38</f>
        <v>18</v>
      </c>
      <c r="M276" s="1203">
        <f>Inputs!N38</f>
        <v>22</v>
      </c>
      <c r="N276" s="1202">
        <f>(M276/M$270)*N$270</f>
        <v>24.200000000000003</v>
      </c>
      <c r="O276" s="1202">
        <f t="shared" si="137"/>
        <v>26.620000000000005</v>
      </c>
      <c r="P276" s="1202">
        <f t="shared" si="137"/>
        <v>29.282000000000007</v>
      </c>
      <c r="Q276" s="1202">
        <f t="shared" si="137"/>
        <v>32.210200000000007</v>
      </c>
    </row>
    <row r="277" spans="1:17">
      <c r="I277" s="3" t="s">
        <v>130</v>
      </c>
      <c r="L277" s="822">
        <f t="shared" ref="L277:Q277" si="140">+L278-L276</f>
        <v>-4.5</v>
      </c>
      <c r="M277" s="822">
        <f t="shared" si="140"/>
        <v>-5.5</v>
      </c>
      <c r="N277" s="822">
        <f t="shared" si="140"/>
        <v>-5.225000000000005</v>
      </c>
      <c r="O277" s="822">
        <f t="shared" si="140"/>
        <v>-4.798750000000009</v>
      </c>
      <c r="P277" s="822">
        <f t="shared" si="140"/>
        <v>-4.1875625000000127</v>
      </c>
      <c r="Q277" s="822">
        <f t="shared" si="140"/>
        <v>-3.3515968750000162</v>
      </c>
    </row>
    <row r="278" spans="1:17">
      <c r="I278" s="3" t="s">
        <v>65</v>
      </c>
      <c r="L278" s="1203">
        <f>Inputs!M39</f>
        <v>13.5</v>
      </c>
      <c r="M278" s="1203">
        <f>Inputs!N39</f>
        <v>16.5</v>
      </c>
      <c r="N278" s="1204">
        <f>+M278*(1+tltg)</f>
        <v>18.974999999999998</v>
      </c>
      <c r="O278" s="1204">
        <f>+N278*(1+tltg)</f>
        <v>21.821249999999996</v>
      </c>
      <c r="P278" s="1204">
        <f>+O278*(1+tltg)</f>
        <v>25.094437499999994</v>
      </c>
      <c r="Q278" s="1204">
        <f>+P278*(1+tltg)</f>
        <v>28.858603124999991</v>
      </c>
    </row>
    <row r="279" spans="1:17">
      <c r="I279" s="3" t="s">
        <v>191</v>
      </c>
      <c r="L279" s="822">
        <f t="shared" ref="L279:Q279" si="141">+L278/L280</f>
        <v>6.8181818181818183</v>
      </c>
      <c r="M279" s="822">
        <f t="shared" si="141"/>
        <v>7.8571428571428568</v>
      </c>
      <c r="N279" s="822">
        <f t="shared" si="141"/>
        <v>7.8571428571428559</v>
      </c>
      <c r="O279" s="822">
        <f t="shared" si="141"/>
        <v>7.8571428571428559</v>
      </c>
      <c r="P279" s="822">
        <f t="shared" si="141"/>
        <v>7.8571428571428559</v>
      </c>
      <c r="Q279" s="822">
        <f t="shared" si="141"/>
        <v>7.8571428571428559</v>
      </c>
    </row>
    <row r="280" spans="1:17">
      <c r="I280" s="3" t="s">
        <v>310</v>
      </c>
      <c r="L280" s="1203">
        <f>Inputs!M41</f>
        <v>1.98</v>
      </c>
      <c r="M280" s="1203">
        <f>Inputs!N41</f>
        <v>2.1</v>
      </c>
      <c r="N280" s="1204">
        <f>+M280*(1+tltg)</f>
        <v>2.415</v>
      </c>
      <c r="O280" s="1204">
        <f>+N280*(1+tltg)</f>
        <v>2.77725</v>
      </c>
      <c r="P280" s="1204">
        <f>+O280*(1+tltg)</f>
        <v>3.1938374999999999</v>
      </c>
      <c r="Q280" s="1204">
        <f>+P280*(1+tltg)</f>
        <v>3.6729131249999996</v>
      </c>
    </row>
    <row r="281" spans="1:17">
      <c r="L281" s="822"/>
      <c r="M281" s="822"/>
      <c r="N281" s="822"/>
      <c r="O281" s="822"/>
      <c r="P281" s="822"/>
      <c r="Q281" s="822"/>
    </row>
    <row r="282" spans="1:17">
      <c r="I282" s="3" t="s">
        <v>64</v>
      </c>
      <c r="L282" s="343">
        <f t="shared" ref="L282:Q282" si="142">+L274</f>
        <v>20</v>
      </c>
      <c r="M282" s="343">
        <f t="shared" si="142"/>
        <v>25</v>
      </c>
      <c r="N282" s="343">
        <f t="shared" si="142"/>
        <v>27.500000000000004</v>
      </c>
      <c r="O282" s="343">
        <f t="shared" si="142"/>
        <v>30.250000000000004</v>
      </c>
      <c r="P282" s="343">
        <f t="shared" si="142"/>
        <v>33.275000000000006</v>
      </c>
      <c r="Q282" s="343">
        <f t="shared" si="142"/>
        <v>36.602500000000006</v>
      </c>
    </row>
    <row r="283" spans="1:17">
      <c r="I283" s="3" t="s">
        <v>78</v>
      </c>
      <c r="L283" s="822">
        <f t="shared" ref="L283:Q283" si="143">+L284-L282</f>
        <v>5</v>
      </c>
      <c r="M283" s="822">
        <f t="shared" si="143"/>
        <v>5</v>
      </c>
      <c r="N283" s="822">
        <f t="shared" si="143"/>
        <v>5.4999999999999964</v>
      </c>
      <c r="O283" s="822">
        <f t="shared" si="143"/>
        <v>6.0500000000000007</v>
      </c>
      <c r="P283" s="822">
        <f t="shared" si="143"/>
        <v>6.6550000000000011</v>
      </c>
      <c r="Q283" s="822">
        <f t="shared" si="143"/>
        <v>7.3205000000000027</v>
      </c>
    </row>
    <row r="284" spans="1:17">
      <c r="I284" s="3" t="s">
        <v>63</v>
      </c>
      <c r="L284" s="1203">
        <f>Inputs!M43</f>
        <v>25</v>
      </c>
      <c r="M284" s="1203">
        <f>Inputs!N43</f>
        <v>30</v>
      </c>
      <c r="N284" s="1202">
        <f>(M284/M$270)*N$270</f>
        <v>33</v>
      </c>
      <c r="O284" s="1202">
        <f>(N284/N$270)*O$270</f>
        <v>36.300000000000004</v>
      </c>
      <c r="P284" s="1202">
        <f>(O284/O$270)*P$270</f>
        <v>39.930000000000007</v>
      </c>
      <c r="Q284" s="1202">
        <f>(P284/P$270)*Q$270</f>
        <v>43.923000000000009</v>
      </c>
    </row>
    <row r="285" spans="1:17">
      <c r="L285" s="343"/>
      <c r="M285" s="343"/>
      <c r="N285" s="343"/>
      <c r="O285" s="343"/>
      <c r="P285" s="343"/>
      <c r="Q285" s="343"/>
    </row>
    <row r="286" spans="1:17">
      <c r="I286" s="3" t="s">
        <v>122</v>
      </c>
      <c r="L286" s="921">
        <f>Inputs!M44</f>
        <v>5</v>
      </c>
      <c r="M286" s="921">
        <f>Inputs!N44</f>
        <v>5.5</v>
      </c>
      <c r="N286" s="1205">
        <f>(M286/M$270)*N$270</f>
        <v>6.0500000000000007</v>
      </c>
      <c r="O286" s="1205">
        <f>(N286/N$270)*O$270</f>
        <v>6.6550000000000011</v>
      </c>
      <c r="P286" s="1205">
        <f>(O286/O$270)*P$270</f>
        <v>7.3205000000000018</v>
      </c>
      <c r="Q286" s="1205">
        <f>(P286/P$270)*Q$270</f>
        <v>8.0525500000000019</v>
      </c>
    </row>
    <row r="287" spans="1:17">
      <c r="L287" s="161"/>
      <c r="M287" s="161"/>
      <c r="N287" s="161"/>
      <c r="O287" s="161"/>
      <c r="P287" s="161"/>
      <c r="Q287" s="161"/>
    </row>
    <row r="288" spans="1:17" s="17" customFormat="1" ht="15.95" customHeight="1" thickBot="1">
      <c r="A288" s="17" t="s">
        <v>167</v>
      </c>
      <c r="B288" s="1196" t="s">
        <v>382</v>
      </c>
      <c r="C288" s="1196"/>
      <c r="D288" s="1197"/>
      <c r="E288" s="1197"/>
      <c r="F288" s="1197"/>
      <c r="G288" s="1197"/>
      <c r="H288" s="1197"/>
      <c r="I288" s="1197"/>
      <c r="J288" s="1197"/>
      <c r="K288" s="1197"/>
      <c r="L288" s="1197"/>
      <c r="M288" s="1197"/>
      <c r="N288" s="1197"/>
      <c r="O288" s="1197"/>
      <c r="P288" s="1060"/>
      <c r="Q288" s="1060"/>
    </row>
    <row r="289" spans="9:17">
      <c r="Q289" s="4"/>
    </row>
    <row r="290" spans="9:17">
      <c r="K290" s="1198">
        <f>+K$7</f>
        <v>2018</v>
      </c>
      <c r="L290" s="1199">
        <f t="shared" ref="L290:Q290" si="144">+L$7</f>
        <v>2019</v>
      </c>
      <c r="M290" s="1200">
        <f t="shared" si="144"/>
        <v>2020</v>
      </c>
      <c r="N290" s="1200">
        <f t="shared" si="144"/>
        <v>2021</v>
      </c>
      <c r="O290" s="1200">
        <f t="shared" si="144"/>
        <v>2022</v>
      </c>
      <c r="P290" s="1200">
        <f t="shared" si="144"/>
        <v>2023</v>
      </c>
      <c r="Q290" s="1200">
        <f t="shared" si="144"/>
        <v>2024</v>
      </c>
    </row>
    <row r="291" spans="9:17">
      <c r="I291" s="3" t="s">
        <v>383</v>
      </c>
      <c r="L291" s="138">
        <f t="shared" ref="L291:Q291" ca="1" si="145">L26</f>
        <v>1.6513782387494556</v>
      </c>
      <c r="M291" s="138">
        <f t="shared" ca="1" si="145"/>
        <v>1.8201391601437822</v>
      </c>
      <c r="N291" s="138">
        <f t="shared" ca="1" si="145"/>
        <v>2.0055836237636062</v>
      </c>
      <c r="O291" s="138">
        <f t="shared" ca="1" si="145"/>
        <v>2.2096004071628967</v>
      </c>
      <c r="P291" s="138">
        <f t="shared" ca="1" si="145"/>
        <v>2.4340468470412655</v>
      </c>
      <c r="Q291" s="138">
        <f t="shared" ca="1" si="145"/>
        <v>2.6809660141617333</v>
      </c>
    </row>
    <row r="292" spans="9:17">
      <c r="Q292" s="150"/>
    </row>
    <row r="293" spans="9:17">
      <c r="I293" s="3" t="s">
        <v>384</v>
      </c>
      <c r="L293" s="108">
        <f>Inputs!M41</f>
        <v>1.98</v>
      </c>
      <c r="M293" s="108">
        <f>Inputs!N41</f>
        <v>2.1</v>
      </c>
      <c r="N293" s="108">
        <f>Inputs!O41</f>
        <v>2.415</v>
      </c>
      <c r="O293" s="108">
        <f>Inputs!P41</f>
        <v>2.77725</v>
      </c>
      <c r="P293" s="108">
        <f>Inputs!Q41</f>
        <v>3.1938374999999999</v>
      </c>
      <c r="Q293" s="108">
        <f>P293*(1+tltg)</f>
        <v>3.6729131249999996</v>
      </c>
    </row>
    <row r="294" spans="9:17">
      <c r="I294" s="3" t="s">
        <v>171</v>
      </c>
      <c r="L294" s="161">
        <f t="shared" ref="L294:Q294" si="146">L25</f>
        <v>6.9126499999999993</v>
      </c>
      <c r="M294" s="161">
        <f t="shared" si="146"/>
        <v>6.9126499999999993</v>
      </c>
      <c r="N294" s="161">
        <f t="shared" si="146"/>
        <v>6.9126499999999993</v>
      </c>
      <c r="O294" s="161">
        <f t="shared" si="146"/>
        <v>6.9126499999999993</v>
      </c>
      <c r="P294" s="161">
        <f t="shared" si="146"/>
        <v>6.9126499999999993</v>
      </c>
      <c r="Q294" s="161">
        <f t="shared" si="146"/>
        <v>6.9126499999999993</v>
      </c>
    </row>
    <row r="295" spans="9:17">
      <c r="I295" s="3" t="s">
        <v>65</v>
      </c>
      <c r="L295" s="1206">
        <f t="shared" ref="L295:Q295" si="147">L293*L294</f>
        <v>13.687046999999998</v>
      </c>
      <c r="M295" s="1206">
        <f t="shared" si="147"/>
        <v>14.516565</v>
      </c>
      <c r="N295" s="1206">
        <f t="shared" si="147"/>
        <v>16.694049749999998</v>
      </c>
      <c r="O295" s="1206">
        <f t="shared" si="147"/>
        <v>19.198157212499996</v>
      </c>
      <c r="P295" s="1206">
        <f t="shared" si="147"/>
        <v>22.077880794374998</v>
      </c>
      <c r="Q295" s="1206">
        <f t="shared" si="147"/>
        <v>25.389562913531243</v>
      </c>
    </row>
    <row r="296" spans="9:17">
      <c r="I296" s="3" t="s">
        <v>76</v>
      </c>
      <c r="K296" s="661"/>
      <c r="L296" s="161">
        <f t="shared" ref="L296:Q296" si="148">L295/(1-L31)</f>
        <v>18.249395999999997</v>
      </c>
      <c r="M296" s="161">
        <f t="shared" si="148"/>
        <v>19.355419999999999</v>
      </c>
      <c r="N296" s="161">
        <f t="shared" si="148"/>
        <v>22.258732999999996</v>
      </c>
      <c r="O296" s="161">
        <f t="shared" si="148"/>
        <v>25.597542949999994</v>
      </c>
      <c r="P296" s="161">
        <f t="shared" si="148"/>
        <v>29.437174392499998</v>
      </c>
      <c r="Q296" s="161">
        <f t="shared" si="148"/>
        <v>33.852750551374989</v>
      </c>
    </row>
    <row r="297" spans="9:17">
      <c r="I297" s="3" t="s">
        <v>121</v>
      </c>
      <c r="L297" s="161">
        <f t="shared" ref="L297:Q297" ca="1" si="149">L15</f>
        <v>-0.22053304278856189</v>
      </c>
      <c r="M297" s="161">
        <f t="shared" ca="1" si="149"/>
        <v>-0.27597995382387691</v>
      </c>
      <c r="N297" s="161">
        <f t="shared" ca="1" si="149"/>
        <v>-0.33519684907932046</v>
      </c>
      <c r="O297" s="161">
        <f t="shared" ca="1" si="149"/>
        <v>-0.40059233943278066</v>
      </c>
      <c r="P297" s="161">
        <f t="shared" ca="1" si="149"/>
        <v>-0.47278524959971663</v>
      </c>
      <c r="Q297" s="161">
        <f t="shared" ca="1" si="149"/>
        <v>-0.5524562903934539</v>
      </c>
    </row>
    <row r="298" spans="9:17">
      <c r="I298" s="3" t="s">
        <v>385</v>
      </c>
      <c r="L298" s="161">
        <f t="shared" ref="L298:Q298" si="150">L14</f>
        <v>0</v>
      </c>
      <c r="M298" s="161">
        <f t="shared" si="150"/>
        <v>0</v>
      </c>
      <c r="N298" s="161">
        <f t="shared" si="150"/>
        <v>0</v>
      </c>
      <c r="O298" s="161">
        <f t="shared" si="150"/>
        <v>0</v>
      </c>
      <c r="P298" s="161">
        <f t="shared" si="150"/>
        <v>0</v>
      </c>
      <c r="Q298" s="161">
        <f t="shared" si="150"/>
        <v>0</v>
      </c>
    </row>
    <row r="299" spans="9:17">
      <c r="I299" s="3" t="s">
        <v>64</v>
      </c>
      <c r="L299" s="1207">
        <f t="shared" ref="L299:Q299" ca="1" si="151">SUM(L296:L298)</f>
        <v>18.028862957211434</v>
      </c>
      <c r="M299" s="1207">
        <f t="shared" ca="1" si="151"/>
        <v>19.079440046176121</v>
      </c>
      <c r="N299" s="1207">
        <f t="shared" ca="1" si="151"/>
        <v>21.923536150920675</v>
      </c>
      <c r="O299" s="1207">
        <f t="shared" ca="1" si="151"/>
        <v>25.196950610567214</v>
      </c>
      <c r="P299" s="1207">
        <f t="shared" ca="1" si="151"/>
        <v>28.964389142900281</v>
      </c>
      <c r="Q299" s="1207">
        <f t="shared" ca="1" si="151"/>
        <v>33.300294260981538</v>
      </c>
    </row>
    <row r="300" spans="9:17">
      <c r="I300" s="3" t="s">
        <v>385</v>
      </c>
      <c r="L300" s="161">
        <f t="shared" ref="L300:Q300" si="152">L12</f>
        <v>0</v>
      </c>
      <c r="M300" s="161">
        <f t="shared" si="152"/>
        <v>0</v>
      </c>
      <c r="N300" s="161">
        <f t="shared" si="152"/>
        <v>0</v>
      </c>
      <c r="O300" s="161">
        <f t="shared" si="152"/>
        <v>0</v>
      </c>
      <c r="P300" s="161">
        <f t="shared" si="152"/>
        <v>0</v>
      </c>
      <c r="Q300" s="161">
        <f t="shared" si="152"/>
        <v>0</v>
      </c>
    </row>
    <row r="301" spans="9:17">
      <c r="I301" s="3" t="s">
        <v>386</v>
      </c>
      <c r="L301" s="1207">
        <f t="shared" ref="L301:Q301" ca="1" si="153">L302-SUM(L299:L300)</f>
        <v>9.4711370427885697</v>
      </c>
      <c r="M301" s="1207">
        <f t="shared" ca="1" si="153"/>
        <v>11.170559953823886</v>
      </c>
      <c r="N301" s="1207">
        <f t="shared" ca="1" si="153"/>
        <v>11.35146384907933</v>
      </c>
      <c r="O301" s="1207">
        <f t="shared" ca="1" si="153"/>
        <v>11.405549389432807</v>
      </c>
      <c r="P301" s="1207">
        <f t="shared" ca="1" si="153"/>
        <v>11.298360857099745</v>
      </c>
      <c r="Q301" s="1207">
        <f t="shared" ca="1" si="153"/>
        <v>10.988730739018493</v>
      </c>
    </row>
    <row r="302" spans="9:17">
      <c r="I302" s="3" t="s">
        <v>117</v>
      </c>
      <c r="L302" s="161">
        <f t="shared" ref="L302:Q302" si="154">L10</f>
        <v>27.500000000000004</v>
      </c>
      <c r="M302" s="161">
        <f t="shared" si="154"/>
        <v>30.250000000000007</v>
      </c>
      <c r="N302" s="161">
        <f t="shared" si="154"/>
        <v>33.275000000000006</v>
      </c>
      <c r="O302" s="161">
        <f t="shared" si="154"/>
        <v>36.60250000000002</v>
      </c>
      <c r="P302" s="161">
        <f t="shared" si="154"/>
        <v>40.262750000000025</v>
      </c>
      <c r="Q302" s="161">
        <f t="shared" si="154"/>
        <v>44.289025000000031</v>
      </c>
    </row>
    <row r="303" spans="9:17">
      <c r="I303" s="3" t="s">
        <v>387</v>
      </c>
      <c r="L303" s="161">
        <f t="shared" ref="L303:Q303" si="155">L8</f>
        <v>50</v>
      </c>
      <c r="M303" s="161">
        <f t="shared" si="155"/>
        <v>55.000000000000007</v>
      </c>
      <c r="N303" s="161">
        <f t="shared" si="155"/>
        <v>60.500000000000014</v>
      </c>
      <c r="O303" s="161">
        <f t="shared" si="155"/>
        <v>66.550000000000026</v>
      </c>
      <c r="P303" s="161">
        <f t="shared" si="155"/>
        <v>73.205000000000041</v>
      </c>
      <c r="Q303" s="161">
        <f t="shared" si="155"/>
        <v>80.525500000000051</v>
      </c>
    </row>
    <row r="304" spans="9:17">
      <c r="I304" s="1051" t="s">
        <v>388</v>
      </c>
      <c r="L304" s="1208">
        <f t="shared" ref="L304:Q304" ca="1" si="156">L301/L303</f>
        <v>0.1894227408557714</v>
      </c>
      <c r="M304" s="1208">
        <f t="shared" ca="1" si="156"/>
        <v>0.20310109006952518</v>
      </c>
      <c r="N304" s="1208">
        <f t="shared" ca="1" si="156"/>
        <v>0.18762750163767483</v>
      </c>
      <c r="O304" s="1208">
        <f t="shared" ca="1" si="156"/>
        <v>0.17138316137389636</v>
      </c>
      <c r="P304" s="1208">
        <f t="shared" ca="1" si="156"/>
        <v>0.15433864977938308</v>
      </c>
      <c r="Q304" s="1208">
        <f t="shared" ca="1" si="156"/>
        <v>0.13646274458424332</v>
      </c>
    </row>
    <row r="305" spans="17:17">
      <c r="Q305" s="3"/>
    </row>
    <row r="306" spans="17:17">
      <c r="Q306" s="3"/>
    </row>
  </sheetData>
  <customSheetViews>
    <customSheetView guid="{9AE38660-BF5A-49A3-9FC0-AD5890AFC019}" scale="85" showPageBreaks="1" showGridLines="0" printArea="1" hiddenRows="1" view="pageBreakPreview" showRuler="0">
      <rowBreaks count="11" manualBreakCount="11">
        <brk id="5" min="1" max="15" man="1"/>
        <brk id="46" min="1" max="15" man="1"/>
        <brk id="79" min="1" max="15" man="1"/>
        <brk id="110" min="1" max="15" man="1"/>
        <brk id="135" min="1" max="15" man="1"/>
        <brk id="159" min="1" max="15" man="1"/>
        <brk id="198" min="1" max="15" man="1"/>
        <brk id="237" min="1" max="15" man="1"/>
        <brk id="270" min="1" max="15" man="1"/>
        <brk id="302" min="1" max="15" man="1"/>
        <brk id="328" min="1" max="15" man="1"/>
      </rowBreaks>
      <pageMargins left="0.35" right="0.35" top="0.35" bottom="0.35" header="0.15" footer="0.15"/>
      <printOptions horizontalCentered="1"/>
      <pageSetup scale="86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dataValidations disablePrompts="1" count="1">
    <dataValidation type="custom" allowBlank="1" showInputMessage="1" showErrorMessage="1" error="Enter &quot;F&quot; for fixed rate or &quot;L&quot; for LIBOR-based rate" sqref="E165:E170">
      <formula1>OR(E165="F",E165="L")</formula1>
    </dataValidation>
  </dataValidations>
  <printOptions horizontalCentered="1"/>
  <pageMargins left="0.35" right="0.35" top="0.35" bottom="0.35" header="0.15" footer="0.15"/>
  <pageSetup scale="73" orientation="landscape" r:id="rId2"/>
  <headerFooter alignWithMargins="0"/>
  <rowBreaks count="8" manualBreakCount="8">
    <brk id="54" min="1" max="15" man="1"/>
    <brk id="85" min="1" max="15" man="1"/>
    <brk id="116" min="1" max="15" man="1"/>
    <brk id="154" max="16383" man="1"/>
    <brk id="171" max="16383" man="1"/>
    <brk id="193" max="16383" man="1"/>
    <brk id="214" min="1" max="15" man="1"/>
    <brk id="241" max="16383" man="1"/>
  </rowBreaks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tabColor indexed="43"/>
  </sheetPr>
  <dimension ref="A1:Z344"/>
  <sheetViews>
    <sheetView showGridLines="0" view="pageBreakPreview" zoomScale="85" zoomScaleNormal="100" zoomScaleSheetLayoutView="85" workbookViewId="0"/>
  </sheetViews>
  <sheetFormatPr defaultRowHeight="12.75" outlineLevelRow="1"/>
  <cols>
    <col min="1" max="1" width="2.83203125" style="4" customWidth="1"/>
    <col min="2" max="17" width="10.83203125" style="3" customWidth="1"/>
    <col min="18" max="18" width="10.83203125" style="4" customWidth="1"/>
    <col min="19" max="16384" width="9.33203125" style="4"/>
  </cols>
  <sheetData>
    <row r="1" spans="1:26">
      <c r="A1" s="625"/>
    </row>
    <row r="2" spans="1:26" ht="23.25">
      <c r="B2" s="97" t="str">
        <f>proj</f>
        <v>Project MODEL</v>
      </c>
      <c r="C2" s="180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15" t="str">
        <f ca="1">IFERROR(IF(MAX(M241:Q241)&lt;F272,"","ERROR! REVOLVER BALANCE OVERDRAWN"),"")</f>
        <v/>
      </c>
    </row>
    <row r="3" spans="1:26" s="276" customFormat="1" ht="20.100000000000001" customHeight="1" thickBot="1">
      <c r="B3" s="98" t="str">
        <f>acq&amp;" - Leveraged Buy-Out Analysis"</f>
        <v>COLEMAN CO. - Leveraged Buy-Out Analysis</v>
      </c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400"/>
      <c r="N3" s="395"/>
      <c r="O3" s="400"/>
      <c r="P3" s="400"/>
      <c r="Q3" s="400" t="str">
        <f>acname</f>
        <v>Wall street consensus</v>
      </c>
      <c r="R3" s="394"/>
    </row>
    <row r="4" spans="1:26">
      <c r="C4" s="7"/>
      <c r="D4" s="7"/>
      <c r="E4" s="7"/>
      <c r="F4" s="7"/>
      <c r="G4" s="7"/>
      <c r="H4" s="7"/>
      <c r="I4" s="7"/>
      <c r="J4" s="7"/>
      <c r="K4" s="7"/>
      <c r="L4" s="7"/>
      <c r="M4" s="989"/>
      <c r="N4" s="4"/>
      <c r="O4" s="989"/>
      <c r="P4" s="235"/>
      <c r="Q4" s="990" t="str">
        <f>'Acq Proj'!Q4</f>
        <v>Source: Research Provider</v>
      </c>
    </row>
    <row r="5" spans="1:26" ht="12.75" customHeight="1">
      <c r="B5" s="991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S5" s="7"/>
      <c r="T5" s="7"/>
      <c r="U5" s="7"/>
    </row>
    <row r="6" spans="1:26" ht="15.95" customHeight="1" collapsed="1">
      <c r="A6" s="4" t="s">
        <v>167</v>
      </c>
      <c r="B6" s="170" t="s">
        <v>0</v>
      </c>
      <c r="C6" s="992"/>
      <c r="D6" s="992"/>
      <c r="E6" s="992"/>
      <c r="F6" s="992"/>
      <c r="G6" s="992"/>
      <c r="H6" s="992"/>
      <c r="I6" s="992"/>
      <c r="J6" s="992"/>
      <c r="K6" s="992"/>
      <c r="L6" s="992"/>
      <c r="M6" s="993"/>
      <c r="N6" s="993"/>
      <c r="O6" s="993"/>
      <c r="P6" s="993"/>
      <c r="Q6" s="993"/>
      <c r="R6" s="994"/>
    </row>
    <row r="7" spans="1:26" ht="3" customHeight="1">
      <c r="B7" s="995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S7" s="7"/>
      <c r="T7" s="7"/>
      <c r="U7" s="7"/>
    </row>
    <row r="8" spans="1:26" ht="12.75" customHeight="1">
      <c r="B8" s="176" t="str">
        <f>'Acq Spread Cover'!B4</f>
        <v>(Amounts in Millions, Except Per Share Data)</v>
      </c>
      <c r="C8" s="4"/>
      <c r="D8" s="4"/>
      <c r="E8" s="4"/>
      <c r="F8" s="4"/>
      <c r="G8" s="4"/>
      <c r="H8" s="18"/>
      <c r="I8" s="4"/>
      <c r="J8" s="4"/>
      <c r="K8" s="4"/>
      <c r="L8" s="4"/>
      <c r="M8" s="4"/>
      <c r="N8" s="4"/>
      <c r="O8" s="4"/>
      <c r="P8" s="4"/>
      <c r="Q8" s="4"/>
    </row>
    <row r="9" spans="1:26" ht="3" customHeight="1">
      <c r="B9" s="995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S9" s="7"/>
      <c r="T9" s="7"/>
      <c r="U9" s="7"/>
      <c r="V9" s="17"/>
      <c r="W9" s="17"/>
    </row>
    <row r="10" spans="1:26">
      <c r="B10" s="166" t="s">
        <v>16</v>
      </c>
      <c r="C10" s="717"/>
      <c r="D10" s="717"/>
      <c r="E10" s="717"/>
      <c r="F10" s="717"/>
      <c r="G10" s="717"/>
      <c r="H10" s="96"/>
      <c r="I10" s="166" t="s">
        <v>9</v>
      </c>
      <c r="J10" s="717"/>
      <c r="K10" s="717"/>
      <c r="L10" s="717"/>
      <c r="M10" s="717"/>
      <c r="N10" s="717"/>
      <c r="O10" s="717"/>
      <c r="P10" s="717"/>
      <c r="Q10" s="717"/>
      <c r="S10" s="7"/>
      <c r="T10" s="7"/>
      <c r="U10" s="7"/>
    </row>
    <row r="11" spans="1:26">
      <c r="B11" s="319" t="str">
        <f>"Current Price as of "&amp;TEXT(tdate,"m/d/y")</f>
        <v>Current Price as of 5/8/19</v>
      </c>
      <c r="C11" s="10"/>
      <c r="D11" s="10"/>
      <c r="E11" s="10"/>
      <c r="F11" s="10"/>
      <c r="G11" s="447">
        <f>aprice</f>
        <v>27</v>
      </c>
      <c r="M11" s="8" t="s">
        <v>136</v>
      </c>
      <c r="N11" s="104" t="s">
        <v>625</v>
      </c>
      <c r="O11" s="8" t="s">
        <v>153</v>
      </c>
      <c r="Q11" s="160"/>
      <c r="T11" s="736" t="s">
        <v>552</v>
      </c>
      <c r="U11" s="737"/>
      <c r="V11" s="737"/>
      <c r="W11" s="738"/>
      <c r="X11" s="85"/>
      <c r="Y11" s="739">
        <v>1</v>
      </c>
      <c r="Z11" s="740"/>
    </row>
    <row r="12" spans="1:26">
      <c r="B12" s="10" t="s">
        <v>146</v>
      </c>
      <c r="C12" s="10"/>
      <c r="D12" s="10"/>
      <c r="E12" s="10"/>
      <c r="F12" s="10"/>
      <c r="G12" s="996">
        <f>alboprice</f>
        <v>35</v>
      </c>
      <c r="L12" s="104" t="s">
        <v>11</v>
      </c>
      <c r="M12" s="8" t="s">
        <v>137</v>
      </c>
      <c r="N12" s="142" t="s">
        <v>63</v>
      </c>
      <c r="O12" s="8" t="s">
        <v>10</v>
      </c>
      <c r="P12" s="8" t="s">
        <v>475</v>
      </c>
      <c r="Q12" s="104" t="s">
        <v>326</v>
      </c>
      <c r="S12" s="846"/>
      <c r="V12" s="27" t="s">
        <v>561</v>
      </c>
      <c r="W12" s="27" t="s">
        <v>553</v>
      </c>
      <c r="X12" s="27" t="s">
        <v>554</v>
      </c>
      <c r="Y12" s="27" t="s">
        <v>560</v>
      </c>
      <c r="Z12" s="27" t="s">
        <v>561</v>
      </c>
    </row>
    <row r="13" spans="1:26" ht="12.75" customHeight="1">
      <c r="B13" s="151" t="s">
        <v>344</v>
      </c>
      <c r="C13" s="10"/>
      <c r="D13" s="10"/>
      <c r="E13" s="10"/>
      <c r="F13" s="10"/>
      <c r="G13" s="888">
        <f>G12/G11-1</f>
        <v>0.29629629629629628</v>
      </c>
      <c r="I13" s="3" t="str">
        <f>TEXT(Q58,"$#,##0")&amp;"mm Revolver"</f>
        <v>$250mm Revolver</v>
      </c>
      <c r="L13" s="997">
        <f ca="1">+Y13</f>
        <v>0</v>
      </c>
      <c r="M13" s="998">
        <f ca="1">L13/$L$22</f>
        <v>0</v>
      </c>
      <c r="N13" s="999">
        <f ca="1">+Z13</f>
        <v>0</v>
      </c>
      <c r="O13" s="1000" t="str">
        <f>IF(V33="L","L+"&amp;X33&amp;" bps",W33)</f>
        <v>L+250 bps</v>
      </c>
      <c r="P13" s="1001"/>
      <c r="Q13" s="1002">
        <v>5</v>
      </c>
      <c r="R13" s="746"/>
      <c r="T13" s="303" t="str">
        <f t="shared" ref="T13:T22" si="0">+I13</f>
        <v>$250mm Revolver</v>
      </c>
      <c r="U13" s="746"/>
      <c r="V13" s="1003">
        <v>0</v>
      </c>
      <c r="W13" s="761">
        <f>+V13*$L$29</f>
        <v>0</v>
      </c>
      <c r="X13" s="761">
        <f ca="1">IF($X$28&gt;=0,W13-(W13/$W$17)*$X$28,W13)</f>
        <v>0</v>
      </c>
      <c r="Y13" s="761">
        <f ca="1">ROUNDDOWN(X13/$Y$11,0)*$Y$11</f>
        <v>0</v>
      </c>
      <c r="Z13" s="1004">
        <f ca="1">+Y13/$L$29</f>
        <v>0</v>
      </c>
    </row>
    <row r="14" spans="1:26" ht="12.75" customHeight="1">
      <c r="B14" s="151" t="s">
        <v>345</v>
      </c>
      <c r="C14" s="10"/>
      <c r="D14" s="10"/>
      <c r="E14" s="10"/>
      <c r="F14" s="10"/>
      <c r="G14" s="888">
        <f>$G$12/'Acq Spread Cover'!E12-1</f>
        <v>0.17686617350369871</v>
      </c>
      <c r="I14" s="1" t="s">
        <v>309</v>
      </c>
      <c r="L14" s="875">
        <f ca="1">+Y14</f>
        <v>140</v>
      </c>
      <c r="M14" s="1005">
        <f ca="1">L14/$L$22</f>
        <v>0.30875761433598192</v>
      </c>
      <c r="N14" s="112">
        <f ca="1">+Z14</f>
        <v>3.5</v>
      </c>
      <c r="O14" s="1006" t="str">
        <f>IF(V34="L","L+"&amp;X34&amp;" bps",W34)</f>
        <v>L+450 bps</v>
      </c>
      <c r="P14" s="694">
        <v>100</v>
      </c>
      <c r="Q14" s="752">
        <v>5</v>
      </c>
      <c r="R14" s="1007"/>
      <c r="T14" s="303" t="str">
        <f t="shared" si="0"/>
        <v>Term Loan</v>
      </c>
      <c r="V14" s="308">
        <v>3.5</v>
      </c>
      <c r="W14" s="754">
        <f>+V14*$L$29</f>
        <v>140</v>
      </c>
      <c r="X14" s="754">
        <f ca="1">IF($X$28&gt;=0,W14-(W14/$W$17)*$X$28,W14)</f>
        <v>140</v>
      </c>
      <c r="Y14" s="754">
        <f ca="1">ROUNDDOWN(X14/$Y$11,0)*$Y$11</f>
        <v>140</v>
      </c>
      <c r="Z14" s="307">
        <f ca="1">+Y14/$L$29</f>
        <v>3.5</v>
      </c>
    </row>
    <row r="15" spans="1:26" ht="12.75" customHeight="1">
      <c r="B15" s="151" t="s">
        <v>346</v>
      </c>
      <c r="C15" s="10"/>
      <c r="D15" s="10"/>
      <c r="E15" s="10"/>
      <c r="F15" s="10"/>
      <c r="G15" s="888">
        <f>$G$12/'Acq Spread Cover'!E13-1</f>
        <v>0.55555555555555558</v>
      </c>
      <c r="I15" s="1" t="s">
        <v>459</v>
      </c>
      <c r="L15" s="595">
        <f ca="1">+Y15</f>
        <v>60</v>
      </c>
      <c r="M15" s="232">
        <f ca="1">L15/$L$22</f>
        <v>0.13232469185827794</v>
      </c>
      <c r="N15" s="112">
        <f ca="1">+Z15</f>
        <v>1.5</v>
      </c>
      <c r="O15" s="751">
        <f>IF(V35="L","L+"&amp;X35&amp;" bps",W35)</f>
        <v>0.08</v>
      </c>
      <c r="P15" s="694">
        <v>98</v>
      </c>
      <c r="Q15" s="752">
        <v>8</v>
      </c>
      <c r="R15" s="303"/>
      <c r="T15" s="303" t="str">
        <f t="shared" si="0"/>
        <v>Senior Notes</v>
      </c>
      <c r="U15" s="303"/>
      <c r="V15" s="308">
        <v>1.5</v>
      </c>
      <c r="W15" s="754">
        <f>+V15*$L$29</f>
        <v>60</v>
      </c>
      <c r="X15" s="754">
        <f ca="1">IF($X$28&gt;=0,W15-(W15/$W$17)*$X$28,W15)</f>
        <v>60</v>
      </c>
      <c r="Y15" s="754">
        <f ca="1">ROUNDDOWN(X15/$Y$11,0)*$Y$11</f>
        <v>60</v>
      </c>
      <c r="Z15" s="307">
        <f ca="1">+Y15/$L$29</f>
        <v>1.5</v>
      </c>
    </row>
    <row r="16" spans="1:26">
      <c r="B16" s="319" t="str">
        <f>acq&amp;" Shares Outstanding (a)"</f>
        <v>COLEMAN CO. Shares Outstanding (a)</v>
      </c>
      <c r="C16" s="10"/>
      <c r="D16" s="10"/>
      <c r="E16" s="10"/>
      <c r="F16" s="10"/>
      <c r="G16" s="408">
        <f>ashares+arsu</f>
        <v>11.543099999999999</v>
      </c>
      <c r="I16" s="1" t="s">
        <v>138</v>
      </c>
      <c r="L16" s="595">
        <f ca="1">+Y16</f>
        <v>40</v>
      </c>
      <c r="M16" s="200">
        <f ca="1">L16/$L$22</f>
        <v>8.8216461238851976E-2</v>
      </c>
      <c r="N16" s="112">
        <f ca="1">+Z16</f>
        <v>1</v>
      </c>
      <c r="O16" s="751">
        <f>IF(V36="L","L+"&amp;X36&amp;" bps",W36)</f>
        <v>0.11</v>
      </c>
      <c r="P16" s="694">
        <v>97</v>
      </c>
      <c r="Q16" s="752">
        <v>8</v>
      </c>
      <c r="R16" s="303"/>
      <c r="S16" s="303"/>
      <c r="T16" s="303" t="str">
        <f t="shared" si="0"/>
        <v>Subordinated Notes</v>
      </c>
      <c r="U16" s="303"/>
      <c r="V16" s="308">
        <v>1</v>
      </c>
      <c r="W16" s="754">
        <f>+V16*$L$29</f>
        <v>40</v>
      </c>
      <c r="X16" s="754">
        <f ca="1">IF($X$28&gt;=0,W16-(W16/$W$17)*$X$28,W16)</f>
        <v>40</v>
      </c>
      <c r="Y16" s="754">
        <f ca="1">ROUNDDOWN(X16/$Y$11,0)*$Y$11</f>
        <v>40</v>
      </c>
      <c r="Z16" s="307">
        <f ca="1">+Y16/$L$29</f>
        <v>1</v>
      </c>
    </row>
    <row r="17" spans="1:26">
      <c r="B17" s="319" t="str">
        <f>acq&amp; " Option Equivalent Shares (b)"</f>
        <v>COLEMAN CO. Option Equivalent Shares (b)</v>
      </c>
      <c r="C17" s="10"/>
      <c r="D17" s="10"/>
      <c r="E17" s="10"/>
      <c r="F17" s="10"/>
      <c r="G17" s="755">
        <f>D86</f>
        <v>1.0038511428571428</v>
      </c>
      <c r="I17" s="151" t="s">
        <v>87</v>
      </c>
      <c r="L17" s="1008">
        <f ca="1">SUM(L13:L16)</f>
        <v>240</v>
      </c>
      <c r="M17" s="1009">
        <f ca="1">SUM(M13:M16)</f>
        <v>0.52929876743311188</v>
      </c>
      <c r="N17" s="1010">
        <f ca="1">SUM(N13:N16)</f>
        <v>6</v>
      </c>
      <c r="O17" s="751"/>
      <c r="Q17" s="141"/>
      <c r="R17" s="1007"/>
      <c r="S17" s="1007"/>
      <c r="T17" s="151" t="str">
        <f t="shared" si="0"/>
        <v>Total Debt</v>
      </c>
      <c r="U17" s="1007"/>
      <c r="V17" s="762">
        <f>SUM(V13:V16)</f>
        <v>6</v>
      </c>
      <c r="W17" s="761">
        <f>SUM(W13:W16)</f>
        <v>240</v>
      </c>
      <c r="X17" s="761">
        <f ca="1">SUM(X13:X16)</f>
        <v>240</v>
      </c>
      <c r="Y17" s="761">
        <f ca="1">SUM(Y13:Y16)</f>
        <v>240</v>
      </c>
      <c r="Z17" s="762">
        <f ca="1">SUM(Z13:Z16)</f>
        <v>6</v>
      </c>
    </row>
    <row r="18" spans="1:26">
      <c r="B18" s="323" t="s">
        <v>20</v>
      </c>
      <c r="C18" s="10"/>
      <c r="D18" s="10"/>
      <c r="E18" s="10"/>
      <c r="F18" s="10"/>
      <c r="G18" s="40">
        <f>SUM(G16:G17)</f>
        <v>12.546951142857141</v>
      </c>
      <c r="I18" s="3" t="s">
        <v>139</v>
      </c>
      <c r="L18" s="32">
        <f ca="1">G24-L21-L19-L17</f>
        <v>145.18615511554839</v>
      </c>
      <c r="M18" s="193">
        <f ca="1">L18/$L$22</f>
        <v>0.32019522062921812</v>
      </c>
      <c r="O18" s="751"/>
      <c r="P18" s="443" t="s">
        <v>624</v>
      </c>
      <c r="Q18" s="141"/>
      <c r="R18" s="303"/>
      <c r="S18" s="303"/>
      <c r="T18" s="3" t="str">
        <f t="shared" si="0"/>
        <v>Outside Equity</v>
      </c>
      <c r="W18" s="754">
        <f ca="1">$G24-W21-W19-W17</f>
        <v>145.18615511554839</v>
      </c>
      <c r="X18" s="754">
        <f ca="1">$G24-X21-X19-X17</f>
        <v>145.18615511554839</v>
      </c>
      <c r="Y18" s="754">
        <f ca="1">$G24-Y21-Y19-Y17</f>
        <v>145.18615511554839</v>
      </c>
    </row>
    <row r="19" spans="1:26">
      <c r="B19" s="10" t="s">
        <v>21</v>
      </c>
      <c r="C19" s="10"/>
      <c r="D19" s="10"/>
      <c r="E19" s="10"/>
      <c r="F19" s="10"/>
      <c r="G19" s="886">
        <f>G12*G18</f>
        <v>439.14328999999992</v>
      </c>
      <c r="I19" s="3" t="s">
        <v>133</v>
      </c>
      <c r="L19" s="32">
        <f>+Y19</f>
        <v>0</v>
      </c>
      <c r="M19" s="193">
        <f ca="1">L19/$L$22</f>
        <v>0</v>
      </c>
      <c r="O19" s="751"/>
      <c r="P19" s="372">
        <v>0.1</v>
      </c>
      <c r="T19" s="3" t="str">
        <f t="shared" si="0"/>
        <v>Management Equity</v>
      </c>
      <c r="W19" s="1011">
        <v>0</v>
      </c>
      <c r="X19" s="754">
        <f>W19</f>
        <v>0</v>
      </c>
      <c r="Y19" s="754">
        <f>X19</f>
        <v>0</v>
      </c>
    </row>
    <row r="20" spans="1:26">
      <c r="B20" s="319" t="str">
        <f>acq&amp;" Debt Repaid/Refinanced "</f>
        <v xml:space="preserve">COLEMAN CO. Debt Repaid/Refinanced </v>
      </c>
      <c r="C20" s="10"/>
      <c r="D20" s="10"/>
      <c r="E20" s="10"/>
      <c r="F20" s="10"/>
      <c r="G20" s="40">
        <f ca="1">H110</f>
        <v>0</v>
      </c>
      <c r="I20" s="151" t="s">
        <v>347</v>
      </c>
      <c r="L20" s="1012">
        <f ca="1">SUM(L18:L19)</f>
        <v>145.18615511554839</v>
      </c>
      <c r="M20" s="806">
        <f ca="1">SUM(M18:M19)</f>
        <v>0.32019522062921812</v>
      </c>
      <c r="O20" s="751"/>
      <c r="P20" s="141"/>
      <c r="T20" s="151" t="str">
        <f t="shared" si="0"/>
        <v>Total Equity</v>
      </c>
      <c r="W20" s="761">
        <f ca="1">SUM(W18:W19)</f>
        <v>145.18615511554839</v>
      </c>
      <c r="X20" s="761">
        <f ca="1">SUM(X18:X19)</f>
        <v>145.18615511554839</v>
      </c>
      <c r="Y20" s="761">
        <f ca="1">SUM(Y18:Y19)</f>
        <v>145.18615511554839</v>
      </c>
    </row>
    <row r="21" spans="1:26">
      <c r="B21" s="3" t="s">
        <v>564</v>
      </c>
      <c r="G21" s="161">
        <f ca="1">+O85</f>
        <v>2.4000000000000021</v>
      </c>
      <c r="I21" s="3" t="s">
        <v>12</v>
      </c>
      <c r="L21" s="32">
        <f ca="1">+Y21</f>
        <v>68.243958020562602</v>
      </c>
      <c r="M21" s="193">
        <f ca="1">L21/$L$22</f>
        <v>0.15050601193767005</v>
      </c>
      <c r="O21" s="751"/>
      <c r="P21" s="1013"/>
      <c r="T21" s="3" t="str">
        <f t="shared" si="0"/>
        <v>Excess Cash</v>
      </c>
      <c r="V21" s="146"/>
      <c r="W21" s="754">
        <f ca="1">MAX(H93-F221,0)</f>
        <v>68.243958020562602</v>
      </c>
      <c r="X21" s="754">
        <f ca="1">W21</f>
        <v>68.243958020562602</v>
      </c>
      <c r="Y21" s="754">
        <f ca="1">+X21</f>
        <v>68.243958020562602</v>
      </c>
      <c r="Z21" s="807"/>
    </row>
    <row r="22" spans="1:26">
      <c r="B22" s="10" t="str">
        <f ca="1">"Illustrative Financing Fees at "&amp;TEXT(N77,"0.0%")</f>
        <v>Illustrative Financing Fees at 1.7%</v>
      </c>
      <c r="C22" s="10"/>
      <c r="D22" s="10"/>
      <c r="E22" s="10"/>
      <c r="F22" s="10"/>
      <c r="G22" s="40">
        <f ca="1">O77</f>
        <v>8.1</v>
      </c>
      <c r="I22" s="151" t="s">
        <v>14</v>
      </c>
      <c r="L22" s="1012">
        <f ca="1">SUM(L17,L20:L21)</f>
        <v>453.430113136111</v>
      </c>
      <c r="M22" s="806">
        <f ca="1">M17+M20+M21</f>
        <v>1</v>
      </c>
      <c r="O22" s="751"/>
      <c r="P22" s="1014"/>
      <c r="T22" s="151" t="str">
        <f t="shared" si="0"/>
        <v>Total Sources of Funds</v>
      </c>
      <c r="W22" s="761">
        <f ca="1">SUM(W17,W20:W21)</f>
        <v>453.430113136111</v>
      </c>
      <c r="X22" s="761">
        <f ca="1">SUM(X17,X20:X21)</f>
        <v>453.430113136111</v>
      </c>
      <c r="Y22" s="761">
        <f ca="1">SUM(Y17,Y20:Y21)</f>
        <v>453.430113136111</v>
      </c>
    </row>
    <row r="23" spans="1:26">
      <c r="B23" s="10" t="str">
        <f>"Illustrative Advisory Fees and Expenses at "&amp;TEXT(Q68,"#0.0%")</f>
        <v>Illustrative Advisory Fees and Expenses at 1.0%</v>
      </c>
      <c r="C23" s="10"/>
      <c r="D23" s="10"/>
      <c r="E23" s="10"/>
      <c r="F23" s="1015"/>
      <c r="G23" s="19">
        <f>G31*Q68</f>
        <v>3.7868231361111095</v>
      </c>
      <c r="T23" s="151"/>
      <c r="W23" s="753"/>
      <c r="X23" s="753"/>
      <c r="Y23" s="753"/>
    </row>
    <row r="24" spans="1:26">
      <c r="B24" s="323" t="s">
        <v>22</v>
      </c>
      <c r="C24" s="10"/>
      <c r="D24" s="10"/>
      <c r="E24" s="10"/>
      <c r="F24" s="10"/>
      <c r="G24" s="1016">
        <f ca="1">SUM(G19:G23)</f>
        <v>453.430113136111</v>
      </c>
      <c r="I24" s="151"/>
      <c r="L24" s="32"/>
      <c r="M24" s="193"/>
      <c r="O24" s="751"/>
      <c r="P24" s="1014"/>
      <c r="T24" s="736" t="s">
        <v>559</v>
      </c>
      <c r="U24" s="1017"/>
      <c r="V24" s="1017"/>
      <c r="W24" s="85"/>
      <c r="X24" s="85"/>
      <c r="Y24" s="17"/>
    </row>
    <row r="25" spans="1:26">
      <c r="G25" s="146"/>
      <c r="T25" s="4" t="s">
        <v>555</v>
      </c>
      <c r="W25" s="17"/>
      <c r="X25" s="1018">
        <v>0.32</v>
      </c>
      <c r="Y25" s="17"/>
    </row>
    <row r="26" spans="1:26">
      <c r="T26" s="4" t="s">
        <v>556</v>
      </c>
      <c r="W26" s="17"/>
      <c r="X26" s="753">
        <f ca="1">G24*X25</f>
        <v>145.09763620355554</v>
      </c>
      <c r="Y26" s="1018"/>
    </row>
    <row r="27" spans="1:26">
      <c r="B27" s="166" t="s">
        <v>148</v>
      </c>
      <c r="C27" s="717"/>
      <c r="D27" s="717"/>
      <c r="E27" s="717"/>
      <c r="F27" s="717"/>
      <c r="G27" s="717"/>
      <c r="I27" s="166" t="s">
        <v>592</v>
      </c>
      <c r="J27" s="717"/>
      <c r="K27" s="717"/>
      <c r="L27" s="717"/>
      <c r="M27" s="717"/>
      <c r="N27" s="717"/>
      <c r="O27" s="717"/>
      <c r="P27" s="717"/>
      <c r="Q27" s="717"/>
      <c r="T27" s="4" t="s">
        <v>557</v>
      </c>
      <c r="W27" s="17"/>
      <c r="X27" s="754">
        <f ca="1">W18</f>
        <v>145.18615511554839</v>
      </c>
      <c r="Y27" s="1019"/>
    </row>
    <row r="28" spans="1:26">
      <c r="B28" s="3" t="s">
        <v>145</v>
      </c>
      <c r="F28" s="7"/>
      <c r="G28" s="1020">
        <f>+G19</f>
        <v>439.14328999999992</v>
      </c>
      <c r="I28" s="10" t="str">
        <f>$B$126</f>
        <v>Fiscal Year Ended December 31,</v>
      </c>
      <c r="J28" s="10"/>
      <c r="K28" s="10"/>
      <c r="L28" s="1021">
        <f>M28-1</f>
        <v>2019</v>
      </c>
      <c r="M28" s="1022">
        <f>'Acq Proj'!M7</f>
        <v>2020</v>
      </c>
      <c r="N28" s="1023">
        <f>N126</f>
        <v>2021</v>
      </c>
      <c r="O28" s="1023">
        <f>O126</f>
        <v>2022</v>
      </c>
      <c r="P28" s="1023">
        <f>P126</f>
        <v>2023</v>
      </c>
      <c r="Q28" s="1023">
        <f>Q126</f>
        <v>2024</v>
      </c>
      <c r="T28" s="4" t="s">
        <v>558</v>
      </c>
      <c r="W28" s="17"/>
      <c r="X28" s="761">
        <f ca="1">X26-X27</f>
        <v>-8.851891199284978E-2</v>
      </c>
      <c r="Y28" s="754"/>
    </row>
    <row r="29" spans="1:26">
      <c r="A29" s="1024"/>
      <c r="B29" s="3" t="s">
        <v>585</v>
      </c>
      <c r="G29" s="115">
        <f>SUM('Acq Spread Cover'!E28:E30)</f>
        <v>10.9</v>
      </c>
      <c r="I29" s="1025" t="str">
        <f>alabel3&amp;"EBITDA"</f>
        <v>EBITDA</v>
      </c>
      <c r="J29" s="71"/>
      <c r="K29" s="1026"/>
      <c r="L29" s="950">
        <f t="shared" ref="L29:Q29" si="1">+L147</f>
        <v>40</v>
      </c>
      <c r="M29" s="950">
        <f t="shared" si="1"/>
        <v>45</v>
      </c>
      <c r="N29" s="950">
        <f t="shared" si="1"/>
        <v>51.428571428571431</v>
      </c>
      <c r="O29" s="950">
        <f t="shared" si="1"/>
        <v>57.857142857142854</v>
      </c>
      <c r="P29" s="950">
        <f t="shared" si="1"/>
        <v>65.089285714285708</v>
      </c>
      <c r="Q29" s="950">
        <f t="shared" si="1"/>
        <v>73.225446428571431</v>
      </c>
      <c r="Y29" s="754"/>
    </row>
    <row r="30" spans="1:26">
      <c r="A30" s="1027"/>
      <c r="B30" s="3" t="s">
        <v>586</v>
      </c>
      <c r="G30" s="115">
        <f>'Acq Spread Cover'!E31</f>
        <v>-71.360976388888943</v>
      </c>
      <c r="I30" s="3" t="s">
        <v>87</v>
      </c>
      <c r="L30" s="343">
        <f t="shared" ref="L30:Q30" ca="1" si="2">L180</f>
        <v>240</v>
      </c>
      <c r="M30" s="343">
        <f t="shared" ca="1" si="2"/>
        <v>232.58249279341052</v>
      </c>
      <c r="N30" s="343">
        <f t="shared" ca="1" si="2"/>
        <v>221.29435868405562</v>
      </c>
      <c r="O30" s="343">
        <f t="shared" ca="1" si="2"/>
        <v>205.90175483987474</v>
      </c>
      <c r="P30" s="343">
        <f t="shared" ca="1" si="2"/>
        <v>186.10121814660221</v>
      </c>
      <c r="Q30" s="343">
        <f t="shared" ca="1" si="2"/>
        <v>161.15718863102629</v>
      </c>
      <c r="T30" s="768" t="s">
        <v>562</v>
      </c>
      <c r="U30" s="178"/>
      <c r="V30" s="178"/>
      <c r="W30" s="178"/>
      <c r="X30" s="178"/>
      <c r="Y30" s="178"/>
    </row>
    <row r="31" spans="1:26">
      <c r="B31" s="151" t="s">
        <v>23</v>
      </c>
      <c r="G31" s="381">
        <f>SUM(G28:G30)</f>
        <v>378.68231361111094</v>
      </c>
      <c r="I31" s="3" t="s">
        <v>38</v>
      </c>
      <c r="L31" s="343">
        <f t="shared" ref="L31:Q31" ca="1" si="3">L164</f>
        <v>10</v>
      </c>
      <c r="M31" s="343">
        <f t="shared" ca="1" si="3"/>
        <v>10</v>
      </c>
      <c r="N31" s="343">
        <f t="shared" ca="1" si="3"/>
        <v>10</v>
      </c>
      <c r="O31" s="343">
        <f t="shared" ca="1" si="3"/>
        <v>10</v>
      </c>
      <c r="P31" s="343">
        <f t="shared" ca="1" si="3"/>
        <v>10</v>
      </c>
      <c r="Q31" s="343">
        <f t="shared" ca="1" si="3"/>
        <v>10</v>
      </c>
      <c r="T31" s="151"/>
      <c r="U31" s="3"/>
      <c r="V31" s="142" t="s">
        <v>466</v>
      </c>
      <c r="W31" s="3"/>
      <c r="X31" s="363" t="s">
        <v>460</v>
      </c>
      <c r="Y31" s="363"/>
    </row>
    <row r="32" spans="1:26">
      <c r="T32" s="379"/>
      <c r="U32" s="3"/>
      <c r="V32" s="142" t="s">
        <v>463</v>
      </c>
      <c r="W32" s="104" t="s">
        <v>467</v>
      </c>
      <c r="X32" s="104" t="s">
        <v>461</v>
      </c>
      <c r="Y32" s="104" t="s">
        <v>462</v>
      </c>
    </row>
    <row r="33" spans="1:25">
      <c r="B33" s="139"/>
      <c r="D33" s="4"/>
      <c r="E33" s="4"/>
      <c r="F33" s="363" t="s">
        <v>25</v>
      </c>
      <c r="G33" s="363"/>
      <c r="I33" s="1028" t="str">
        <f>'Acq Sum Financials'!B46</f>
        <v>EBITDA / Interest, Net</v>
      </c>
      <c r="J33" s="10"/>
      <c r="K33" s="10"/>
      <c r="L33" s="887">
        <f ca="1">IF(AND(L$29&gt;0,L278&gt;0),L$29/L278,"NM")</f>
        <v>1.9146771973912524</v>
      </c>
      <c r="M33" s="887">
        <f ca="1">IF(AND(M$29&gt;=0,M278&gt;0),M$29/M$278,"NM")</f>
        <v>2.1743254177005524</v>
      </c>
      <c r="N33" s="887">
        <f ca="1">IF(AND(N$29&gt;=0,N278&gt;0),N$29/N$278,"NM")</f>
        <v>2.5517436723065612</v>
      </c>
      <c r="O33" s="887">
        <f ca="1">IF(AND(O$29&gt;=0,O278&gt;0),O$29/O$278,"NM")</f>
        <v>2.9976695849292145</v>
      </c>
      <c r="P33" s="887">
        <f ca="1">IF(AND(P$29&gt;=0,P278&gt;0),P$29/P$278,"NM")</f>
        <v>3.595425547533794</v>
      </c>
      <c r="Q33" s="887">
        <f ca="1">IF(AND(Q$29&gt;=0,Q278&gt;0),Q$29/Q$278,"NM")</f>
        <v>4.4351493703685332</v>
      </c>
      <c r="T33" s="1029" t="str">
        <f>+T13</f>
        <v>$250mm Revolver</v>
      </c>
      <c r="U33" s="3"/>
      <c r="V33" s="772" t="s">
        <v>464</v>
      </c>
      <c r="W33" s="773">
        <v>0</v>
      </c>
      <c r="X33" s="774">
        <v>250</v>
      </c>
      <c r="Y33" s="774">
        <v>0</v>
      </c>
    </row>
    <row r="34" spans="1:25">
      <c r="D34" s="8" t="s">
        <v>116</v>
      </c>
      <c r="E34" s="1030">
        <f>'Acq Proj'!L56</f>
        <v>2019</v>
      </c>
      <c r="F34" s="8" t="str">
        <f>D34</f>
        <v>LTM</v>
      </c>
      <c r="G34" s="1031">
        <f>E34</f>
        <v>2019</v>
      </c>
      <c r="I34" s="1028" t="str">
        <f>'Acq Sum Financials'!B47</f>
        <v>(EBITDA - Capex) / Interest, Net</v>
      </c>
      <c r="J34" s="10"/>
      <c r="K34" s="10"/>
      <c r="L34" s="1032">
        <f t="shared" ref="L34:Q34" ca="1" si="4">IF(AND((L$29+L$215)&gt;=0,L278&gt;0),(L$29+L$215)/L278,"NM")</f>
        <v>1.4360078980434392</v>
      </c>
      <c r="M34" s="1032">
        <f t="shared" ca="1" si="4"/>
        <v>1.5945053063137387</v>
      </c>
      <c r="N34" s="1032">
        <f t="shared" ca="1" si="4"/>
        <v>1.8712786930248113</v>
      </c>
      <c r="O34" s="1032">
        <f t="shared" ca="1" si="4"/>
        <v>2.1982910289480904</v>
      </c>
      <c r="P34" s="1032">
        <f t="shared" ca="1" si="4"/>
        <v>2.636645401524782</v>
      </c>
      <c r="Q34" s="1032">
        <f t="shared" ca="1" si="4"/>
        <v>3.2524428716035909</v>
      </c>
      <c r="S34" s="1021"/>
      <c r="T34" s="1029" t="str">
        <f>+T14</f>
        <v>Term Loan</v>
      </c>
      <c r="U34" s="3"/>
      <c r="V34" s="778" t="s">
        <v>464</v>
      </c>
      <c r="W34" s="779">
        <v>0</v>
      </c>
      <c r="X34" s="780">
        <v>450</v>
      </c>
      <c r="Y34" s="780">
        <v>0</v>
      </c>
    </row>
    <row r="35" spans="1:25">
      <c r="B35" s="3" t="s">
        <v>587</v>
      </c>
      <c r="D35" s="1033">
        <f>'Acq Spread Cover'!J10</f>
        <v>102.5</v>
      </c>
      <c r="E35" s="1034">
        <f>'Acq Proj'!L8</f>
        <v>120</v>
      </c>
      <c r="F35" s="1009">
        <f t="shared" ref="F35:G37" si="5">($G$31)/D35</f>
        <v>3.6944615962059606</v>
      </c>
      <c r="G35" s="1035">
        <f t="shared" si="5"/>
        <v>3.1556859467592577</v>
      </c>
      <c r="S35" s="68"/>
      <c r="T35" s="1029" t="str">
        <f>+T15</f>
        <v>Senior Notes</v>
      </c>
      <c r="U35" s="3"/>
      <c r="V35" s="778" t="s">
        <v>465</v>
      </c>
      <c r="W35" s="779">
        <v>0.08</v>
      </c>
      <c r="X35" s="780">
        <v>0</v>
      </c>
      <c r="Y35" s="780">
        <v>0</v>
      </c>
    </row>
    <row r="36" spans="1:25">
      <c r="B36" s="3" t="s">
        <v>588</v>
      </c>
      <c r="D36" s="451">
        <f>'Acq Spread Cover'!J11</f>
        <v>32.321874999999991</v>
      </c>
      <c r="E36" s="451">
        <f>'Acq Proj'!L36</f>
        <v>40</v>
      </c>
      <c r="F36" s="1036">
        <f t="shared" si="5"/>
        <v>11.715976056807071</v>
      </c>
      <c r="G36" s="1036">
        <f t="shared" si="5"/>
        <v>9.4670578402777732</v>
      </c>
      <c r="I36" s="1028" t="str">
        <f>'Acq Sum Financials'!A43&amp;" (c)"</f>
        <v>Adjusted Debt / EBITDAR (c)</v>
      </c>
      <c r="L36" s="144">
        <f t="shared" ref="L36:Q36" ca="1" si="6">IF(L148&gt;0,(L30+$E$128*L129)/L148,"NM")</f>
        <v>6.2142857142857144</v>
      </c>
      <c r="M36" s="144">
        <f t="shared" ca="1" si="6"/>
        <v>5.4818674465100887</v>
      </c>
      <c r="N36" s="144">
        <f t="shared" ca="1" si="6"/>
        <v>4.7121060049120285</v>
      </c>
      <c r="O36" s="144">
        <f t="shared" ca="1" si="6"/>
        <v>4.0503124371522254</v>
      </c>
      <c r="P36" s="144">
        <f t="shared" ca="1" si="6"/>
        <v>3.4281140428950683</v>
      </c>
      <c r="Q36" s="144">
        <f t="shared" ca="1" si="6"/>
        <v>2.8426405901933935</v>
      </c>
      <c r="R36" s="1037"/>
      <c r="S36" s="68"/>
      <c r="T36" s="1029" t="str">
        <f>+T16</f>
        <v>Subordinated Notes</v>
      </c>
      <c r="U36" s="3"/>
      <c r="V36" s="778" t="s">
        <v>465</v>
      </c>
      <c r="W36" s="779">
        <v>0.11</v>
      </c>
      <c r="X36" s="780">
        <v>0</v>
      </c>
      <c r="Y36" s="780">
        <v>0</v>
      </c>
    </row>
    <row r="37" spans="1:25">
      <c r="B37" s="3" t="s">
        <v>589</v>
      </c>
      <c r="D37" s="451">
        <f>'Acq Spread Cover'!J12</f>
        <v>29.338499999999996</v>
      </c>
      <c r="E37" s="451">
        <f>'Acq Proj'!L34</f>
        <v>30</v>
      </c>
      <c r="F37" s="1036">
        <f t="shared" si="5"/>
        <v>12.90735087380442</v>
      </c>
      <c r="G37" s="1036">
        <f t="shared" si="5"/>
        <v>12.622743787037031</v>
      </c>
      <c r="I37" s="1028" t="str">
        <f>'Acq Sum Financials'!B44</f>
        <v>Total Debt / EBITDA</v>
      </c>
      <c r="J37" s="10"/>
      <c r="K37" s="10"/>
      <c r="L37" s="887">
        <f t="shared" ref="L37:Q37" ca="1" si="7">IF(L29&gt;0,L30/L29,"NM")</f>
        <v>6</v>
      </c>
      <c r="M37" s="887">
        <f t="shared" ca="1" si="7"/>
        <v>5.1684998398535669</v>
      </c>
      <c r="N37" s="887">
        <f t="shared" ca="1" si="7"/>
        <v>4.3029458633010815</v>
      </c>
      <c r="O37" s="887">
        <f t="shared" ca="1" si="7"/>
        <v>3.5587957626645017</v>
      </c>
      <c r="P37" s="887">
        <f t="shared" ca="1" si="7"/>
        <v>2.8591682348997871</v>
      </c>
      <c r="Q37" s="887">
        <f t="shared" ca="1" si="7"/>
        <v>2.2008358636396821</v>
      </c>
      <c r="R37" s="1037"/>
      <c r="S37" s="68"/>
    </row>
    <row r="38" spans="1:25">
      <c r="B38" s="4"/>
      <c r="C38" s="4"/>
      <c r="D38" s="911"/>
      <c r="E38" s="911"/>
      <c r="F38" s="1036"/>
      <c r="G38" s="1036"/>
      <c r="I38" s="1028" t="str">
        <f>'Acq Sum Financials'!B45</f>
        <v>Net Debt / EBITDA</v>
      </c>
      <c r="L38" s="887">
        <f t="shared" ref="L38:Q38" ca="1" si="8">IF(L29&gt;0,(L30-L31)/L29,"NM")</f>
        <v>5.75</v>
      </c>
      <c r="M38" s="887">
        <f t="shared" ca="1" si="8"/>
        <v>4.9462776176313445</v>
      </c>
      <c r="N38" s="887">
        <f t="shared" ca="1" si="8"/>
        <v>4.1085014188566369</v>
      </c>
      <c r="O38" s="887">
        <f t="shared" ca="1" si="8"/>
        <v>3.3859562564916623</v>
      </c>
      <c r="P38" s="887">
        <f t="shared" ca="1" si="8"/>
        <v>2.7055331183017075</v>
      </c>
      <c r="Q38" s="887">
        <f t="shared" ca="1" si="8"/>
        <v>2.0642713155525003</v>
      </c>
      <c r="R38" s="804"/>
      <c r="S38" s="804"/>
      <c r="T38" s="804"/>
      <c r="U38" s="804"/>
      <c r="V38" s="804"/>
      <c r="W38" s="804"/>
      <c r="X38" s="804"/>
    </row>
    <row r="39" spans="1:25">
      <c r="A39" s="142"/>
      <c r="B39" s="166" t="s">
        <v>413</v>
      </c>
      <c r="C39" s="717"/>
      <c r="D39" s="717"/>
      <c r="E39" s="717"/>
      <c r="F39" s="717"/>
      <c r="G39" s="717"/>
      <c r="R39" s="1038"/>
      <c r="S39" s="804"/>
    </row>
    <row r="40" spans="1:25">
      <c r="A40" s="1024"/>
      <c r="C40" s="766" t="str">
        <f>'Acq LBO Tables'!F32</f>
        <v>Purchase Price per Share</v>
      </c>
      <c r="D40" s="457"/>
      <c r="E40" s="457"/>
      <c r="F40" s="457"/>
      <c r="G40" s="457"/>
      <c r="I40" s="10" t="s">
        <v>550</v>
      </c>
      <c r="J40" s="10"/>
      <c r="K40" s="10"/>
      <c r="L40" s="875">
        <f t="shared" ref="L40:Q40" ca="1" si="9">SUM(L244:L245)</f>
        <v>140</v>
      </c>
      <c r="M40" s="875">
        <f t="shared" ca="1" si="9"/>
        <v>132.58249279341052</v>
      </c>
      <c r="N40" s="875">
        <f t="shared" ca="1" si="9"/>
        <v>121.29435868405562</v>
      </c>
      <c r="O40" s="875">
        <f t="shared" ca="1" si="9"/>
        <v>105.90175483987474</v>
      </c>
      <c r="P40" s="875">
        <f t="shared" ca="1" si="9"/>
        <v>86.101218146602193</v>
      </c>
      <c r="Q40" s="875">
        <f t="shared" ca="1" si="9"/>
        <v>61.15718863102628</v>
      </c>
      <c r="R40" s="1038"/>
      <c r="S40" s="1039"/>
      <c r="T40" s="1039"/>
      <c r="U40" s="1039"/>
      <c r="V40" s="1039"/>
      <c r="W40" s="1040"/>
    </row>
    <row r="41" spans="1:25">
      <c r="B41" s="1041"/>
      <c r="C41" s="1042">
        <f>'Acq LBO Tables'!F33</f>
        <v>35</v>
      </c>
      <c r="D41" s="1042">
        <f>'Acq LBO Tables'!G33</f>
        <v>37.5</v>
      </c>
      <c r="E41" s="1042">
        <f>'Acq LBO Tables'!H33</f>
        <v>40</v>
      </c>
      <c r="F41" s="1042">
        <f>'Acq LBO Tables'!I33</f>
        <v>42.5</v>
      </c>
      <c r="G41" s="1042">
        <f>'Acq LBO Tables'!J33</f>
        <v>45</v>
      </c>
      <c r="I41" s="1043" t="s">
        <v>551</v>
      </c>
      <c r="J41" s="10"/>
      <c r="K41" s="10"/>
      <c r="L41" s="1044">
        <f t="shared" ref="L41:Q41" ca="1" si="10">L40/$L40</f>
        <v>1</v>
      </c>
      <c r="M41" s="1044">
        <f t="shared" ca="1" si="10"/>
        <v>0.94701780566721805</v>
      </c>
      <c r="N41" s="1044">
        <f t="shared" ca="1" si="10"/>
        <v>0.86638827631468307</v>
      </c>
      <c r="O41" s="1044">
        <f t="shared" ca="1" si="10"/>
        <v>0.7564411059991053</v>
      </c>
      <c r="P41" s="1044">
        <f t="shared" ca="1" si="10"/>
        <v>0.61500870104715855</v>
      </c>
      <c r="Q41" s="1044">
        <f t="shared" ca="1" si="10"/>
        <v>0.43683706165018771</v>
      </c>
      <c r="R41" s="804"/>
      <c r="S41" s="1039"/>
      <c r="T41" s="1039"/>
      <c r="U41" s="1039"/>
      <c r="V41" s="1039"/>
      <c r="W41" s="1039"/>
    </row>
    <row r="42" spans="1:25">
      <c r="B42" s="263" t="s">
        <v>101</v>
      </c>
      <c r="C42" s="265">
        <f>+C41/$G$11-1</f>
        <v>0.29629629629629628</v>
      </c>
      <c r="D42" s="265">
        <f>+D41/$G$11-1</f>
        <v>0.38888888888888884</v>
      </c>
      <c r="E42" s="265">
        <f>+E41/$G$11-1</f>
        <v>0.4814814814814814</v>
      </c>
      <c r="F42" s="265">
        <f>+F41/$G$11-1</f>
        <v>0.57407407407407418</v>
      </c>
      <c r="G42" s="265">
        <f>+G41/$G$11-1</f>
        <v>0.66666666666666674</v>
      </c>
      <c r="I42" s="1045" t="str">
        <f>"Sr. Secured Debt / "&amp;I29</f>
        <v>Sr. Secured Debt / EBITDA</v>
      </c>
      <c r="J42" s="10"/>
      <c r="K42" s="10"/>
      <c r="L42" s="1046">
        <f t="shared" ref="L42:Q42" ca="1" si="11">IF(L29&gt;0,SUM(L244:L245)/L29,"NM")</f>
        <v>3.5</v>
      </c>
      <c r="M42" s="1046">
        <f t="shared" ca="1" si="11"/>
        <v>2.946277617631345</v>
      </c>
      <c r="N42" s="1046">
        <f t="shared" ca="1" si="11"/>
        <v>2.3585014188566369</v>
      </c>
      <c r="O42" s="1046">
        <f t="shared" ca="1" si="11"/>
        <v>1.8304007009361067</v>
      </c>
      <c r="P42" s="1046">
        <f t="shared" ca="1" si="11"/>
        <v>1.3228170689189913</v>
      </c>
      <c r="Q42" s="1046">
        <f t="shared" ca="1" si="11"/>
        <v>0.83519038276786384</v>
      </c>
      <c r="R42" s="303"/>
      <c r="S42" s="1039"/>
      <c r="T42" s="807" t="s">
        <v>573</v>
      </c>
      <c r="U42" s="1039"/>
      <c r="V42" s="1039"/>
      <c r="W42" s="1040"/>
    </row>
    <row r="43" spans="1:25" ht="12.75" customHeight="1">
      <c r="B43" s="263" t="s">
        <v>590</v>
      </c>
      <c r="C43" s="1047">
        <f>(C41*$G$18+SUM($G$29:$G$30))/$D$36</f>
        <v>11.715976056807072</v>
      </c>
      <c r="D43" s="1047">
        <f>(D41*$G$18+SUM($G$29:$G$30))/$D$36</f>
        <v>12.686445061378834</v>
      </c>
      <c r="E43" s="1047">
        <f>(E41*$G$18+SUM($G$29:$G$30))/$D$36</f>
        <v>13.656914065950593</v>
      </c>
      <c r="F43" s="1047">
        <f>(F41*$G$18+SUM($G$29:$G$30))/$D$36</f>
        <v>14.627383070522356</v>
      </c>
      <c r="G43" s="1047">
        <f>(G41*$G$18+SUM($G$29:$G$30))/$D$36</f>
        <v>15.597852075094115</v>
      </c>
      <c r="R43" s="804"/>
      <c r="S43" s="1039"/>
      <c r="T43" s="807" t="s">
        <v>574</v>
      </c>
      <c r="U43" s="1039"/>
      <c r="V43" s="1039"/>
      <c r="W43" s="1040"/>
    </row>
    <row r="44" spans="1:25" ht="12.75" customHeight="1">
      <c r="B44" s="1048">
        <f>'Acq LBO Tables'!E34</f>
        <v>8</v>
      </c>
      <c r="C44" s="1049">
        <f>'Acq LBO Tables'!F34</f>
        <v>0.22734462778476683</v>
      </c>
      <c r="D44" s="1049">
        <f>'Acq LBO Tables'!G34</f>
        <v>0.180993641563439</v>
      </c>
      <c r="E44" s="1049">
        <f>'Acq LBO Tables'!H34</f>
        <v>0.14402729911961609</v>
      </c>
      <c r="F44" s="1049">
        <f>'Acq LBO Tables'!I34</f>
        <v>0.11351589480271929</v>
      </c>
      <c r="G44" s="1049">
        <f>'Acq LBO Tables'!J34</f>
        <v>8.7693790429166585E-2</v>
      </c>
      <c r="I44" s="10" t="s">
        <v>61</v>
      </c>
      <c r="J44" s="10"/>
      <c r="K44" s="10"/>
      <c r="L44" s="888">
        <f t="shared" ref="L44:Q44" ca="1" si="12">IF(L252&gt;0,L248/L252,"NM")</f>
        <v>0.62679660149652239</v>
      </c>
      <c r="M44" s="888">
        <f t="shared" ca="1" si="12"/>
        <v>0.60817220402241212</v>
      </c>
      <c r="N44" s="888">
        <f t="shared" ca="1" si="12"/>
        <v>0.57893520536715903</v>
      </c>
      <c r="O44" s="888">
        <f t="shared" ca="1" si="12"/>
        <v>0.53852414703170404</v>
      </c>
      <c r="P44" s="888">
        <f t="shared" ca="1" si="12"/>
        <v>0.48570851395213782</v>
      </c>
      <c r="Q44" s="888">
        <f t="shared" ca="1" si="12"/>
        <v>0.41884994717534857</v>
      </c>
      <c r="R44" s="294"/>
      <c r="S44" s="1050"/>
      <c r="U44" s="1039"/>
      <c r="V44" s="1039"/>
      <c r="W44" s="1040"/>
    </row>
    <row r="45" spans="1:25" ht="12.75" customHeight="1">
      <c r="B45" s="1048">
        <f>'Acq LBO Tables'!E35</f>
        <v>9</v>
      </c>
      <c r="C45" s="383">
        <f>'Acq LBO Tables'!F35</f>
        <v>0.26497319205801428</v>
      </c>
      <c r="D45" s="383">
        <f>'Acq LBO Tables'!G35</f>
        <v>0.21693133835311906</v>
      </c>
      <c r="E45" s="383">
        <f>'Acq LBO Tables'!H35</f>
        <v>0.17858261141142395</v>
      </c>
      <c r="F45" s="383">
        <f>'Acq LBO Tables'!I35</f>
        <v>0.14690266768801652</v>
      </c>
      <c r="G45" s="383">
        <f>'Acq LBO Tables'!J35</f>
        <v>0.12006863939295442</v>
      </c>
      <c r="R45" s="303"/>
      <c r="S45" s="1039"/>
      <c r="T45" s="1039"/>
      <c r="U45" s="1039"/>
      <c r="V45" s="1039"/>
      <c r="W45" s="1039"/>
    </row>
    <row r="46" spans="1:25" ht="12.75" customHeight="1">
      <c r="B46" s="1048">
        <f>'Acq LBO Tables'!E36</f>
        <v>10</v>
      </c>
      <c r="C46" s="383">
        <f>'Acq LBO Tables'!F36</f>
        <v>0.29859348341002034</v>
      </c>
      <c r="D46" s="383">
        <f>'Acq LBO Tables'!G36</f>
        <v>0.2490657219921526</v>
      </c>
      <c r="E46" s="383">
        <f>'Acq LBO Tables'!H36</f>
        <v>0.20950449107645874</v>
      </c>
      <c r="F46" s="383">
        <f>'Acq LBO Tables'!I36</f>
        <v>0.17680136919967437</v>
      </c>
      <c r="G46" s="383">
        <f>'Acq LBO Tables'!J36</f>
        <v>0.14908266832841055</v>
      </c>
      <c r="R46" s="303"/>
      <c r="S46" s="1039"/>
      <c r="T46" s="1039"/>
      <c r="U46" s="1039"/>
      <c r="V46" s="1039"/>
      <c r="W46" s="1039"/>
    </row>
    <row r="47" spans="1:25" ht="12.75" customHeight="1">
      <c r="B47" s="1048">
        <f>'Acq LBO Tables'!E37</f>
        <v>11</v>
      </c>
      <c r="C47" s="383">
        <f>'Acq LBO Tables'!F37</f>
        <v>0.32905446454292742</v>
      </c>
      <c r="D47" s="383">
        <f>'Acq LBO Tables'!G37</f>
        <v>0.27819771557710626</v>
      </c>
      <c r="E47" s="383">
        <f>'Acq LBO Tables'!H37</f>
        <v>0.23755371427259697</v>
      </c>
      <c r="F47" s="383">
        <f>'Acq LBO Tables'!I37</f>
        <v>0.20393818979559897</v>
      </c>
      <c r="G47" s="383">
        <f>'Acq LBO Tables'!J37</f>
        <v>0.17543162205537244</v>
      </c>
      <c r="R47" s="303"/>
      <c r="S47" s="1039"/>
      <c r="T47" s="1039"/>
      <c r="U47" s="1039"/>
      <c r="V47" s="1039"/>
      <c r="W47" s="1039"/>
    </row>
    <row r="48" spans="1:25" ht="12.75" customHeight="1">
      <c r="B48" s="1048">
        <f>'Acq LBO Tables'!E38</f>
        <v>12</v>
      </c>
      <c r="C48" s="383">
        <f>'Acq LBO Tables'!F38</f>
        <v>0.35695456285124916</v>
      </c>
      <c r="D48" s="383">
        <f>'Acq LBO Tables'!G38</f>
        <v>0.30489310122034374</v>
      </c>
      <c r="E48" s="383">
        <f>'Acq LBO Tables'!H38</f>
        <v>0.26326884866652867</v>
      </c>
      <c r="F48" s="383">
        <f>'Acq LBO Tables'!I38</f>
        <v>0.22882829576415209</v>
      </c>
      <c r="G48" s="383">
        <f>'Acq LBO Tables'!J38</f>
        <v>0.1996100949786388</v>
      </c>
      <c r="R48" s="303"/>
      <c r="S48" s="1039"/>
      <c r="T48" s="1039"/>
      <c r="U48" s="1039"/>
      <c r="V48" s="1039"/>
      <c r="W48" s="1039"/>
    </row>
    <row r="49" spans="1:23" ht="12.75" customHeight="1">
      <c r="R49" s="303"/>
      <c r="S49" s="1039"/>
      <c r="T49" s="1039"/>
      <c r="U49" s="1039"/>
      <c r="V49" s="1039"/>
      <c r="W49" s="1039"/>
    </row>
    <row r="50" spans="1:23">
      <c r="B50" s="4"/>
      <c r="C50" s="4"/>
      <c r="D50" s="4"/>
      <c r="E50" s="4"/>
      <c r="F50" s="4"/>
      <c r="G50" s="4"/>
      <c r="I50" s="1051"/>
      <c r="J50" s="263"/>
      <c r="K50" s="263"/>
      <c r="L50" s="1052"/>
      <c r="M50" s="1052"/>
      <c r="N50" s="1052"/>
      <c r="O50" s="1052"/>
      <c r="P50" s="1052"/>
      <c r="Q50" s="1052"/>
      <c r="R50" s="649"/>
      <c r="S50" s="1039"/>
      <c r="T50" s="1039"/>
      <c r="U50" s="1039"/>
      <c r="V50" s="1039"/>
      <c r="W50" s="1039"/>
    </row>
    <row r="51" spans="1:23" ht="13.5">
      <c r="B51" s="250" t="str">
        <f>"(a) Includes "&amp;FIXED(arsu,1)&amp;"mm Restricted Stock Units."</f>
        <v>(a) Includes 0.2mm Restricted Stock Units.</v>
      </c>
      <c r="C51" s="156"/>
      <c r="D51" s="156"/>
      <c r="E51" s="156"/>
      <c r="F51" s="156"/>
      <c r="G51" s="1053"/>
      <c r="H51" s="156"/>
      <c r="I51" s="1054"/>
      <c r="J51" s="156"/>
      <c r="K51" s="156"/>
      <c r="L51" s="1055"/>
      <c r="M51" s="1055"/>
      <c r="N51" s="1055"/>
      <c r="O51" s="1055"/>
      <c r="P51" s="1055"/>
      <c r="Q51" s="1055"/>
    </row>
    <row r="52" spans="1:23" ht="13.5">
      <c r="B52" s="814" t="s">
        <v>407</v>
      </c>
      <c r="C52" s="4"/>
      <c r="D52" s="4"/>
      <c r="E52" s="4"/>
      <c r="F52" s="4"/>
      <c r="G52" s="294"/>
      <c r="H52" s="4"/>
      <c r="I52" s="1056"/>
      <c r="J52" s="4"/>
      <c r="K52" s="4"/>
      <c r="L52" s="303"/>
      <c r="M52" s="303"/>
      <c r="N52" s="303"/>
      <c r="O52" s="303"/>
      <c r="P52" s="303"/>
      <c r="Q52" s="303"/>
    </row>
    <row r="53" spans="1:23" ht="13.5">
      <c r="B53" s="360" t="str">
        <f>"(c) Assumes "&amp;TEXT(E128,"0.0 x")&amp;" rent methodology."</f>
        <v>(c) Assumes 8.0 x rent methodology.</v>
      </c>
      <c r="C53" s="4"/>
      <c r="D53" s="4"/>
      <c r="E53" s="4"/>
      <c r="F53" s="4"/>
      <c r="G53" s="294"/>
      <c r="H53" s="4"/>
      <c r="I53" s="1056"/>
      <c r="J53" s="4"/>
      <c r="K53" s="4"/>
      <c r="L53" s="303"/>
      <c r="M53" s="303"/>
      <c r="N53" s="303"/>
      <c r="O53" s="303"/>
      <c r="P53" s="303"/>
      <c r="Q53" s="303"/>
    </row>
    <row r="54" spans="1:23" ht="13.5">
      <c r="B54" s="1057"/>
      <c r="C54" s="4"/>
      <c r="D54" s="4"/>
      <c r="E54" s="4"/>
      <c r="F54" s="4"/>
      <c r="G54" s="294"/>
      <c r="H54" s="4"/>
      <c r="I54" s="1056"/>
      <c r="J54" s="4"/>
      <c r="K54" s="4"/>
      <c r="L54" s="303"/>
      <c r="M54" s="303"/>
      <c r="N54" s="303"/>
      <c r="O54" s="303"/>
      <c r="P54" s="303"/>
      <c r="Q54" s="303"/>
    </row>
    <row r="55" spans="1:23" ht="15.95" customHeight="1" collapsed="1">
      <c r="B55" s="170" t="s">
        <v>369</v>
      </c>
      <c r="C55" s="992"/>
      <c r="D55" s="992"/>
      <c r="E55" s="992"/>
      <c r="F55" s="992"/>
      <c r="G55" s="992"/>
      <c r="H55" s="992"/>
      <c r="I55" s="992"/>
      <c r="J55" s="992"/>
      <c r="K55" s="992"/>
      <c r="L55" s="992"/>
      <c r="M55" s="993"/>
      <c r="N55" s="993"/>
      <c r="O55" s="993"/>
      <c r="P55" s="993"/>
      <c r="Q55" s="993"/>
      <c r="R55" s="994"/>
    </row>
    <row r="56" spans="1:23" ht="3" customHeight="1">
      <c r="B56" s="1057"/>
      <c r="C56" s="4"/>
      <c r="D56" s="4"/>
      <c r="E56" s="4"/>
      <c r="F56" s="4"/>
      <c r="G56" s="294"/>
      <c r="H56" s="4"/>
      <c r="I56" s="1056"/>
      <c r="J56" s="4"/>
      <c r="K56" s="4"/>
      <c r="L56" s="303"/>
      <c r="M56" s="303"/>
      <c r="N56" s="303"/>
      <c r="O56" s="303"/>
      <c r="P56" s="303"/>
      <c r="Q56" s="303"/>
    </row>
    <row r="57" spans="1:23" ht="13.5" thickBot="1">
      <c r="B57" s="849" t="s">
        <v>44</v>
      </c>
      <c r="C57" s="1058"/>
      <c r="D57" s="1058"/>
      <c r="E57" s="1058"/>
      <c r="F57" s="1058"/>
      <c r="H57" s="4"/>
      <c r="I57" s="4"/>
      <c r="J57" s="1059" t="s">
        <v>381</v>
      </c>
      <c r="K57" s="1060"/>
      <c r="L57" s="1060"/>
      <c r="M57" s="1060"/>
      <c r="N57" s="1061"/>
      <c r="O57" s="1061"/>
      <c r="P57" s="1061"/>
      <c r="Q57" s="1061"/>
    </row>
    <row r="58" spans="1:23">
      <c r="B58" s="3" t="s">
        <v>21</v>
      </c>
      <c r="F58" s="153">
        <f>G19</f>
        <v>439.14328999999992</v>
      </c>
      <c r="H58" s="4"/>
      <c r="I58" s="4"/>
      <c r="J58" s="17" t="s">
        <v>373</v>
      </c>
      <c r="K58" s="17"/>
      <c r="L58" s="17"/>
      <c r="M58" s="17"/>
      <c r="O58" s="1062"/>
      <c r="P58" s="303"/>
      <c r="Q58" s="1063">
        <f>'Acq Proj'!F146</f>
        <v>250</v>
      </c>
    </row>
    <row r="59" spans="1:23">
      <c r="B59" s="3" t="s">
        <v>350</v>
      </c>
      <c r="F59" s="161">
        <f ca="1">H116</f>
        <v>99.713081252885857</v>
      </c>
      <c r="H59" s="4"/>
      <c r="I59" s="4"/>
      <c r="J59" s="17" t="s">
        <v>339</v>
      </c>
      <c r="K59" s="17"/>
      <c r="L59" s="17"/>
      <c r="M59" s="59"/>
      <c r="O59" s="1062"/>
      <c r="P59" s="303"/>
      <c r="Q59" s="435">
        <f>'Acq Proj'!F106</f>
        <v>10</v>
      </c>
    </row>
    <row r="60" spans="1:23">
      <c r="B60" s="3" t="s">
        <v>354</v>
      </c>
      <c r="F60" s="161">
        <f>-H99</f>
        <v>-0.21</v>
      </c>
      <c r="H60" s="4"/>
      <c r="I60" s="4"/>
      <c r="J60" s="17"/>
      <c r="K60" s="17"/>
      <c r="L60" s="17"/>
      <c r="M60" s="59"/>
      <c r="N60" s="17"/>
      <c r="O60" s="1062"/>
      <c r="P60" s="303"/>
      <c r="Q60" s="303"/>
    </row>
    <row r="61" spans="1:23" ht="13.5" thickBot="1">
      <c r="B61" s="151" t="s">
        <v>351</v>
      </c>
      <c r="C61" s="4"/>
      <c r="D61" s="4"/>
      <c r="E61" s="4"/>
      <c r="F61" s="260">
        <f ca="1">SUM(F59:F60)</f>
        <v>99.503081252885863</v>
      </c>
      <c r="H61" s="4"/>
      <c r="I61" s="4"/>
      <c r="J61" s="1059" t="s">
        <v>378</v>
      </c>
      <c r="K61" s="1060"/>
      <c r="L61" s="1060"/>
      <c r="M61" s="1060"/>
      <c r="N61" s="1061"/>
      <c r="O61" s="1061"/>
      <c r="P61" s="1061"/>
      <c r="Q61" s="1061"/>
    </row>
    <row r="62" spans="1:23">
      <c r="H62" s="4"/>
      <c r="I62" s="4"/>
      <c r="J62" s="17"/>
      <c r="M62" s="1064">
        <f>M28</f>
        <v>2020</v>
      </c>
      <c r="N62" s="1064">
        <f>N28</f>
        <v>2021</v>
      </c>
      <c r="O62" s="1064">
        <f>O28</f>
        <v>2022</v>
      </c>
      <c r="P62" s="1064">
        <f>P28</f>
        <v>2023</v>
      </c>
      <c r="Q62" s="1064">
        <f>Q28</f>
        <v>2024</v>
      </c>
    </row>
    <row r="63" spans="1:23">
      <c r="A63" s="3"/>
      <c r="B63" s="3" t="s">
        <v>349</v>
      </c>
      <c r="F63" s="372">
        <v>0.15</v>
      </c>
      <c r="H63" s="4"/>
      <c r="I63" s="4"/>
      <c r="J63" s="10" t="str">
        <f>I14</f>
        <v>Term Loan</v>
      </c>
      <c r="M63" s="1065">
        <v>0.01</v>
      </c>
      <c r="N63" s="1065">
        <v>0.01</v>
      </c>
      <c r="O63" s="1065">
        <v>0.01</v>
      </c>
      <c r="P63" s="1065">
        <v>0.01</v>
      </c>
      <c r="Q63" s="1065">
        <v>0.01</v>
      </c>
    </row>
    <row r="64" spans="1:23">
      <c r="A64" s="3"/>
      <c r="B64" s="3" t="s">
        <v>352</v>
      </c>
      <c r="C64" s="4"/>
      <c r="D64" s="4"/>
      <c r="E64" s="4"/>
      <c r="F64" s="146">
        <f ca="1">(F58-F59)*F63</f>
        <v>50.914531312067112</v>
      </c>
      <c r="H64" s="4"/>
      <c r="I64" s="4"/>
      <c r="J64" s="10" t="str">
        <f>I15</f>
        <v>Senior Notes</v>
      </c>
      <c r="M64" s="62">
        <v>0</v>
      </c>
      <c r="N64" s="62">
        <v>0</v>
      </c>
      <c r="O64" s="62">
        <v>0</v>
      </c>
      <c r="P64" s="62">
        <v>0</v>
      </c>
      <c r="Q64" s="62">
        <v>0</v>
      </c>
    </row>
    <row r="65" spans="1:17">
      <c r="A65" s="3"/>
      <c r="B65" s="3" t="s">
        <v>275</v>
      </c>
      <c r="F65" s="229">
        <v>10</v>
      </c>
      <c r="H65" s="4"/>
      <c r="I65" s="4"/>
      <c r="J65" s="10" t="str">
        <f>I16</f>
        <v>Subordinated Notes</v>
      </c>
      <c r="M65" s="62">
        <v>0</v>
      </c>
      <c r="N65" s="62">
        <v>0</v>
      </c>
      <c r="O65" s="62">
        <v>0</v>
      </c>
      <c r="P65" s="62">
        <v>0</v>
      </c>
      <c r="Q65" s="62">
        <v>0</v>
      </c>
    </row>
    <row r="66" spans="1:17">
      <c r="A66" s="151"/>
      <c r="B66" s="151" t="s">
        <v>276</v>
      </c>
      <c r="D66" s="4"/>
      <c r="E66" s="4"/>
      <c r="F66" s="584">
        <f ca="1">F64/F65</f>
        <v>5.0914531312067108</v>
      </c>
      <c r="H66" s="4"/>
      <c r="I66" s="4"/>
      <c r="P66" s="303"/>
      <c r="Q66" s="303"/>
    </row>
    <row r="67" spans="1:17" ht="13.5" thickBot="1">
      <c r="B67" s="4"/>
      <c r="C67" s="4"/>
      <c r="D67" s="4"/>
      <c r="E67" s="4"/>
      <c r="F67" s="4"/>
      <c r="G67" s="4"/>
      <c r="H67" s="4"/>
      <c r="I67" s="4"/>
      <c r="J67" s="1066" t="s">
        <v>372</v>
      </c>
      <c r="K67" s="1061"/>
      <c r="L67" s="1061"/>
      <c r="M67" s="1061"/>
      <c r="N67" s="1061"/>
      <c r="O67" s="1061"/>
      <c r="P67" s="1061"/>
      <c r="Q67" s="1061"/>
    </row>
    <row r="68" spans="1:17">
      <c r="B68" s="4" t="str">
        <f>+B58</f>
        <v>Purchase Price of Equity</v>
      </c>
      <c r="C68" s="4"/>
      <c r="D68" s="4"/>
      <c r="E68" s="4"/>
      <c r="F68" s="68">
        <f>+F58</f>
        <v>439.14328999999992</v>
      </c>
      <c r="G68" s="4"/>
      <c r="H68" s="4"/>
      <c r="I68" s="4"/>
      <c r="J68" s="17" t="s">
        <v>372</v>
      </c>
      <c r="K68" s="17"/>
      <c r="L68" s="17"/>
      <c r="M68" s="4"/>
      <c r="N68" s="17"/>
      <c r="O68" s="54"/>
      <c r="P68" s="303"/>
      <c r="Q68" s="62">
        <v>0.01</v>
      </c>
    </row>
    <row r="69" spans="1:17">
      <c r="B69" s="4" t="str">
        <f>+B61</f>
        <v>Tangible Book Value</v>
      </c>
      <c r="C69" s="4"/>
      <c r="D69" s="4"/>
      <c r="E69" s="4"/>
      <c r="F69" s="68">
        <f ca="1">-F61</f>
        <v>-99.503081252885863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1:17" ht="13.5" thickBot="1">
      <c r="B70" s="4" t="str">
        <f>+B64</f>
        <v>Identifiable Intangibles Adjustment</v>
      </c>
      <c r="C70" s="4"/>
      <c r="D70" s="4"/>
      <c r="E70" s="4"/>
      <c r="F70" s="68">
        <f ca="1">-F64</f>
        <v>-50.914531312067112</v>
      </c>
      <c r="G70" s="4"/>
      <c r="H70" s="4"/>
      <c r="I70" s="4"/>
      <c r="J70" s="1066" t="s">
        <v>566</v>
      </c>
      <c r="K70" s="1061"/>
      <c r="L70" s="1061"/>
      <c r="M70" s="1061"/>
      <c r="N70" s="1061"/>
      <c r="O70" s="1061"/>
      <c r="P70" s="1061"/>
      <c r="Q70" s="1061"/>
    </row>
    <row r="71" spans="1:17">
      <c r="B71" s="4" t="s">
        <v>518</v>
      </c>
      <c r="C71" s="4"/>
      <c r="D71" s="4"/>
      <c r="E71" s="4"/>
      <c r="F71" s="68">
        <f ca="1">+F64*L142</f>
        <v>12.728632828016778</v>
      </c>
      <c r="G71" s="4"/>
      <c r="H71" s="4"/>
      <c r="I71" s="4"/>
      <c r="J71" s="17"/>
      <c r="K71" s="4"/>
      <c r="L71" s="4"/>
      <c r="M71" s="17"/>
      <c r="N71" s="17"/>
      <c r="O71" s="17"/>
      <c r="P71" s="17"/>
      <c r="Q71" s="27" t="s">
        <v>308</v>
      </c>
    </row>
    <row r="72" spans="1:17">
      <c r="B72" s="151" t="s">
        <v>353</v>
      </c>
      <c r="C72" s="4"/>
      <c r="D72" s="4"/>
      <c r="E72" s="4"/>
      <c r="F72" s="584">
        <f ca="1">SUM(F68:F71)</f>
        <v>301.45431026306369</v>
      </c>
      <c r="G72" s="4"/>
      <c r="H72" s="4"/>
      <c r="I72" s="4"/>
      <c r="J72" s="10"/>
      <c r="K72" s="4"/>
      <c r="L72" s="4"/>
      <c r="M72" s="27" t="s">
        <v>11</v>
      </c>
      <c r="N72" s="27" t="s">
        <v>379</v>
      </c>
      <c r="O72" s="27" t="s">
        <v>380</v>
      </c>
      <c r="P72" s="27" t="s">
        <v>326</v>
      </c>
      <c r="Q72" s="27" t="s">
        <v>331</v>
      </c>
    </row>
    <row r="73" spans="1:17">
      <c r="C73" s="4"/>
      <c r="D73" s="4"/>
      <c r="E73" s="4"/>
      <c r="F73" s="68"/>
      <c r="G73" s="4"/>
      <c r="H73" s="4"/>
      <c r="I73" s="4"/>
      <c r="J73" s="10" t="s">
        <v>86</v>
      </c>
      <c r="K73" s="4"/>
      <c r="L73" s="4"/>
      <c r="M73" s="950">
        <f>Q58</f>
        <v>250</v>
      </c>
      <c r="N73" s="1067">
        <v>1.4999999999999999E-2</v>
      </c>
      <c r="O73" s="1068">
        <f>IFERROR(M73*N73,0)</f>
        <v>3.75</v>
      </c>
      <c r="P73" s="1069">
        <f>Q13</f>
        <v>5</v>
      </c>
      <c r="Q73" s="1070">
        <f>IFERROR(O73/P73,0)</f>
        <v>0.75</v>
      </c>
    </row>
    <row r="74" spans="1:17" ht="13.5">
      <c r="B74" s="1057"/>
      <c r="C74" s="4"/>
      <c r="D74" s="4"/>
      <c r="E74" s="4"/>
      <c r="F74" s="294"/>
      <c r="G74" s="4"/>
      <c r="H74" s="4"/>
      <c r="I74" s="4"/>
      <c r="J74" s="10" t="str">
        <f>I14</f>
        <v>Term Loan</v>
      </c>
      <c r="K74" s="4"/>
      <c r="L74" s="4"/>
      <c r="M74" s="595">
        <f ca="1">L14</f>
        <v>140</v>
      </c>
      <c r="N74" s="1071">
        <v>1.4999999999999999E-2</v>
      </c>
      <c r="O74" s="595">
        <f ca="1">IFERROR(M74*N74,0)</f>
        <v>2.1</v>
      </c>
      <c r="P74" s="595">
        <f>Q14</f>
        <v>5</v>
      </c>
      <c r="Q74" s="32">
        <f ca="1">IFERROR(O74/P74,0)</f>
        <v>0.42000000000000004</v>
      </c>
    </row>
    <row r="75" spans="1:17" ht="13.5" thickBot="1">
      <c r="B75" s="849" t="s">
        <v>419</v>
      </c>
      <c r="C75" s="567"/>
      <c r="D75" s="567"/>
      <c r="E75" s="567"/>
      <c r="F75" s="567"/>
      <c r="G75" s="4"/>
      <c r="H75" s="68"/>
      <c r="I75" s="4"/>
      <c r="J75" s="10" t="str">
        <f>I15</f>
        <v>Senior Notes</v>
      </c>
      <c r="K75" s="4"/>
      <c r="L75" s="4"/>
      <c r="M75" s="595">
        <f ca="1">L15</f>
        <v>60</v>
      </c>
      <c r="N75" s="1071">
        <v>2.2499999999999999E-2</v>
      </c>
      <c r="O75" s="595">
        <f ca="1">IFERROR(M75*N75,0)</f>
        <v>1.3499999999999999</v>
      </c>
      <c r="P75" s="595">
        <f>Q15</f>
        <v>8</v>
      </c>
      <c r="Q75" s="32">
        <f ca="1">IFERROR(O75/P75,0)</f>
        <v>0.16874999999999998</v>
      </c>
    </row>
    <row r="76" spans="1:17">
      <c r="B76" s="850" t="s">
        <v>171</v>
      </c>
      <c r="C76" s="850" t="s">
        <v>248</v>
      </c>
      <c r="D76" s="850" t="s">
        <v>420</v>
      </c>
      <c r="G76" s="4"/>
      <c r="H76" s="816"/>
      <c r="I76" s="4"/>
      <c r="J76" s="10" t="str">
        <f>I16</f>
        <v>Subordinated Notes</v>
      </c>
      <c r="K76" s="4"/>
      <c r="L76" s="4"/>
      <c r="M76" s="595">
        <f ca="1">L16</f>
        <v>40</v>
      </c>
      <c r="N76" s="1071">
        <v>2.2499999999999999E-2</v>
      </c>
      <c r="O76" s="595">
        <f ca="1">IFERROR(M76*N76,0)</f>
        <v>0.89999999999999991</v>
      </c>
      <c r="P76" s="595">
        <f>Q16</f>
        <v>8</v>
      </c>
      <c r="Q76" s="32">
        <f ca="1">IFERROR(O76/P76,0)</f>
        <v>0.11249999999999999</v>
      </c>
    </row>
    <row r="77" spans="1:17">
      <c r="B77" s="1115">
        <f>Inputs!B25</f>
        <v>1.2170000000000001</v>
      </c>
      <c r="C77" s="1116">
        <f>Inputs!C25</f>
        <v>6.13</v>
      </c>
      <c r="D77" s="851">
        <f>IF($C77&lt;G$12,(G$12-$C77)*$B77/G$12,0)</f>
        <v>1.0038511428571428</v>
      </c>
      <c r="G77" s="4"/>
      <c r="H77" s="816"/>
      <c r="I77" s="4"/>
      <c r="J77" s="323" t="s">
        <v>67</v>
      </c>
      <c r="K77" s="4"/>
      <c r="L77" s="4"/>
      <c r="M77" s="950">
        <f ca="1">SUM(M73:M76)</f>
        <v>490</v>
      </c>
      <c r="N77" s="1072">
        <f ca="1">O77/M77</f>
        <v>1.653061224489796E-2</v>
      </c>
      <c r="O77" s="1068">
        <f ca="1">SUM(O73:O76)</f>
        <v>8.1</v>
      </c>
      <c r="P77" s="32"/>
      <c r="Q77" s="1068">
        <f ca="1">SUM(Q73:Q76)</f>
        <v>1.4512499999999999</v>
      </c>
    </row>
    <row r="78" spans="1:17">
      <c r="B78" s="1117">
        <f>Inputs!B26</f>
        <v>0</v>
      </c>
      <c r="C78" s="682">
        <f>Inputs!C26</f>
        <v>0</v>
      </c>
      <c r="D78" s="854">
        <f t="shared" ref="D78:D82" si="13">IF($C78&lt;G$12,(G$12-$C78)*$B78/G$12,0)</f>
        <v>0</v>
      </c>
      <c r="G78" s="4"/>
      <c r="H78" s="816"/>
      <c r="I78" s="4"/>
      <c r="J78" s="4"/>
      <c r="K78" s="4"/>
      <c r="L78" s="4"/>
      <c r="M78" s="4"/>
      <c r="N78" s="4"/>
      <c r="O78" s="4"/>
      <c r="P78" s="4"/>
      <c r="Q78" s="4"/>
    </row>
    <row r="79" spans="1:17" ht="13.5" thickBot="1">
      <c r="B79" s="1117">
        <f>Inputs!B27</f>
        <v>0</v>
      </c>
      <c r="C79" s="682">
        <f>Inputs!C27</f>
        <v>0</v>
      </c>
      <c r="D79" s="854">
        <f t="shared" si="13"/>
        <v>0</v>
      </c>
      <c r="G79" s="4"/>
      <c r="H79" s="816"/>
      <c r="I79" s="4"/>
      <c r="J79" s="1066" t="s">
        <v>565</v>
      </c>
      <c r="K79" s="1061"/>
      <c r="L79" s="1061"/>
      <c r="M79" s="1061"/>
      <c r="N79" s="1061"/>
      <c r="O79" s="1061"/>
      <c r="P79" s="1061"/>
      <c r="Q79" s="1061"/>
    </row>
    <row r="80" spans="1:17">
      <c r="B80" s="1117">
        <f>Inputs!B28</f>
        <v>0</v>
      </c>
      <c r="C80" s="682">
        <f>Inputs!C28</f>
        <v>0</v>
      </c>
      <c r="D80" s="854">
        <f t="shared" si="13"/>
        <v>0</v>
      </c>
      <c r="E80" s="4"/>
      <c r="F80" s="4"/>
      <c r="G80" s="4"/>
      <c r="H80" s="816"/>
      <c r="I80" s="4"/>
      <c r="J80" s="17"/>
      <c r="K80" s="4"/>
      <c r="L80" s="4"/>
      <c r="M80" s="4"/>
      <c r="N80" s="4"/>
      <c r="O80" s="4"/>
      <c r="P80" s="4"/>
      <c r="Q80" s="142" t="s">
        <v>308</v>
      </c>
    </row>
    <row r="81" spans="1:18">
      <c r="B81" s="1117">
        <f>Inputs!B29</f>
        <v>0</v>
      </c>
      <c r="C81" s="682">
        <f>Inputs!C29</f>
        <v>0</v>
      </c>
      <c r="D81" s="854">
        <f t="shared" si="13"/>
        <v>0</v>
      </c>
      <c r="E81" s="858"/>
      <c r="F81" s="4"/>
      <c r="G81" s="4"/>
      <c r="H81" s="816"/>
      <c r="I81" s="4"/>
      <c r="J81" s="10"/>
      <c r="K81" s="4"/>
      <c r="L81" s="4"/>
      <c r="M81" s="142" t="s">
        <v>11</v>
      </c>
      <c r="N81" s="142" t="s">
        <v>480</v>
      </c>
      <c r="O81" s="142" t="s">
        <v>481</v>
      </c>
      <c r="P81" s="142" t="s">
        <v>326</v>
      </c>
      <c r="Q81" s="142" t="s">
        <v>331</v>
      </c>
    </row>
    <row r="82" spans="1:18">
      <c r="B82" s="1117">
        <f>Inputs!B30</f>
        <v>0</v>
      </c>
      <c r="C82" s="682">
        <f>Inputs!C30</f>
        <v>0</v>
      </c>
      <c r="D82" s="854">
        <f t="shared" si="13"/>
        <v>0</v>
      </c>
      <c r="E82" s="858"/>
      <c r="F82" s="4"/>
      <c r="G82" s="4"/>
      <c r="H82" s="816"/>
      <c r="I82" s="4"/>
      <c r="J82" s="10" t="str">
        <f>+J74</f>
        <v>Term Loan</v>
      </c>
      <c r="K82" s="4"/>
      <c r="L82" s="4"/>
      <c r="M82" s="863">
        <f ca="1">+M74</f>
        <v>140</v>
      </c>
      <c r="N82" s="864">
        <f>+P14</f>
        <v>100</v>
      </c>
      <c r="O82" s="865">
        <f ca="1">IFERROR(M82*(1-N82/100),0)</f>
        <v>0</v>
      </c>
      <c r="P82" s="865">
        <f>+P74</f>
        <v>5</v>
      </c>
      <c r="Q82" s="866">
        <f ca="1">IFERROR(O82/P82,0)</f>
        <v>0</v>
      </c>
    </row>
    <row r="83" spans="1:18">
      <c r="B83" s="852"/>
      <c r="C83" s="853"/>
      <c r="D83" s="854"/>
      <c r="E83" s="858"/>
      <c r="F83" s="4"/>
      <c r="G83" s="4"/>
      <c r="H83" s="816"/>
      <c r="I83" s="4"/>
      <c r="J83" s="10" t="str">
        <f>+J75</f>
        <v>Senior Notes</v>
      </c>
      <c r="K83" s="4"/>
      <c r="L83" s="4"/>
      <c r="M83" s="595">
        <f ca="1">+M75</f>
        <v>60</v>
      </c>
      <c r="N83" s="867">
        <f>+P15</f>
        <v>98</v>
      </c>
      <c r="O83" s="595">
        <f ca="1">IFERROR(M83*(1-N83/100),0)</f>
        <v>1.2000000000000011</v>
      </c>
      <c r="P83" s="595">
        <f>+P75</f>
        <v>8</v>
      </c>
      <c r="Q83" s="32">
        <f ca="1">IFERROR(O83/P83,0)</f>
        <v>0.15000000000000013</v>
      </c>
    </row>
    <row r="84" spans="1:18">
      <c r="B84" s="852"/>
      <c r="C84" s="853"/>
      <c r="D84" s="854"/>
      <c r="E84" s="858"/>
      <c r="F84" s="4"/>
      <c r="G84" s="4"/>
      <c r="H84" s="816"/>
      <c r="I84" s="4"/>
      <c r="J84" s="10" t="str">
        <f>+J76</f>
        <v>Subordinated Notes</v>
      </c>
      <c r="K84" s="4"/>
      <c r="L84" s="4"/>
      <c r="M84" s="595">
        <f ca="1">+M76</f>
        <v>40</v>
      </c>
      <c r="N84" s="867">
        <f>+P16</f>
        <v>97</v>
      </c>
      <c r="O84" s="595">
        <f ca="1">IFERROR(M84*(1-N84/100),0)</f>
        <v>1.2000000000000011</v>
      </c>
      <c r="P84" s="595">
        <f>+P76</f>
        <v>8</v>
      </c>
      <c r="Q84" s="32">
        <f ca="1">IFERROR(O84/P84,0)</f>
        <v>0.15000000000000013</v>
      </c>
    </row>
    <row r="85" spans="1:18">
      <c r="B85" s="852"/>
      <c r="C85" s="853"/>
      <c r="D85" s="854"/>
      <c r="E85" s="858"/>
      <c r="F85" s="4"/>
      <c r="G85" s="4"/>
      <c r="H85" s="816"/>
      <c r="I85" s="4"/>
      <c r="J85" s="323" t="s">
        <v>67</v>
      </c>
      <c r="K85" s="4"/>
      <c r="L85" s="4"/>
      <c r="M85" s="950">
        <f ca="1">SUM(M82:M84)</f>
        <v>240</v>
      </c>
      <c r="N85" s="1073"/>
      <c r="O85" s="1068">
        <f ca="1">SUM(O82:O84)</f>
        <v>2.4000000000000021</v>
      </c>
      <c r="P85" s="32"/>
      <c r="Q85" s="1068">
        <f ca="1">SUM(Q82:Q84)</f>
        <v>0.30000000000000027</v>
      </c>
    </row>
    <row r="86" spans="1:18">
      <c r="B86" s="861">
        <f>SUM(B77:B85)</f>
        <v>1.2170000000000001</v>
      </c>
      <c r="C86" s="862">
        <f>SUMPRODUCT(B77:B85,C77:C85)/B86</f>
        <v>6.13</v>
      </c>
      <c r="D86" s="851">
        <f>SUM(D77:D85)</f>
        <v>1.0038511428571428</v>
      </c>
      <c r="E86" s="858"/>
      <c r="F86" s="4"/>
      <c r="G86" s="4"/>
      <c r="H86" s="816"/>
      <c r="I86" s="4"/>
      <c r="J86" s="7"/>
      <c r="K86" s="7"/>
      <c r="L86" s="4"/>
      <c r="M86" s="54"/>
      <c r="N86" s="54"/>
      <c r="O86" s="4"/>
      <c r="P86" s="303"/>
      <c r="Q86" s="303"/>
    </row>
    <row r="87" spans="1:18">
      <c r="G87" s="1074"/>
      <c r="I87" s="730"/>
      <c r="L87" s="1075"/>
      <c r="M87" s="1075"/>
      <c r="N87" s="1075"/>
      <c r="O87" s="1075"/>
      <c r="P87" s="1075"/>
      <c r="Q87" s="1075"/>
    </row>
    <row r="88" spans="1:18" ht="15.95" customHeight="1" collapsed="1">
      <c r="A88" s="4" t="s">
        <v>167</v>
      </c>
      <c r="B88" s="170" t="s">
        <v>28</v>
      </c>
      <c r="C88" s="992"/>
      <c r="D88" s="992"/>
      <c r="E88" s="992"/>
      <c r="F88" s="992"/>
      <c r="G88" s="992"/>
      <c r="H88" s="992"/>
      <c r="I88" s="992"/>
      <c r="J88" s="992"/>
      <c r="K88" s="992"/>
      <c r="L88" s="992"/>
      <c r="M88" s="993"/>
      <c r="N88" s="993"/>
      <c r="O88" s="993"/>
      <c r="P88" s="993"/>
      <c r="Q88" s="993"/>
      <c r="R88" s="994"/>
    </row>
    <row r="89" spans="1:18" ht="15" customHeight="1">
      <c r="P89" s="8" t="s">
        <v>29</v>
      </c>
    </row>
    <row r="90" spans="1:18" s="17" customFormat="1">
      <c r="B90" s="10"/>
      <c r="C90" s="10"/>
      <c r="D90" s="10"/>
      <c r="E90" s="10"/>
      <c r="F90" s="10"/>
      <c r="H90" s="422" t="str">
        <f>acq&amp;" Projected"</f>
        <v>COLEMAN CO. Projected</v>
      </c>
      <c r="I90" s="10"/>
      <c r="J90" s="10"/>
      <c r="K90" s="10"/>
      <c r="L90" s="421" t="s">
        <v>140</v>
      </c>
      <c r="M90" s="10"/>
      <c r="N90" s="421" t="s">
        <v>33</v>
      </c>
      <c r="O90" s="10"/>
      <c r="P90" s="421" t="s">
        <v>34</v>
      </c>
      <c r="Q90" s="10"/>
    </row>
    <row r="91" spans="1:18" s="17" customFormat="1">
      <c r="B91" s="10"/>
      <c r="C91" s="10"/>
      <c r="D91" s="10"/>
      <c r="E91" s="10"/>
      <c r="F91" s="10"/>
      <c r="H91" s="318" t="str">
        <f>"at "&amp;TEXT(edate,"m/d/y")</f>
        <v>at 12/31/19</v>
      </c>
      <c r="I91" s="10"/>
      <c r="J91" s="10"/>
      <c r="K91" s="10"/>
      <c r="L91" s="26" t="s">
        <v>36</v>
      </c>
      <c r="M91" s="10"/>
      <c r="N91" s="26" t="s">
        <v>36</v>
      </c>
      <c r="O91" s="10"/>
      <c r="P91" s="26" t="s">
        <v>37</v>
      </c>
      <c r="Q91" s="10"/>
    </row>
    <row r="92" spans="1:18" s="17" customFormat="1">
      <c r="B92" s="274" t="s">
        <v>35</v>
      </c>
      <c r="C92" s="10"/>
      <c r="D92" s="10"/>
      <c r="E92" s="10"/>
      <c r="F92" s="10"/>
      <c r="H92" s="10"/>
      <c r="I92" s="10"/>
      <c r="J92" s="10"/>
      <c r="K92" s="10"/>
      <c r="L92" s="10"/>
      <c r="M92" s="10"/>
      <c r="N92" s="10"/>
      <c r="O92" s="10"/>
      <c r="P92" s="10"/>
      <c r="Q92" s="10"/>
    </row>
    <row r="93" spans="1:18" s="17" customFormat="1">
      <c r="B93" s="10" t="s">
        <v>38</v>
      </c>
      <c r="C93" s="10"/>
      <c r="D93" s="10"/>
      <c r="E93" s="10"/>
      <c r="F93" s="10"/>
      <c r="H93" s="444">
        <f ca="1">'Acq Proj'!L58</f>
        <v>78.243958020562602</v>
      </c>
      <c r="I93" s="874"/>
      <c r="J93" s="874"/>
      <c r="K93" s="874"/>
      <c r="L93" s="874"/>
      <c r="M93" s="874"/>
      <c r="N93" s="886">
        <f ca="1">-L21</f>
        <v>-68.243958020562602</v>
      </c>
      <c r="O93" s="874" t="s">
        <v>250</v>
      </c>
      <c r="P93" s="886">
        <f ca="1">H93+L93+N93</f>
        <v>10</v>
      </c>
      <c r="Q93" s="10"/>
    </row>
    <row r="94" spans="1:18" s="17" customFormat="1">
      <c r="B94" s="10" t="s">
        <v>39</v>
      </c>
      <c r="C94" s="10"/>
      <c r="D94" s="10"/>
      <c r="E94" s="10"/>
      <c r="F94" s="10"/>
      <c r="H94" s="408">
        <f>'Acq Proj'!L59</f>
        <v>15.421199999999999</v>
      </c>
      <c r="I94" s="40"/>
      <c r="J94" s="40"/>
      <c r="K94" s="40"/>
      <c r="L94" s="40"/>
      <c r="M94" s="40"/>
      <c r="N94" s="40"/>
      <c r="O94" s="40"/>
      <c r="P94" s="40">
        <f>H94+L94+N94</f>
        <v>15.421199999999999</v>
      </c>
      <c r="Q94" s="10"/>
    </row>
    <row r="95" spans="1:18" s="17" customFormat="1">
      <c r="B95" s="10" t="s">
        <v>40</v>
      </c>
      <c r="C95" s="10"/>
      <c r="D95" s="10"/>
      <c r="E95" s="10"/>
      <c r="F95" s="10"/>
      <c r="H95" s="408">
        <f>'Acq Proj'!L60</f>
        <v>14.492929292929333</v>
      </c>
      <c r="I95" s="40"/>
      <c r="J95" s="40"/>
      <c r="K95" s="40"/>
      <c r="L95" s="40"/>
      <c r="M95" s="40"/>
      <c r="N95" s="40"/>
      <c r="O95" s="40"/>
      <c r="P95" s="40">
        <f>H95+L95+N95</f>
        <v>14.492929292929333</v>
      </c>
      <c r="Q95" s="10"/>
    </row>
    <row r="96" spans="1:18" s="17" customFormat="1">
      <c r="B96" s="10" t="s">
        <v>41</v>
      </c>
      <c r="C96" s="10"/>
      <c r="D96" s="10"/>
      <c r="E96" s="10"/>
      <c r="F96" s="10"/>
      <c r="H96" s="434">
        <f>'Acq Proj'!L61</f>
        <v>7.0524000000000013</v>
      </c>
      <c r="I96" s="40"/>
      <c r="J96" s="40"/>
      <c r="K96" s="40"/>
      <c r="L96" s="40"/>
      <c r="M96" s="40"/>
      <c r="N96" s="40"/>
      <c r="O96" s="40"/>
      <c r="P96" s="755">
        <f>H96+L96+N96</f>
        <v>7.0524000000000013</v>
      </c>
      <c r="Q96" s="10"/>
    </row>
    <row r="97" spans="2:17" s="17" customFormat="1">
      <c r="B97" s="10" t="s">
        <v>141</v>
      </c>
      <c r="C97" s="10"/>
      <c r="D97" s="10"/>
      <c r="E97" s="10"/>
      <c r="F97" s="10"/>
      <c r="H97" s="40">
        <f ca="1">SUM(H93:H96)</f>
        <v>115.21048731349194</v>
      </c>
      <c r="I97" s="40"/>
      <c r="J97" s="40"/>
      <c r="K97" s="40"/>
      <c r="L97" s="40"/>
      <c r="M97" s="40"/>
      <c r="N97" s="40"/>
      <c r="O97" s="40"/>
      <c r="P97" s="40">
        <f ca="1">SUM(P93:P96)</f>
        <v>46.96652929292933</v>
      </c>
      <c r="Q97" s="10"/>
    </row>
    <row r="98" spans="2:17" s="17" customFormat="1">
      <c r="B98" s="10" t="s">
        <v>43</v>
      </c>
      <c r="C98" s="10"/>
      <c r="D98" s="10"/>
      <c r="E98" s="10"/>
      <c r="F98" s="10"/>
      <c r="H98" s="408">
        <f>'Acq Proj'!L63</f>
        <v>4.5999999999999996</v>
      </c>
      <c r="I98" s="40"/>
      <c r="J98" s="40"/>
      <c r="K98" s="40"/>
      <c r="L98" s="40"/>
      <c r="M98" s="40"/>
      <c r="N98" s="40"/>
      <c r="O98" s="40"/>
      <c r="P98" s="40">
        <f t="shared" ref="P98:P103" si="14">H98+L98+N98</f>
        <v>4.5999999999999996</v>
      </c>
      <c r="Q98" s="10"/>
    </row>
    <row r="99" spans="2:17" s="17" customFormat="1">
      <c r="B99" s="10" t="s">
        <v>332</v>
      </c>
      <c r="C99" s="10"/>
      <c r="D99" s="10"/>
      <c r="E99" s="10"/>
      <c r="F99" s="10"/>
      <c r="H99" s="408">
        <f>'Acq Proj'!L64</f>
        <v>0.21</v>
      </c>
      <c r="I99" s="40"/>
      <c r="J99" s="40"/>
      <c r="K99" s="40"/>
      <c r="L99" s="40">
        <f>-H99</f>
        <v>-0.21</v>
      </c>
      <c r="M99" s="40" t="s">
        <v>208</v>
      </c>
      <c r="N99" s="40"/>
      <c r="O99" s="40"/>
      <c r="P99" s="40">
        <f t="shared" si="14"/>
        <v>0</v>
      </c>
      <c r="Q99" s="10"/>
    </row>
    <row r="100" spans="2:17" s="17" customFormat="1">
      <c r="B100" s="10" t="s">
        <v>348</v>
      </c>
      <c r="C100" s="10"/>
      <c r="D100" s="10"/>
      <c r="E100" s="10"/>
      <c r="F100" s="10"/>
      <c r="H100" s="408">
        <f>'Acq Proj'!L65</f>
        <v>0.437</v>
      </c>
      <c r="I100" s="40"/>
      <c r="J100" s="40"/>
      <c r="K100" s="40"/>
      <c r="L100" s="40">
        <f ca="1">F64</f>
        <v>50.914531312067112</v>
      </c>
      <c r="M100" s="40" t="s">
        <v>267</v>
      </c>
      <c r="N100" s="40"/>
      <c r="O100" s="40"/>
      <c r="P100" s="40">
        <f t="shared" ca="1" si="14"/>
        <v>51.35153131206711</v>
      </c>
      <c r="Q100" s="10"/>
    </row>
    <row r="101" spans="2:17" s="17" customFormat="1">
      <c r="B101" s="10" t="s">
        <v>45</v>
      </c>
      <c r="C101" s="10"/>
      <c r="D101" s="10"/>
      <c r="E101" s="10"/>
      <c r="F101" s="10"/>
      <c r="H101" s="453">
        <v>0</v>
      </c>
      <c r="I101" s="40"/>
      <c r="J101" s="40"/>
      <c r="K101" s="40"/>
      <c r="L101" s="40">
        <f ca="1">F72</f>
        <v>301.45431026306369</v>
      </c>
      <c r="M101" s="40" t="s">
        <v>267</v>
      </c>
      <c r="N101" s="40"/>
      <c r="O101" s="40"/>
      <c r="P101" s="40">
        <f t="shared" ca="1" si="14"/>
        <v>301.45431026306369</v>
      </c>
      <c r="Q101" s="10"/>
    </row>
    <row r="102" spans="2:17" s="17" customFormat="1">
      <c r="B102" s="10" t="s">
        <v>374</v>
      </c>
      <c r="C102" s="10"/>
      <c r="D102" s="10"/>
      <c r="E102" s="10"/>
      <c r="F102" s="10"/>
      <c r="H102" s="453">
        <v>0</v>
      </c>
      <c r="I102" s="40"/>
      <c r="J102" s="40"/>
      <c r="K102" s="40"/>
      <c r="L102" s="40"/>
      <c r="M102" s="40"/>
      <c r="N102" s="40">
        <f ca="1">G22</f>
        <v>8.1</v>
      </c>
      <c r="O102" s="40"/>
      <c r="P102" s="40">
        <f t="shared" ca="1" si="14"/>
        <v>8.1</v>
      </c>
      <c r="Q102" s="10"/>
    </row>
    <row r="103" spans="2:17" s="17" customFormat="1">
      <c r="B103" s="10" t="s">
        <v>232</v>
      </c>
      <c r="C103" s="10"/>
      <c r="D103" s="10"/>
      <c r="E103" s="10"/>
      <c r="F103" s="10"/>
      <c r="H103" s="435">
        <f>'Acq Proj'!L66</f>
        <v>3.621</v>
      </c>
      <c r="I103" s="40"/>
      <c r="J103" s="40"/>
      <c r="K103" s="40"/>
      <c r="L103" s="40"/>
      <c r="M103" s="40"/>
      <c r="N103" s="40"/>
      <c r="O103" s="40"/>
      <c r="P103" s="755">
        <f t="shared" si="14"/>
        <v>3.621</v>
      </c>
      <c r="Q103" s="10"/>
    </row>
    <row r="104" spans="2:17" s="17" customFormat="1">
      <c r="B104" s="10" t="s">
        <v>149</v>
      </c>
      <c r="C104" s="10"/>
      <c r="D104" s="10"/>
      <c r="E104" s="10"/>
      <c r="F104" s="10"/>
      <c r="H104" s="1016">
        <f ca="1">SUM(H97:H103)</f>
        <v>124.07848731349192</v>
      </c>
      <c r="I104" s="886"/>
      <c r="J104" s="886"/>
      <c r="K104" s="886"/>
      <c r="L104" s="886"/>
      <c r="M104" s="886"/>
      <c r="N104" s="886"/>
      <c r="O104" s="886"/>
      <c r="P104" s="1016">
        <f ca="1">SUM(P97:P103)</f>
        <v>416.09337086806011</v>
      </c>
      <c r="Q104" s="10"/>
    </row>
    <row r="105" spans="2:17" s="17" customFormat="1">
      <c r="B105" s="10"/>
      <c r="C105" s="10"/>
      <c r="D105" s="10"/>
      <c r="E105" s="10"/>
      <c r="F105" s="10"/>
      <c r="I105" s="10"/>
      <c r="J105" s="10"/>
      <c r="K105" s="10"/>
      <c r="L105" s="10"/>
      <c r="M105" s="10"/>
      <c r="N105" s="10"/>
      <c r="O105" s="10"/>
      <c r="Q105" s="10"/>
    </row>
    <row r="106" spans="2:17" s="17" customFormat="1">
      <c r="B106" s="274" t="s">
        <v>47</v>
      </c>
      <c r="C106" s="10"/>
      <c r="D106" s="10"/>
      <c r="E106" s="10"/>
      <c r="F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</row>
    <row r="107" spans="2:17" s="17" customFormat="1">
      <c r="B107" s="10" t="s">
        <v>48</v>
      </c>
      <c r="C107" s="10"/>
      <c r="D107" s="10"/>
      <c r="E107" s="10"/>
      <c r="F107" s="10"/>
      <c r="H107" s="444">
        <f>'Acq Proj'!L71</f>
        <v>7.7406060606060612</v>
      </c>
      <c r="I107" s="886"/>
      <c r="J107" s="886"/>
      <c r="K107" s="886"/>
      <c r="L107" s="886"/>
      <c r="M107" s="886"/>
      <c r="N107" s="886"/>
      <c r="O107" s="886"/>
      <c r="P107" s="886">
        <f>H107+L107+N107</f>
        <v>7.7406060606060612</v>
      </c>
      <c r="Q107" s="10"/>
    </row>
    <row r="108" spans="2:17" s="17" customFormat="1">
      <c r="B108" s="10" t="s">
        <v>49</v>
      </c>
      <c r="C108" s="10"/>
      <c r="D108" s="10"/>
      <c r="E108" s="10"/>
      <c r="F108" s="10"/>
      <c r="H108" s="434">
        <f>'Acq Proj'!L72</f>
        <v>10.630800000000001</v>
      </c>
      <c r="I108" s="40"/>
      <c r="J108" s="40"/>
      <c r="K108" s="40"/>
      <c r="L108" s="40"/>
      <c r="M108" s="40"/>
      <c r="N108" s="40"/>
      <c r="O108" s="40"/>
      <c r="P108" s="755">
        <f>H108+L108+N108</f>
        <v>10.630800000000001</v>
      </c>
      <c r="Q108" s="10"/>
    </row>
    <row r="109" spans="2:17" s="17" customFormat="1">
      <c r="B109" s="10" t="s">
        <v>142</v>
      </c>
      <c r="C109" s="10"/>
      <c r="D109" s="10"/>
      <c r="E109" s="10"/>
      <c r="F109" s="10"/>
      <c r="H109" s="40">
        <f>SUM(H107:H108)</f>
        <v>18.371406060606063</v>
      </c>
      <c r="I109" s="40"/>
      <c r="J109" s="40"/>
      <c r="K109" s="40"/>
      <c r="L109" s="40"/>
      <c r="M109" s="40"/>
      <c r="N109" s="40"/>
      <c r="O109" s="40"/>
      <c r="P109" s="40">
        <f>SUM(P107:P108)</f>
        <v>18.371406060606063</v>
      </c>
      <c r="Q109" s="10"/>
    </row>
    <row r="110" spans="2:17" s="17" customFormat="1">
      <c r="B110" s="10" t="s">
        <v>51</v>
      </c>
      <c r="C110" s="10"/>
      <c r="D110" s="10"/>
      <c r="E110" s="10"/>
      <c r="F110" s="10"/>
      <c r="H110" s="408">
        <f ca="1">'Acq Proj'!L70+'Acq Proj'!L74</f>
        <v>0</v>
      </c>
      <c r="I110" s="40"/>
      <c r="J110" s="40"/>
      <c r="K110" s="40"/>
      <c r="L110" s="40"/>
      <c r="M110" s="40"/>
      <c r="N110" s="40">
        <f ca="1">L17-H110</f>
        <v>240</v>
      </c>
      <c r="O110" s="40" t="s">
        <v>251</v>
      </c>
      <c r="P110" s="40">
        <f t="shared" ref="P110:P116" ca="1" si="15">H110+L110+N110</f>
        <v>240</v>
      </c>
      <c r="Q110" s="10"/>
    </row>
    <row r="111" spans="2:17" s="17" customFormat="1">
      <c r="B111" s="10" t="s">
        <v>233</v>
      </c>
      <c r="C111" s="10"/>
      <c r="D111" s="10"/>
      <c r="E111" s="10"/>
      <c r="F111" s="10"/>
      <c r="H111" s="408">
        <f>'Acq Proj'!L75</f>
        <v>4.4939999999999998</v>
      </c>
      <c r="I111" s="40"/>
      <c r="J111" s="40"/>
      <c r="K111" s="40"/>
      <c r="L111" s="40"/>
      <c r="M111" s="40"/>
      <c r="N111" s="40"/>
      <c r="O111" s="40"/>
      <c r="P111" s="40">
        <f t="shared" si="15"/>
        <v>4.4939999999999998</v>
      </c>
      <c r="Q111" s="10"/>
    </row>
    <row r="112" spans="2:17" s="17" customFormat="1">
      <c r="B112" s="10" t="s">
        <v>475</v>
      </c>
      <c r="C112" s="10"/>
      <c r="D112" s="10"/>
      <c r="E112" s="10"/>
      <c r="F112" s="10"/>
      <c r="H112" s="453">
        <v>0</v>
      </c>
      <c r="I112" s="40"/>
      <c r="J112" s="40"/>
      <c r="K112" s="40"/>
      <c r="L112" s="40"/>
      <c r="M112" s="40"/>
      <c r="N112" s="40">
        <f ca="1">-G21</f>
        <v>-2.4000000000000021</v>
      </c>
      <c r="O112" s="40"/>
      <c r="P112" s="40">
        <f t="shared" ca="1" si="15"/>
        <v>-2.4000000000000021</v>
      </c>
      <c r="Q112" s="10"/>
    </row>
    <row r="113" spans="2:18" s="17" customFormat="1">
      <c r="B113" s="10" t="s">
        <v>518</v>
      </c>
      <c r="C113" s="10"/>
      <c r="D113" s="10"/>
      <c r="E113" s="10"/>
      <c r="F113" s="10"/>
      <c r="H113" s="453">
        <v>0</v>
      </c>
      <c r="I113" s="40"/>
      <c r="J113" s="40"/>
      <c r="K113" s="40"/>
      <c r="L113" s="40">
        <f ca="1">+F71</f>
        <v>12.728632828016778</v>
      </c>
      <c r="M113" s="40"/>
      <c r="N113" s="40"/>
      <c r="O113" s="40"/>
      <c r="P113" s="40">
        <f t="shared" ca="1" si="15"/>
        <v>12.728632828016778</v>
      </c>
      <c r="Q113" s="10"/>
    </row>
    <row r="114" spans="2:18" s="17" customFormat="1">
      <c r="B114" s="10" t="s">
        <v>52</v>
      </c>
      <c r="C114" s="10"/>
      <c r="D114" s="10"/>
      <c r="E114" s="10"/>
      <c r="F114" s="10"/>
      <c r="H114" s="408">
        <f>'Acq Proj'!L76</f>
        <v>1</v>
      </c>
      <c r="I114" s="40"/>
      <c r="J114" s="40"/>
      <c r="K114" s="40"/>
      <c r="L114" s="40"/>
      <c r="M114" s="40"/>
      <c r="N114" s="40"/>
      <c r="O114" s="40"/>
      <c r="P114" s="40">
        <f t="shared" si="15"/>
        <v>1</v>
      </c>
      <c r="Q114" s="10"/>
    </row>
    <row r="115" spans="2:18" s="17" customFormat="1">
      <c r="B115" s="10" t="s">
        <v>53</v>
      </c>
      <c r="C115" s="10"/>
      <c r="D115" s="10"/>
      <c r="E115" s="10"/>
      <c r="F115" s="10"/>
      <c r="H115" s="408">
        <f>'Acq Proj'!L77</f>
        <v>0.5</v>
      </c>
      <c r="I115" s="40"/>
      <c r="J115" s="40"/>
      <c r="K115" s="40"/>
      <c r="L115" s="40"/>
      <c r="M115" s="40"/>
      <c r="N115" s="40"/>
      <c r="O115" s="40"/>
      <c r="P115" s="40">
        <f t="shared" si="15"/>
        <v>0.5</v>
      </c>
      <c r="Q115" s="10"/>
    </row>
    <row r="116" spans="2:18" s="17" customFormat="1">
      <c r="B116" s="10" t="s">
        <v>150</v>
      </c>
      <c r="C116" s="10"/>
      <c r="D116" s="10"/>
      <c r="E116" s="10"/>
      <c r="F116" s="10"/>
      <c r="H116" s="434">
        <f ca="1">'Acq Proj'!L78</f>
        <v>99.713081252885857</v>
      </c>
      <c r="I116" s="40"/>
      <c r="J116" s="40"/>
      <c r="K116" s="40"/>
      <c r="L116" s="40">
        <f ca="1">-H116</f>
        <v>-99.713081252885857</v>
      </c>
      <c r="M116" s="40" t="s">
        <v>249</v>
      </c>
      <c r="N116" s="40">
        <f ca="1">L20-G23</f>
        <v>141.39933197943728</v>
      </c>
      <c r="O116" s="40" t="s">
        <v>252</v>
      </c>
      <c r="P116" s="755">
        <f t="shared" ca="1" si="15"/>
        <v>141.39933197943728</v>
      </c>
      <c r="Q116" s="10"/>
    </row>
    <row r="117" spans="2:18">
      <c r="B117" s="3" t="s">
        <v>152</v>
      </c>
      <c r="G117" s="4"/>
      <c r="H117" s="344">
        <f ca="1">SUM(H109:H116)</f>
        <v>124.07848731349192</v>
      </c>
      <c r="I117" s="298"/>
      <c r="J117" s="298"/>
      <c r="K117" s="298"/>
      <c r="L117" s="298"/>
      <c r="M117" s="298"/>
      <c r="N117" s="298"/>
      <c r="O117" s="298"/>
      <c r="P117" s="344">
        <f ca="1">SUM(P109:P116)</f>
        <v>416.09337086806022</v>
      </c>
    </row>
    <row r="118" spans="2:18" ht="12.75" customHeight="1">
      <c r="G118" s="4"/>
      <c r="H118" s="294"/>
      <c r="P118" s="294"/>
    </row>
    <row r="119" spans="2:18" ht="12.75" customHeight="1">
      <c r="B119" s="3" t="s">
        <v>34</v>
      </c>
      <c r="G119" s="4"/>
      <c r="H119" s="68">
        <f ca="1">H104-H117</f>
        <v>0</v>
      </c>
      <c r="P119" s="68">
        <f ca="1">P104-P117</f>
        <v>0</v>
      </c>
    </row>
    <row r="120" spans="2:18" ht="12.7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</row>
    <row r="121" spans="2:18" ht="12.75" customHeight="1">
      <c r="B121" s="892" t="s">
        <v>271</v>
      </c>
      <c r="C121" s="892"/>
      <c r="D121" s="892"/>
      <c r="E121" s="892"/>
      <c r="F121" s="892"/>
      <c r="G121" s="892"/>
      <c r="H121" s="892"/>
      <c r="I121" s="892"/>
      <c r="J121" s="892" t="s">
        <v>269</v>
      </c>
      <c r="K121" s="156"/>
      <c r="L121" s="156"/>
      <c r="M121" s="156"/>
      <c r="N121" s="156"/>
      <c r="O121" s="156"/>
      <c r="P121" s="156"/>
      <c r="Q121" s="156"/>
    </row>
    <row r="122" spans="2:18" ht="12.75" customHeight="1">
      <c r="B122" s="894" t="s">
        <v>430</v>
      </c>
      <c r="C122" s="894"/>
      <c r="D122" s="894"/>
      <c r="E122" s="894"/>
      <c r="F122" s="894"/>
      <c r="G122" s="894"/>
      <c r="H122" s="894"/>
      <c r="I122" s="894"/>
      <c r="J122" s="894" t="s">
        <v>273</v>
      </c>
    </row>
    <row r="123" spans="2:18" ht="13.5">
      <c r="B123" s="894" t="s">
        <v>272</v>
      </c>
      <c r="C123" s="894"/>
      <c r="D123" s="894"/>
      <c r="E123" s="894"/>
      <c r="F123" s="894"/>
      <c r="G123" s="894"/>
      <c r="H123" s="894"/>
      <c r="I123" s="894"/>
      <c r="J123" s="894" t="s">
        <v>270</v>
      </c>
      <c r="K123" s="1076"/>
    </row>
    <row r="124" spans="2:18">
      <c r="R124" s="3"/>
    </row>
    <row r="125" spans="2:18" ht="15.95" customHeight="1" collapsed="1" thickBot="1">
      <c r="B125" s="628" t="s">
        <v>123</v>
      </c>
      <c r="C125" s="629"/>
      <c r="D125" s="629"/>
      <c r="E125" s="629"/>
      <c r="F125" s="629"/>
      <c r="G125" s="629"/>
      <c r="H125" s="629"/>
      <c r="I125" s="629"/>
      <c r="J125" s="629"/>
      <c r="K125" s="629"/>
      <c r="L125" s="629"/>
      <c r="M125" s="629"/>
      <c r="N125" s="629"/>
      <c r="O125" s="630"/>
      <c r="P125" s="630"/>
      <c r="Q125" s="630"/>
      <c r="R125" s="630"/>
    </row>
    <row r="126" spans="2:18">
      <c r="B126" s="895" t="str">
        <f>'Acq Proj'!B7</f>
        <v>Fiscal Year Ended December 31,</v>
      </c>
      <c r="C126" s="896"/>
      <c r="D126" s="896"/>
      <c r="E126" s="896"/>
      <c r="F126" s="896"/>
      <c r="G126" s="896"/>
      <c r="H126" s="896"/>
      <c r="I126" s="896"/>
      <c r="J126" s="896"/>
      <c r="K126" s="896"/>
      <c r="L126" s="899">
        <f>'Acq Proj'!L7</f>
        <v>2019</v>
      </c>
      <c r="M126" s="463">
        <f>'Acq Proj'!M7</f>
        <v>2020</v>
      </c>
      <c r="N126" s="463">
        <f>'Acq Proj'!N7</f>
        <v>2021</v>
      </c>
      <c r="O126" s="463">
        <f>'Acq Proj'!O7</f>
        <v>2022</v>
      </c>
      <c r="P126" s="463">
        <f>'Acq Proj'!P7</f>
        <v>2023</v>
      </c>
      <c r="Q126" s="463">
        <f>'Acq Proj'!Q7</f>
        <v>2024</v>
      </c>
      <c r="R126" s="96"/>
    </row>
    <row r="127" spans="2:18" ht="15" customHeight="1">
      <c r="B127" s="3" t="s">
        <v>254</v>
      </c>
      <c r="I127" s="620"/>
      <c r="K127" s="620"/>
      <c r="L127" s="444">
        <f>'Acq Proj'!L8</f>
        <v>120</v>
      </c>
      <c r="M127" s="444">
        <f>'Acq Proj'!M8</f>
        <v>140</v>
      </c>
      <c r="N127" s="444">
        <f>'Acq Proj'!N8</f>
        <v>160</v>
      </c>
      <c r="O127" s="444">
        <f>'Acq Proj'!O8</f>
        <v>180</v>
      </c>
      <c r="P127" s="444">
        <f>'Acq Proj'!P8</f>
        <v>202.5</v>
      </c>
      <c r="Q127" s="444">
        <f>'Acq Proj'!Q8</f>
        <v>227.8125</v>
      </c>
      <c r="R127" s="3"/>
    </row>
    <row r="128" spans="2:18" ht="12.75" customHeight="1" outlineLevel="1">
      <c r="B128" s="3" t="s">
        <v>306</v>
      </c>
      <c r="E128" s="1077">
        <f>'Acq Proj'!E186</f>
        <v>8</v>
      </c>
      <c r="F128" s="3" t="s">
        <v>575</v>
      </c>
      <c r="I128" s="217"/>
      <c r="K128" s="217"/>
      <c r="L128" s="408">
        <f>'Acq Proj'!L38</f>
        <v>44.8</v>
      </c>
      <c r="M128" s="408">
        <f>'Acq Proj'!M38</f>
        <v>50.6</v>
      </c>
      <c r="N128" s="408">
        <f>'Acq Proj'!N38</f>
        <v>57.828571428571429</v>
      </c>
      <c r="O128" s="408">
        <f>'Acq Proj'!O38</f>
        <v>65.05714285714285</v>
      </c>
      <c r="P128" s="408">
        <f>'Acq Proj'!P38</f>
        <v>73.189285714285703</v>
      </c>
      <c r="Q128" s="408">
        <f>'Acq Proj'!Q38</f>
        <v>82.337946428571428</v>
      </c>
      <c r="R128" s="3"/>
    </row>
    <row r="129" spans="2:20" ht="12.75" customHeight="1" outlineLevel="1">
      <c r="B129" s="3" t="s">
        <v>305</v>
      </c>
      <c r="I129" s="217"/>
      <c r="K129" s="217"/>
      <c r="L129" s="408">
        <f>'Acq Proj'!L37</f>
        <v>4.8</v>
      </c>
      <c r="M129" s="408">
        <f>'Acq Proj'!M37</f>
        <v>5.6000000000000005</v>
      </c>
      <c r="N129" s="408">
        <f>'Acq Proj'!N37</f>
        <v>6.4</v>
      </c>
      <c r="O129" s="408">
        <f>'Acq Proj'!O37</f>
        <v>7.2</v>
      </c>
      <c r="P129" s="408">
        <f>'Acq Proj'!P37</f>
        <v>8.1</v>
      </c>
      <c r="Q129" s="408">
        <f>'Acq Proj'!Q37</f>
        <v>9.1125000000000007</v>
      </c>
      <c r="R129" s="3"/>
    </row>
    <row r="130" spans="2:20" ht="12.75" customHeight="1">
      <c r="B130" s="3" t="s">
        <v>63</v>
      </c>
      <c r="I130" s="217"/>
      <c r="K130" s="217"/>
      <c r="L130" s="408">
        <f>'Acq Proj'!L36</f>
        <v>40</v>
      </c>
      <c r="M130" s="408">
        <f>'Acq Proj'!M36</f>
        <v>45</v>
      </c>
      <c r="N130" s="408">
        <f>'Acq Proj'!N36</f>
        <v>51.428571428571431</v>
      </c>
      <c r="O130" s="408">
        <f>'Acq Proj'!O36</f>
        <v>57.857142857142854</v>
      </c>
      <c r="P130" s="408">
        <f>'Acq Proj'!P36</f>
        <v>65.089285714285708</v>
      </c>
      <c r="Q130" s="408">
        <f>'Acq Proj'!Q36</f>
        <v>73.225446428571431</v>
      </c>
      <c r="R130" s="3"/>
    </row>
    <row r="131" spans="2:20" ht="12.75" customHeight="1">
      <c r="B131" s="3" t="s">
        <v>154</v>
      </c>
      <c r="L131" s="408">
        <f>'Acq Proj'!L89</f>
        <v>10</v>
      </c>
      <c r="M131" s="408">
        <f>'Acq Proj'!M89</f>
        <v>10</v>
      </c>
      <c r="N131" s="408">
        <f>'Acq Proj'!N89</f>
        <v>11.428571428571427</v>
      </c>
      <c r="O131" s="408">
        <f>'Acq Proj'!O89</f>
        <v>12.857142857142856</v>
      </c>
      <c r="P131" s="408">
        <f>'Acq Proj'!P89</f>
        <v>14.464285714285714</v>
      </c>
      <c r="Q131" s="408">
        <f>'Acq Proj'!Q89</f>
        <v>16.272321428571427</v>
      </c>
      <c r="R131" s="3"/>
    </row>
    <row r="132" spans="2:20" ht="12.75" customHeight="1">
      <c r="B132" s="3" t="s">
        <v>355</v>
      </c>
      <c r="L132" s="408">
        <f>'Acq Proj'!L90</f>
        <v>0</v>
      </c>
      <c r="M132" s="408">
        <f>'Acq Proj'!M90</f>
        <v>0</v>
      </c>
      <c r="N132" s="408">
        <f>'Acq Proj'!N90</f>
        <v>0</v>
      </c>
      <c r="O132" s="408">
        <f>'Acq Proj'!O90</f>
        <v>0</v>
      </c>
      <c r="P132" s="408">
        <f>'Acq Proj'!P90</f>
        <v>0</v>
      </c>
      <c r="Q132" s="408">
        <f>'Acq Proj'!Q90</f>
        <v>0</v>
      </c>
      <c r="R132" s="3"/>
    </row>
    <row r="133" spans="2:20" ht="12.75" customHeight="1">
      <c r="B133" s="3" t="s">
        <v>277</v>
      </c>
      <c r="L133" s="755">
        <f ca="1">+M133</f>
        <v>5.0914531312067108</v>
      </c>
      <c r="M133" s="755">
        <f ca="1">$F$66</f>
        <v>5.0914531312067108</v>
      </c>
      <c r="N133" s="755">
        <f ca="1">$F$66</f>
        <v>5.0914531312067108</v>
      </c>
      <c r="O133" s="755">
        <f ca="1">$F$66</f>
        <v>5.0914531312067108</v>
      </c>
      <c r="P133" s="755">
        <f ca="1">$F$66</f>
        <v>5.0914531312067108</v>
      </c>
      <c r="Q133" s="755">
        <f ca="1">$F$66</f>
        <v>5.0914531312067108</v>
      </c>
      <c r="R133" s="3"/>
    </row>
    <row r="134" spans="2:20" ht="12.75" customHeight="1">
      <c r="B134" s="3" t="s">
        <v>64</v>
      </c>
      <c r="L134" s="1078">
        <f t="shared" ref="L134:Q134" ca="1" si="16">L130-L131-L132-L133</f>
        <v>24.908546868793287</v>
      </c>
      <c r="M134" s="1078">
        <f t="shared" ca="1" si="16"/>
        <v>29.908546868793287</v>
      </c>
      <c r="N134" s="1078">
        <f t="shared" ca="1" si="16"/>
        <v>34.908546868793287</v>
      </c>
      <c r="O134" s="1078">
        <f t="shared" ca="1" si="16"/>
        <v>39.908546868793287</v>
      </c>
      <c r="P134" s="1078">
        <f t="shared" ca="1" si="16"/>
        <v>45.53354686879328</v>
      </c>
      <c r="Q134" s="1078">
        <f t="shared" ca="1" si="16"/>
        <v>51.861671868793287</v>
      </c>
      <c r="R134" s="3"/>
    </row>
    <row r="135" spans="2:20" ht="12.75" customHeight="1">
      <c r="B135" s="3" t="s">
        <v>192</v>
      </c>
      <c r="L135" s="436">
        <f>'Acq Proj'!L14</f>
        <v>0</v>
      </c>
      <c r="M135" s="37">
        <v>0</v>
      </c>
      <c r="N135" s="37">
        <v>0</v>
      </c>
      <c r="O135" s="37">
        <v>0</v>
      </c>
      <c r="P135" s="37">
        <v>0</v>
      </c>
      <c r="Q135" s="37">
        <v>0</v>
      </c>
      <c r="R135" s="3"/>
    </row>
    <row r="136" spans="2:20" ht="12.75" customHeight="1">
      <c r="B136" s="3" t="s">
        <v>75</v>
      </c>
      <c r="L136" s="755">
        <f t="shared" ref="L136:Q136" ca="1" si="17">L280</f>
        <v>20.841249999999999</v>
      </c>
      <c r="M136" s="755">
        <f t="shared" ca="1" si="17"/>
        <v>20.646074117364424</v>
      </c>
      <c r="N136" s="755">
        <f t="shared" ca="1" si="17"/>
        <v>20.104285866058145</v>
      </c>
      <c r="O136" s="755">
        <f t="shared" ca="1" si="17"/>
        <v>19.250707172004436</v>
      </c>
      <c r="P136" s="755">
        <f t="shared" ca="1" si="17"/>
        <v>18.053360743746264</v>
      </c>
      <c r="Q136" s="755">
        <f t="shared" ca="1" si="17"/>
        <v>16.460254855855474</v>
      </c>
      <c r="R136" s="3"/>
    </row>
    <row r="137" spans="2:20" ht="12.75" customHeight="1">
      <c r="B137" s="3" t="s">
        <v>76</v>
      </c>
      <c r="L137" s="1079">
        <f t="shared" ref="L137:Q137" ca="1" si="18">L134-SUM(L135:L136)</f>
        <v>4.0672968687932887</v>
      </c>
      <c r="M137" s="1079">
        <f t="shared" ca="1" si="18"/>
        <v>9.2624727514288629</v>
      </c>
      <c r="N137" s="1079">
        <f t="shared" ca="1" si="18"/>
        <v>14.804261002735142</v>
      </c>
      <c r="O137" s="1079">
        <f t="shared" ca="1" si="18"/>
        <v>20.657839696788852</v>
      </c>
      <c r="P137" s="1079">
        <f t="shared" ca="1" si="18"/>
        <v>27.480186125047016</v>
      </c>
      <c r="Q137" s="1079">
        <f t="shared" ca="1" si="18"/>
        <v>35.401417012937813</v>
      </c>
      <c r="R137" s="3"/>
    </row>
    <row r="138" spans="2:20" ht="12.75" customHeight="1">
      <c r="B138" s="3" t="s">
        <v>130</v>
      </c>
      <c r="C138" s="4"/>
      <c r="D138" s="1080"/>
      <c r="L138" s="755">
        <f t="shared" ref="L138:Q138" ca="1" si="19">L137*L142</f>
        <v>1.0168242171983222</v>
      </c>
      <c r="M138" s="755">
        <f t="shared" ca="1" si="19"/>
        <v>2.3156181878572157</v>
      </c>
      <c r="N138" s="755">
        <f t="shared" ca="1" si="19"/>
        <v>3.7010652506837856</v>
      </c>
      <c r="O138" s="755">
        <f t="shared" ca="1" si="19"/>
        <v>5.1644599241972129</v>
      </c>
      <c r="P138" s="755">
        <f t="shared" ca="1" si="19"/>
        <v>6.870046531261754</v>
      </c>
      <c r="Q138" s="755">
        <f t="shared" ca="1" si="19"/>
        <v>8.8503542532344532</v>
      </c>
      <c r="R138" s="3"/>
    </row>
    <row r="139" spans="2:20" ht="12.75" customHeight="1">
      <c r="B139" s="3" t="s">
        <v>65</v>
      </c>
      <c r="L139" s="909">
        <f t="shared" ref="L139:Q139" ca="1" si="20">L137-L138</f>
        <v>3.0504726515949665</v>
      </c>
      <c r="M139" s="910">
        <f t="shared" ca="1" si="20"/>
        <v>6.9468545635716472</v>
      </c>
      <c r="N139" s="910">
        <f t="shared" ca="1" si="20"/>
        <v>11.103195752051356</v>
      </c>
      <c r="O139" s="910">
        <f t="shared" ca="1" si="20"/>
        <v>15.493379772591638</v>
      </c>
      <c r="P139" s="910">
        <f t="shared" ca="1" si="20"/>
        <v>20.610139593785263</v>
      </c>
      <c r="Q139" s="827">
        <f t="shared" ca="1" si="20"/>
        <v>26.55106275970336</v>
      </c>
      <c r="R139" s="3"/>
    </row>
    <row r="140" spans="2:20" ht="12.75" customHeight="1">
      <c r="L140" s="146"/>
      <c r="M140" s="146"/>
      <c r="N140" s="146"/>
      <c r="O140" s="146"/>
      <c r="P140" s="146"/>
      <c r="Q140" s="146"/>
      <c r="R140" s="3"/>
    </row>
    <row r="141" spans="2:20" ht="12.75" customHeight="1" outlineLevel="1">
      <c r="B141" s="139" t="s">
        <v>503</v>
      </c>
      <c r="G141" s="4"/>
      <c r="I141" s="253"/>
      <c r="J141" s="253"/>
      <c r="K141" s="253"/>
      <c r="L141" s="253"/>
      <c r="M141" s="253"/>
      <c r="N141" s="253"/>
      <c r="O141" s="253"/>
      <c r="P141" s="253"/>
      <c r="Q141" s="249"/>
    </row>
    <row r="142" spans="2:20" ht="12.75" customHeight="1" outlineLevel="1">
      <c r="B142" s="3" t="s">
        <v>504</v>
      </c>
      <c r="G142" s="649"/>
      <c r="H142" s="200"/>
      <c r="I142" s="934"/>
      <c r="J142" s="934"/>
      <c r="K142" s="934"/>
      <c r="L142" s="906">
        <f>'Acq Proj'!L31</f>
        <v>0.25</v>
      </c>
      <c r="M142" s="906">
        <f>'Acq Proj'!M31</f>
        <v>0.25</v>
      </c>
      <c r="N142" s="906">
        <f>'Acq Proj'!N31</f>
        <v>0.25</v>
      </c>
      <c r="O142" s="906">
        <f>'Acq Proj'!O31</f>
        <v>0.25</v>
      </c>
      <c r="P142" s="906">
        <f>'Acq Proj'!P31</f>
        <v>0.25</v>
      </c>
      <c r="Q142" s="906">
        <f>'Acq Proj'!Q31</f>
        <v>0.25</v>
      </c>
      <c r="T142" s="150"/>
    </row>
    <row r="143" spans="2:20" ht="12.75" customHeight="1" outlineLevel="1">
      <c r="G143" s="649"/>
      <c r="H143" s="200"/>
      <c r="I143" s="934"/>
      <c r="J143" s="934"/>
      <c r="K143" s="934"/>
      <c r="L143" s="934"/>
      <c r="M143" s="934"/>
      <c r="N143" s="934"/>
      <c r="O143" s="934"/>
      <c r="P143" s="934"/>
      <c r="Q143" s="934"/>
      <c r="T143" s="150"/>
    </row>
    <row r="144" spans="2:20" ht="12.75" customHeight="1" outlineLevel="1">
      <c r="B144" s="570" t="str">
        <f>'Acq Proj'!B177</f>
        <v>Additional EBITDA Adjustments for Leverage Ratios</v>
      </c>
      <c r="G144" s="649"/>
      <c r="H144" s="200"/>
      <c r="I144" s="934"/>
      <c r="J144" s="934"/>
      <c r="K144" s="934"/>
      <c r="L144" s="934"/>
      <c r="M144" s="934"/>
      <c r="N144" s="934"/>
      <c r="O144" s="934"/>
      <c r="P144" s="934"/>
      <c r="Q144" s="934"/>
      <c r="T144" s="150"/>
    </row>
    <row r="145" spans="2:20" ht="12.75" customHeight="1" outlineLevel="1">
      <c r="B145" s="109" t="str">
        <f>'Acq Proj'!B179</f>
        <v>Total Adjustments</v>
      </c>
      <c r="G145" s="649"/>
      <c r="H145" s="200"/>
      <c r="I145" s="934"/>
      <c r="J145" s="934"/>
      <c r="K145" s="934"/>
      <c r="L145" s="352">
        <f>'Acq Proj'!L179</f>
        <v>0</v>
      </c>
      <c r="M145" s="352">
        <f>'Acq Proj'!M179</f>
        <v>0</v>
      </c>
      <c r="N145" s="352">
        <f>'Acq Proj'!N179</f>
        <v>0</v>
      </c>
      <c r="O145" s="352">
        <f>'Acq Proj'!O179</f>
        <v>0</v>
      </c>
      <c r="P145" s="352">
        <f>'Acq Proj'!P179</f>
        <v>0</v>
      </c>
      <c r="Q145" s="352">
        <f>'Acq Proj'!Q179</f>
        <v>0</v>
      </c>
      <c r="T145" s="150"/>
    </row>
    <row r="146" spans="2:20" ht="12.75" customHeight="1" outlineLevel="1">
      <c r="B146" s="109"/>
      <c r="G146" s="649"/>
      <c r="H146" s="200"/>
      <c r="I146" s="934"/>
      <c r="J146" s="934"/>
      <c r="K146" s="934"/>
      <c r="L146" s="934"/>
      <c r="M146" s="934"/>
      <c r="N146" s="934"/>
      <c r="O146" s="934"/>
      <c r="P146" s="934"/>
      <c r="Q146" s="934"/>
      <c r="T146" s="150"/>
    </row>
    <row r="147" spans="2:20" ht="12.75" customHeight="1" outlineLevel="1">
      <c r="B147" s="109" t="str">
        <f>'Acq Proj'!B180</f>
        <v>Adjusted EBITDA</v>
      </c>
      <c r="G147" s="649"/>
      <c r="H147" s="200"/>
      <c r="I147" s="934"/>
      <c r="J147" s="934"/>
      <c r="K147" s="934"/>
      <c r="L147" s="353">
        <f t="shared" ref="L147:Q147" si="21">+L130+L$145</f>
        <v>40</v>
      </c>
      <c r="M147" s="353">
        <f t="shared" si="21"/>
        <v>45</v>
      </c>
      <c r="N147" s="353">
        <f t="shared" si="21"/>
        <v>51.428571428571431</v>
      </c>
      <c r="O147" s="353">
        <f t="shared" si="21"/>
        <v>57.857142857142854</v>
      </c>
      <c r="P147" s="353">
        <f t="shared" si="21"/>
        <v>65.089285714285708</v>
      </c>
      <c r="Q147" s="353">
        <f t="shared" si="21"/>
        <v>73.225446428571431</v>
      </c>
      <c r="T147" s="150"/>
    </row>
    <row r="148" spans="2:20" ht="12.75" customHeight="1" outlineLevel="1">
      <c r="B148" s="109" t="str">
        <f>'Acq Proj'!B184</f>
        <v>Adjusted EBITDAR</v>
      </c>
      <c r="G148" s="649"/>
      <c r="H148" s="200"/>
      <c r="I148" s="934"/>
      <c r="J148" s="934"/>
      <c r="K148" s="934"/>
      <c r="L148" s="343">
        <f t="shared" ref="L148:Q148" si="22">+L128+L$145</f>
        <v>44.8</v>
      </c>
      <c r="M148" s="343">
        <f t="shared" si="22"/>
        <v>50.6</v>
      </c>
      <c r="N148" s="343">
        <f t="shared" si="22"/>
        <v>57.828571428571429</v>
      </c>
      <c r="O148" s="343">
        <f t="shared" si="22"/>
        <v>65.05714285714285</v>
      </c>
      <c r="P148" s="343">
        <f t="shared" si="22"/>
        <v>73.189285714285703</v>
      </c>
      <c r="Q148" s="343">
        <f t="shared" si="22"/>
        <v>82.337946428571428</v>
      </c>
      <c r="T148" s="150"/>
    </row>
    <row r="149" spans="2:20" ht="12.75" customHeight="1" outlineLevel="1">
      <c r="G149" s="649"/>
      <c r="H149" s="200"/>
      <c r="I149" s="934"/>
      <c r="J149" s="934"/>
      <c r="K149" s="934"/>
      <c r="L149" s="934"/>
      <c r="M149" s="934"/>
      <c r="N149" s="934"/>
      <c r="O149" s="934"/>
      <c r="P149" s="934"/>
      <c r="Q149" s="934"/>
      <c r="T149" s="150"/>
    </row>
    <row r="150" spans="2:20" ht="12.75" customHeight="1">
      <c r="B150" s="139" t="s">
        <v>184</v>
      </c>
      <c r="R150" s="3"/>
    </row>
    <row r="151" spans="2:20" ht="12.75" customHeight="1">
      <c r="B151" s="3" t="s">
        <v>63</v>
      </c>
      <c r="L151" s="200">
        <f t="shared" ref="L151:Q151" si="23">L130/L127</f>
        <v>0.33333333333333331</v>
      </c>
      <c r="M151" s="200">
        <f t="shared" si="23"/>
        <v>0.32142857142857145</v>
      </c>
      <c r="N151" s="200">
        <f t="shared" si="23"/>
        <v>0.32142857142857145</v>
      </c>
      <c r="O151" s="200">
        <f t="shared" si="23"/>
        <v>0.3214285714285714</v>
      </c>
      <c r="P151" s="200">
        <f t="shared" si="23"/>
        <v>0.3214285714285714</v>
      </c>
      <c r="Q151" s="200">
        <f t="shared" si="23"/>
        <v>0.32142857142857145</v>
      </c>
      <c r="R151" s="3"/>
    </row>
    <row r="152" spans="2:20" ht="12.75" customHeight="1">
      <c r="B152" s="3" t="s">
        <v>64</v>
      </c>
      <c r="L152" s="200">
        <f t="shared" ref="L152:Q152" ca="1" si="24">L134/L127</f>
        <v>0.20757122390661073</v>
      </c>
      <c r="M152" s="200">
        <f t="shared" ca="1" si="24"/>
        <v>0.21363247763423776</v>
      </c>
      <c r="N152" s="200">
        <f t="shared" ca="1" si="24"/>
        <v>0.21817841792995804</v>
      </c>
      <c r="O152" s="200">
        <f t="shared" ca="1" si="24"/>
        <v>0.22171414927107383</v>
      </c>
      <c r="P152" s="200">
        <f t="shared" ca="1" si="24"/>
        <v>0.2248570215742878</v>
      </c>
      <c r="Q152" s="200">
        <f t="shared" ca="1" si="24"/>
        <v>0.2276506858438114</v>
      </c>
      <c r="R152" s="3"/>
    </row>
    <row r="153" spans="2:20" ht="12.75" customHeight="1">
      <c r="B153" s="3" t="s">
        <v>65</v>
      </c>
      <c r="L153" s="200">
        <f t="shared" ref="L153:Q153" ca="1" si="25">L139/L127</f>
        <v>2.5420605429958054E-2</v>
      </c>
      <c r="M153" s="200">
        <f t="shared" ca="1" si="25"/>
        <v>4.9620389739797481E-2</v>
      </c>
      <c r="N153" s="200">
        <f t="shared" ca="1" si="25"/>
        <v>6.9394973450320974E-2</v>
      </c>
      <c r="O153" s="200">
        <f t="shared" ca="1" si="25"/>
        <v>8.6074332069953546E-2</v>
      </c>
      <c r="P153" s="200">
        <f t="shared" ca="1" si="25"/>
        <v>0.10177846712980376</v>
      </c>
      <c r="Q153" s="200">
        <f t="shared" ca="1" si="25"/>
        <v>0.11654787493971297</v>
      </c>
      <c r="R153" s="3"/>
    </row>
    <row r="154" spans="2:20" ht="12.75" customHeight="1">
      <c r="L154" s="200"/>
      <c r="M154" s="200"/>
      <c r="N154" s="200"/>
      <c r="O154" s="200"/>
      <c r="P154" s="200"/>
      <c r="Q154" s="200"/>
      <c r="R154" s="3"/>
    </row>
    <row r="155" spans="2:20" ht="12.75" customHeight="1">
      <c r="B155" s="139" t="s">
        <v>79</v>
      </c>
      <c r="L155" s="687"/>
      <c r="M155" s="687"/>
      <c r="N155" s="687"/>
      <c r="O155" s="687"/>
      <c r="P155" s="687"/>
      <c r="Q155" s="687"/>
      <c r="R155" s="3"/>
    </row>
    <row r="156" spans="2:20" ht="12.75" customHeight="1">
      <c r="B156" s="3" t="str">
        <f>B127</f>
        <v>Net Sales</v>
      </c>
      <c r="L156" s="1081">
        <f>'Acq Proj'!L49</f>
        <v>0.19999999999999996</v>
      </c>
      <c r="M156" s="200">
        <f>(M127/L127)-1</f>
        <v>0.16666666666666674</v>
      </c>
      <c r="N156" s="200">
        <f>(N127/M127)-1</f>
        <v>0.14285714285714279</v>
      </c>
      <c r="O156" s="200">
        <f>(O127/N127)-1</f>
        <v>0.125</v>
      </c>
      <c r="P156" s="200">
        <f>(P127/O127)-1</f>
        <v>0.125</v>
      </c>
      <c r="Q156" s="200">
        <f>(Q127/P127)-1</f>
        <v>0.125</v>
      </c>
      <c r="R156" s="3"/>
    </row>
    <row r="157" spans="2:20" ht="12.75" customHeight="1">
      <c r="B157" s="3" t="s">
        <v>63</v>
      </c>
      <c r="L157" s="1081">
        <f>'Acq Proj'!L50</f>
        <v>0.25240696964478637</v>
      </c>
      <c r="M157" s="200">
        <f>IF(AND(M130&gt;=0,L130&gt;0),(M130/L130)-1,"NM")</f>
        <v>0.125</v>
      </c>
      <c r="N157" s="200">
        <f>IF(AND(N130&gt;=0,M130&gt;0),(N130/M130)-1,"NM")</f>
        <v>0.14285714285714279</v>
      </c>
      <c r="O157" s="200">
        <f>IF(AND(O130&gt;=0,N130&gt;0),(O130/N130)-1,"NM")</f>
        <v>0.125</v>
      </c>
      <c r="P157" s="200">
        <f>IF(AND(P130&gt;=0,O130&gt;0),(P130/O130)-1,"NM")</f>
        <v>0.125</v>
      </c>
      <c r="Q157" s="200">
        <f>IF(AND(Q130&gt;=0,P130&gt;0),(Q130/P130)-1,"NM")</f>
        <v>0.12500000000000022</v>
      </c>
      <c r="R157" s="3"/>
    </row>
    <row r="158" spans="2:20" ht="12.75" customHeight="1">
      <c r="B158" s="3" t="s">
        <v>64</v>
      </c>
      <c r="L158" s="1081">
        <f>'Acq Proj'!L51</f>
        <v>3.3111214422232749E-2</v>
      </c>
      <c r="M158" s="200">
        <f ca="1">IF(AND(M134&gt;=0,L134&gt;0),(M134/L134)-1,"NM")</f>
        <v>0.20073431125218533</v>
      </c>
      <c r="N158" s="200">
        <f ca="1">IF(AND(N134&gt;=0,M134&gt;0),(N134/M134)-1,"NM")</f>
        <v>0.16717629318250227</v>
      </c>
      <c r="O158" s="200">
        <f ca="1">IF(AND(O134&gt;=0,N134&gt;0),(O134/N134)-1,"NM")</f>
        <v>0.1432313988546392</v>
      </c>
      <c r="P158" s="200">
        <f ca="1">IF(AND(P134&gt;=0,O134&gt;0),(P134/O134)-1,"NM")</f>
        <v>0.14094725168754496</v>
      </c>
      <c r="Q158" s="200">
        <f ca="1">IF(AND(Q134&gt;=0,P134&gt;0),(Q134/P134)-1,"NM")</f>
        <v>0.13897720329661012</v>
      </c>
      <c r="R158" s="3"/>
    </row>
    <row r="159" spans="2:20" ht="12.75" customHeight="1">
      <c r="B159" s="3" t="s">
        <v>65</v>
      </c>
      <c r="L159" s="1081">
        <f ca="1">'Acq Proj'!L52</f>
        <v>8.6472951839257961E-2</v>
      </c>
      <c r="M159" s="200">
        <f ca="1">IF(AND(M139&gt;=0,L139&gt;0),(M139/L139)-1,"NM")</f>
        <v>1.2773043252623237</v>
      </c>
      <c r="N159" s="200">
        <f ca="1">IF(AND(N139&gt;=0,M139&gt;0),(N139/M139)-1,"NM")</f>
        <v>0.5983054849420617</v>
      </c>
      <c r="O159" s="200">
        <f ca="1">IF(AND(O139&gt;=0,N139&gt;0),(O139/N139)-1,"NM")</f>
        <v>0.39539823655988227</v>
      </c>
      <c r="P159" s="200">
        <f ca="1">IF(AND(P139&gt;=0,O139&gt;0),(P139/O139)-1,"NM")</f>
        <v>0.33025459236759702</v>
      </c>
      <c r="Q159" s="200">
        <f ca="1">IF(AND(Q139&gt;=0,P139&gt;0),(Q139/P139)-1,"NM")</f>
        <v>0.28825244675729955</v>
      </c>
      <c r="R159" s="3"/>
    </row>
    <row r="160" spans="2:20">
      <c r="L160" s="1082"/>
      <c r="M160" s="1075"/>
      <c r="N160" s="1075"/>
      <c r="O160" s="1075"/>
      <c r="P160" s="1075"/>
      <c r="Q160" s="1075"/>
      <c r="R160" s="3"/>
    </row>
    <row r="161" spans="2:18" ht="15.95" customHeight="1" collapsed="1" thickBot="1">
      <c r="B161" s="628" t="s">
        <v>124</v>
      </c>
      <c r="C161" s="629"/>
      <c r="D161" s="629"/>
      <c r="E161" s="629"/>
      <c r="F161" s="629"/>
      <c r="G161" s="629"/>
      <c r="H161" s="629"/>
      <c r="I161" s="629"/>
      <c r="J161" s="629"/>
      <c r="K161" s="629"/>
      <c r="L161" s="629"/>
      <c r="M161" s="629"/>
      <c r="N161" s="629"/>
      <c r="O161" s="630"/>
      <c r="P161" s="630"/>
      <c r="Q161" s="630"/>
      <c r="R161" s="630"/>
    </row>
    <row r="162" spans="2:18">
      <c r="B162" s="895" t="str">
        <f>$B$126</f>
        <v>Fiscal Year Ended December 31,</v>
      </c>
      <c r="C162" s="896"/>
      <c r="D162" s="896"/>
      <c r="E162" s="896"/>
      <c r="F162" s="896"/>
      <c r="G162" s="896"/>
      <c r="H162" s="896"/>
      <c r="I162" s="896"/>
      <c r="J162" s="896"/>
      <c r="K162" s="896"/>
      <c r="L162" s="899">
        <f>L126</f>
        <v>2019</v>
      </c>
      <c r="M162" s="463">
        <f>M$126</f>
        <v>2020</v>
      </c>
      <c r="N162" s="463">
        <f>N$126</f>
        <v>2021</v>
      </c>
      <c r="O162" s="463">
        <f>O$126</f>
        <v>2022</v>
      </c>
      <c r="P162" s="463">
        <f>P$126</f>
        <v>2023</v>
      </c>
      <c r="Q162" s="463">
        <f>Q$126</f>
        <v>2024</v>
      </c>
      <c r="R162" s="96"/>
    </row>
    <row r="163" spans="2:18" ht="18" customHeight="1">
      <c r="B163" s="139" t="s">
        <v>35</v>
      </c>
      <c r="R163" s="3"/>
    </row>
    <row r="164" spans="2:18">
      <c r="B164" s="3" t="s">
        <v>38</v>
      </c>
      <c r="L164" s="353">
        <f ca="1">P93</f>
        <v>10</v>
      </c>
      <c r="M164" s="875">
        <f ca="1">M228</f>
        <v>10</v>
      </c>
      <c r="N164" s="875">
        <f ca="1">N228</f>
        <v>10</v>
      </c>
      <c r="O164" s="875">
        <f ca="1">O228</f>
        <v>10</v>
      </c>
      <c r="P164" s="875">
        <f ca="1">P228</f>
        <v>10</v>
      </c>
      <c r="Q164" s="875">
        <f ca="1">Q228</f>
        <v>10</v>
      </c>
      <c r="R164" s="3"/>
    </row>
    <row r="165" spans="2:18">
      <c r="B165" s="3" t="s">
        <v>39</v>
      </c>
      <c r="L165" s="343">
        <f>P94</f>
        <v>15.421199999999999</v>
      </c>
      <c r="M165" s="608">
        <f>'Acq Proj'!M59</f>
        <v>17.991399999999999</v>
      </c>
      <c r="N165" s="608">
        <f>'Acq Proj'!N59</f>
        <v>20.561599999999999</v>
      </c>
      <c r="O165" s="608">
        <f>'Acq Proj'!O59</f>
        <v>23.131799999999998</v>
      </c>
      <c r="P165" s="608">
        <f>'Acq Proj'!P59</f>
        <v>26.023274999999995</v>
      </c>
      <c r="Q165" s="608">
        <f>'Acq Proj'!Q59</f>
        <v>29.276184374999996</v>
      </c>
      <c r="R165" s="3"/>
    </row>
    <row r="166" spans="2:18">
      <c r="B166" s="3" t="s">
        <v>40</v>
      </c>
      <c r="L166" s="343">
        <f>P95</f>
        <v>14.492929292929333</v>
      </c>
      <c r="M166" s="608">
        <f>'Acq Proj'!M60</f>
        <v>16.908417508417553</v>
      </c>
      <c r="N166" s="608">
        <f>'Acq Proj'!N60</f>
        <v>19.323905723905778</v>
      </c>
      <c r="O166" s="608">
        <f>'Acq Proj'!O60</f>
        <v>21.739393939393999</v>
      </c>
      <c r="P166" s="608">
        <f>'Acq Proj'!P60</f>
        <v>24.45681818181825</v>
      </c>
      <c r="Q166" s="608">
        <f>'Acq Proj'!Q60</f>
        <v>27.513920454545531</v>
      </c>
      <c r="R166" s="3"/>
    </row>
    <row r="167" spans="2:18">
      <c r="B167" s="3" t="s">
        <v>41</v>
      </c>
      <c r="L167" s="917">
        <f>P96</f>
        <v>7.0524000000000013</v>
      </c>
      <c r="M167" s="608">
        <f>'Acq Proj'!M61</f>
        <v>8.227800000000002</v>
      </c>
      <c r="N167" s="608">
        <f>'Acq Proj'!N61</f>
        <v>9.4032000000000018</v>
      </c>
      <c r="O167" s="608">
        <f>'Acq Proj'!O61</f>
        <v>10.578600000000002</v>
      </c>
      <c r="P167" s="608">
        <f>'Acq Proj'!P61</f>
        <v>11.900925000000003</v>
      </c>
      <c r="Q167" s="608">
        <f>'Acq Proj'!Q61</f>
        <v>13.388540625000003</v>
      </c>
      <c r="R167" s="3"/>
    </row>
    <row r="168" spans="2:18">
      <c r="B168" s="151" t="s">
        <v>42</v>
      </c>
      <c r="L168" s="918">
        <f t="shared" ref="L168:Q168" ca="1" si="26">SUM(L164:L167)</f>
        <v>46.96652929292933</v>
      </c>
      <c r="M168" s="919">
        <f t="shared" ca="1" si="26"/>
        <v>53.127617508417558</v>
      </c>
      <c r="N168" s="919">
        <f t="shared" ca="1" si="26"/>
        <v>59.288705723905778</v>
      </c>
      <c r="O168" s="919">
        <f t="shared" ca="1" si="26"/>
        <v>65.449793939393999</v>
      </c>
      <c r="P168" s="919">
        <f t="shared" ca="1" si="26"/>
        <v>72.381018181818249</v>
      </c>
      <c r="Q168" s="857">
        <f t="shared" ca="1" si="26"/>
        <v>80.178645454545531</v>
      </c>
      <c r="R168" s="3"/>
    </row>
    <row r="169" spans="2:18">
      <c r="B169" s="3" t="s">
        <v>43</v>
      </c>
      <c r="L169" s="343">
        <f>P98</f>
        <v>4.5999999999999996</v>
      </c>
      <c r="M169" s="343">
        <f>L169-M217-M203</f>
        <v>6.6000000000000014</v>
      </c>
      <c r="N169" s="343">
        <f>M169-N217-N203</f>
        <v>8.8857142857142897</v>
      </c>
      <c r="O169" s="343">
        <f>N169-O217-O203</f>
        <v>11.457142857142861</v>
      </c>
      <c r="P169" s="343">
        <f>O169-P217-P203</f>
        <v>14.350000000000003</v>
      </c>
      <c r="Q169" s="343">
        <f>P169-Q217-Q203</f>
        <v>17.60446428571429</v>
      </c>
      <c r="R169" s="3"/>
    </row>
    <row r="170" spans="2:18">
      <c r="B170" s="3" t="s">
        <v>332</v>
      </c>
      <c r="L170" s="343">
        <f ca="1">P99+P101</f>
        <v>301.45431026306369</v>
      </c>
      <c r="M170" s="343">
        <f ca="1">L170</f>
        <v>301.45431026306369</v>
      </c>
      <c r="N170" s="343">
        <f ca="1">M170</f>
        <v>301.45431026306369</v>
      </c>
      <c r="O170" s="343">
        <f ca="1">N170</f>
        <v>301.45431026306369</v>
      </c>
      <c r="P170" s="343">
        <f ca="1">O170</f>
        <v>301.45431026306369</v>
      </c>
      <c r="Q170" s="343">
        <f ca="1">P170</f>
        <v>301.45431026306369</v>
      </c>
      <c r="R170" s="3"/>
    </row>
    <row r="171" spans="2:18">
      <c r="B171" s="3" t="s">
        <v>356</v>
      </c>
      <c r="L171" s="343">
        <f ca="1">P100</f>
        <v>51.35153131206711</v>
      </c>
      <c r="M171" s="595">
        <f ca="1">L171-SUM(M204:M205)</f>
        <v>46.260078180860397</v>
      </c>
      <c r="N171" s="595">
        <f ca="1">M171-SUM(N204:N205)</f>
        <v>41.168625049653684</v>
      </c>
      <c r="O171" s="595">
        <f ca="1">N171-SUM(O204:O205)</f>
        <v>36.077171918446972</v>
      </c>
      <c r="P171" s="595">
        <f ca="1">O171-SUM(P204:P205)</f>
        <v>30.985718787240259</v>
      </c>
      <c r="Q171" s="595">
        <f ca="1">P171-SUM(Q204:Q205)</f>
        <v>25.894265656033546</v>
      </c>
      <c r="R171" s="1083"/>
    </row>
    <row r="172" spans="2:18">
      <c r="B172" s="3" t="s">
        <v>374</v>
      </c>
      <c r="L172" s="343">
        <f ca="1">P102</f>
        <v>8.1</v>
      </c>
      <c r="M172" s="595">
        <f ca="1">L172-M206</f>
        <v>6.6487499999999997</v>
      </c>
      <c r="N172" s="595">
        <f ca="1">M172-N206</f>
        <v>5.1974999999999998</v>
      </c>
      <c r="O172" s="595">
        <f ca="1">N172-O206</f>
        <v>3.7462499999999999</v>
      </c>
      <c r="P172" s="595">
        <f ca="1">O172-P206</f>
        <v>2.2949999999999999</v>
      </c>
      <c r="Q172" s="595">
        <f ca="1">P172-Q206</f>
        <v>0.84375</v>
      </c>
      <c r="R172" s="1083"/>
    </row>
    <row r="173" spans="2:18">
      <c r="B173" s="3" t="s">
        <v>232</v>
      </c>
      <c r="L173" s="917">
        <f>P103</f>
        <v>3.621</v>
      </c>
      <c r="M173" s="940">
        <f>'Acq Proj'!M66</f>
        <v>3.621</v>
      </c>
      <c r="N173" s="940">
        <f>'Acq Proj'!N66</f>
        <v>3.621</v>
      </c>
      <c r="O173" s="940">
        <f>'Acq Proj'!O66</f>
        <v>3.621</v>
      </c>
      <c r="P173" s="940">
        <f>'Acq Proj'!P66</f>
        <v>3.621</v>
      </c>
      <c r="Q173" s="940">
        <f>'Acq Proj'!Q66</f>
        <v>3.621</v>
      </c>
      <c r="R173" s="3"/>
    </row>
    <row r="174" spans="2:18">
      <c r="B174" s="151" t="s">
        <v>46</v>
      </c>
      <c r="L174" s="757">
        <f t="shared" ref="L174:Q174" ca="1" si="27">SUM(L168:L173)</f>
        <v>416.09337086806011</v>
      </c>
      <c r="M174" s="758">
        <f t="shared" ca="1" si="27"/>
        <v>417.7117559523416</v>
      </c>
      <c r="N174" s="758">
        <f t="shared" ca="1" si="27"/>
        <v>419.61585532233744</v>
      </c>
      <c r="O174" s="758">
        <f t="shared" ca="1" si="27"/>
        <v>421.80566897804749</v>
      </c>
      <c r="P174" s="758">
        <f t="shared" ca="1" si="27"/>
        <v>425.08704723212225</v>
      </c>
      <c r="Q174" s="759">
        <f t="shared" ca="1" si="27"/>
        <v>429.59643565935704</v>
      </c>
      <c r="R174" s="3"/>
    </row>
    <row r="175" spans="2:18">
      <c r="L175" s="954"/>
      <c r="M175" s="954"/>
      <c r="N175" s="954"/>
      <c r="O175" s="954"/>
      <c r="P175" s="954"/>
      <c r="Q175" s="954"/>
      <c r="R175" s="3"/>
    </row>
    <row r="176" spans="2:18">
      <c r="B176" s="139" t="s">
        <v>47</v>
      </c>
      <c r="L176" s="954"/>
      <c r="M176" s="954"/>
      <c r="N176" s="954"/>
      <c r="O176" s="954"/>
      <c r="P176" s="954"/>
      <c r="Q176" s="954"/>
      <c r="R176" s="3"/>
    </row>
    <row r="177" spans="2:18">
      <c r="B177" s="3" t="s">
        <v>48</v>
      </c>
      <c r="L177" s="343">
        <f>P107</f>
        <v>7.7406060606060612</v>
      </c>
      <c r="M177" s="608">
        <f>'Acq Proj'!M71</f>
        <v>9.0307070707070718</v>
      </c>
      <c r="N177" s="608">
        <f>'Acq Proj'!N71</f>
        <v>10.320808080808082</v>
      </c>
      <c r="O177" s="608">
        <f>'Acq Proj'!O71</f>
        <v>11.610909090909091</v>
      </c>
      <c r="P177" s="608">
        <f>'Acq Proj'!P71</f>
        <v>13.062272727272727</v>
      </c>
      <c r="Q177" s="608">
        <f>'Acq Proj'!Q71</f>
        <v>14.695056818181818</v>
      </c>
      <c r="R177" s="3"/>
    </row>
    <row r="178" spans="2:18">
      <c r="B178" s="3" t="s">
        <v>49</v>
      </c>
      <c r="L178" s="917">
        <f>P108</f>
        <v>10.630800000000001</v>
      </c>
      <c r="M178" s="608">
        <f>'Acq Proj'!M72</f>
        <v>12.4026</v>
      </c>
      <c r="N178" s="608">
        <f>'Acq Proj'!N72</f>
        <v>14.1744</v>
      </c>
      <c r="O178" s="608">
        <f>'Acq Proj'!O72</f>
        <v>15.946200000000001</v>
      </c>
      <c r="P178" s="608">
        <f>'Acq Proj'!P72</f>
        <v>17.939475000000002</v>
      </c>
      <c r="Q178" s="608">
        <f>'Acq Proj'!Q72</f>
        <v>20.181909375</v>
      </c>
      <c r="R178" s="3"/>
    </row>
    <row r="179" spans="2:18">
      <c r="B179" s="151" t="s">
        <v>50</v>
      </c>
      <c r="L179" s="918">
        <f t="shared" ref="L179:Q179" si="28">SUM(L177:L178)</f>
        <v>18.371406060606063</v>
      </c>
      <c r="M179" s="1084">
        <f t="shared" si="28"/>
        <v>21.433307070707073</v>
      </c>
      <c r="N179" s="1084">
        <f t="shared" si="28"/>
        <v>24.495208080808084</v>
      </c>
      <c r="O179" s="1084">
        <f t="shared" si="28"/>
        <v>27.557109090909094</v>
      </c>
      <c r="P179" s="1084">
        <f t="shared" si="28"/>
        <v>31.001747727272729</v>
      </c>
      <c r="Q179" s="1069">
        <f t="shared" si="28"/>
        <v>34.876966193181815</v>
      </c>
      <c r="R179" s="3"/>
    </row>
    <row r="180" spans="2:18">
      <c r="B180" s="3" t="s">
        <v>51</v>
      </c>
      <c r="L180" s="343">
        <f t="shared" ref="L180:L186" ca="1" si="29">P110</f>
        <v>240</v>
      </c>
      <c r="M180" s="595">
        <f ca="1">M248</f>
        <v>232.58249279341052</v>
      </c>
      <c r="N180" s="595">
        <f ca="1">N248</f>
        <v>221.29435868405562</v>
      </c>
      <c r="O180" s="595">
        <f ca="1">O248</f>
        <v>205.90175483987474</v>
      </c>
      <c r="P180" s="595">
        <f ca="1">P248</f>
        <v>186.10121814660221</v>
      </c>
      <c r="Q180" s="595">
        <f ca="1">Q248</f>
        <v>161.15718863102629</v>
      </c>
      <c r="R180" s="3"/>
    </row>
    <row r="181" spans="2:18">
      <c r="B181" s="3" t="s">
        <v>233</v>
      </c>
      <c r="L181" s="343">
        <f t="shared" si="29"/>
        <v>4.4939999999999998</v>
      </c>
      <c r="M181" s="608">
        <f>'Acq Proj'!M75</f>
        <v>4.4939999999999998</v>
      </c>
      <c r="N181" s="608">
        <f>'Acq Proj'!N75</f>
        <v>4.4939999999999998</v>
      </c>
      <c r="O181" s="608">
        <f>'Acq Proj'!O75</f>
        <v>4.4939999999999998</v>
      </c>
      <c r="P181" s="608">
        <f>'Acq Proj'!P75</f>
        <v>4.4939999999999998</v>
      </c>
      <c r="Q181" s="608">
        <f>'Acq Proj'!Q75</f>
        <v>4.4939999999999998</v>
      </c>
      <c r="R181" s="3"/>
    </row>
    <row r="182" spans="2:18">
      <c r="B182" s="10" t="s">
        <v>475</v>
      </c>
      <c r="L182" s="343">
        <f t="shared" ca="1" si="29"/>
        <v>-2.4000000000000021</v>
      </c>
      <c r="M182" s="595">
        <f t="shared" ref="M182:Q183" ca="1" si="30">+L182+M207</f>
        <v>-2.1000000000000019</v>
      </c>
      <c r="N182" s="595">
        <f t="shared" ca="1" si="30"/>
        <v>-1.8000000000000016</v>
      </c>
      <c r="O182" s="595">
        <f t="shared" ca="1" si="30"/>
        <v>-1.5000000000000013</v>
      </c>
      <c r="P182" s="595">
        <f t="shared" ca="1" si="30"/>
        <v>-1.2000000000000011</v>
      </c>
      <c r="Q182" s="595">
        <f t="shared" ca="1" si="30"/>
        <v>-0.9000000000000008</v>
      </c>
      <c r="R182" s="3"/>
    </row>
    <row r="183" spans="2:18">
      <c r="B183" s="10" t="s">
        <v>518</v>
      </c>
      <c r="L183" s="343">
        <f t="shared" ca="1" si="29"/>
        <v>12.728632828016778</v>
      </c>
      <c r="M183" s="1085">
        <f t="shared" ca="1" si="30"/>
        <v>11.4557695452151</v>
      </c>
      <c r="N183" s="1085">
        <f t="shared" ca="1" si="30"/>
        <v>10.182906262413422</v>
      </c>
      <c r="O183" s="1085">
        <f t="shared" ca="1" si="30"/>
        <v>8.9100429796117453</v>
      </c>
      <c r="P183" s="1085">
        <f t="shared" ca="1" si="30"/>
        <v>7.637179696810068</v>
      </c>
      <c r="Q183" s="1085">
        <f t="shared" ca="1" si="30"/>
        <v>6.3643164140083899</v>
      </c>
      <c r="R183" s="3"/>
    </row>
    <row r="184" spans="2:18">
      <c r="B184" s="3" t="s">
        <v>52</v>
      </c>
      <c r="L184" s="343">
        <f t="shared" si="29"/>
        <v>1</v>
      </c>
      <c r="M184" s="608">
        <f>'Acq Proj'!M76</f>
        <v>1</v>
      </c>
      <c r="N184" s="608">
        <f>'Acq Proj'!N76</f>
        <v>1</v>
      </c>
      <c r="O184" s="608">
        <f>'Acq Proj'!O76</f>
        <v>1</v>
      </c>
      <c r="P184" s="608">
        <f>'Acq Proj'!P76</f>
        <v>1</v>
      </c>
      <c r="Q184" s="608">
        <f>'Acq Proj'!Q76</f>
        <v>1</v>
      </c>
      <c r="R184" s="3"/>
    </row>
    <row r="185" spans="2:18">
      <c r="B185" s="3" t="s">
        <v>53</v>
      </c>
      <c r="L185" s="343">
        <f t="shared" si="29"/>
        <v>0.5</v>
      </c>
      <c r="M185" s="608">
        <f>'Acq Proj'!M77</f>
        <v>0.5</v>
      </c>
      <c r="N185" s="608">
        <f>'Acq Proj'!N77</f>
        <v>0.5</v>
      </c>
      <c r="O185" s="608">
        <f>'Acq Proj'!O77</f>
        <v>0.5</v>
      </c>
      <c r="P185" s="608">
        <f>'Acq Proj'!P77</f>
        <v>0.5</v>
      </c>
      <c r="Q185" s="608">
        <f>'Acq Proj'!Q77</f>
        <v>0.5</v>
      </c>
      <c r="R185" s="3"/>
    </row>
    <row r="186" spans="2:18">
      <c r="B186" s="3" t="s">
        <v>150</v>
      </c>
      <c r="L186" s="917">
        <f t="shared" ca="1" si="29"/>
        <v>141.39933197943728</v>
      </c>
      <c r="M186" s="877">
        <f ca="1">L186+M139+M209+M220</f>
        <v>148.34618654300891</v>
      </c>
      <c r="N186" s="877">
        <f ca="1">M186+N139+N209+N220</f>
        <v>159.44938229506027</v>
      </c>
      <c r="O186" s="877">
        <f ca="1">N186+O139+O209+O220</f>
        <v>174.94276206765193</v>
      </c>
      <c r="P186" s="877">
        <f ca="1">O186+P139+P209+P220</f>
        <v>195.5529016614372</v>
      </c>
      <c r="Q186" s="877">
        <f ca="1">P186+Q139+Q209+Q220</f>
        <v>222.10396442114057</v>
      </c>
      <c r="R186" s="3"/>
    </row>
    <row r="187" spans="2:18">
      <c r="B187" s="151" t="s">
        <v>325</v>
      </c>
      <c r="L187" s="757">
        <f t="shared" ref="L187:Q187" ca="1" si="31">SUM(L179:L186)</f>
        <v>416.09337086806022</v>
      </c>
      <c r="M187" s="1086">
        <f t="shared" ca="1" si="31"/>
        <v>417.71175595234155</v>
      </c>
      <c r="N187" s="1086">
        <f t="shared" ca="1" si="31"/>
        <v>419.61585532233738</v>
      </c>
      <c r="O187" s="1086">
        <f t="shared" ca="1" si="31"/>
        <v>421.80566897804749</v>
      </c>
      <c r="P187" s="1086">
        <f t="shared" ca="1" si="31"/>
        <v>425.08704723212225</v>
      </c>
      <c r="Q187" s="1068">
        <f t="shared" ca="1" si="31"/>
        <v>429.59643565935704</v>
      </c>
      <c r="R187" s="3"/>
    </row>
    <row r="188" spans="2:18">
      <c r="B188" s="151"/>
      <c r="L188" s="840"/>
      <c r="M188" s="840"/>
      <c r="N188" s="840"/>
      <c r="O188" s="840"/>
      <c r="P188" s="840"/>
      <c r="Q188" s="840"/>
      <c r="R188" s="3"/>
    </row>
    <row r="189" spans="2:18">
      <c r="B189" s="3" t="s">
        <v>34</v>
      </c>
      <c r="L189" s="822">
        <f t="shared" ref="L189:Q189" ca="1" si="32">L174-L187</f>
        <v>0</v>
      </c>
      <c r="M189" s="822">
        <f t="shared" ca="1" si="32"/>
        <v>0</v>
      </c>
      <c r="N189" s="822">
        <f t="shared" ca="1" si="32"/>
        <v>0</v>
      </c>
      <c r="O189" s="822">
        <f t="shared" ca="1" si="32"/>
        <v>0</v>
      </c>
      <c r="P189" s="822">
        <f t="shared" ca="1" si="32"/>
        <v>0</v>
      </c>
      <c r="Q189" s="822">
        <f t="shared" ca="1" si="32"/>
        <v>0</v>
      </c>
      <c r="R189" s="3"/>
    </row>
    <row r="190" spans="2:18">
      <c r="B190" s="151"/>
      <c r="L190" s="840"/>
      <c r="M190" s="840"/>
      <c r="N190" s="840"/>
      <c r="O190" s="840"/>
      <c r="P190" s="840"/>
      <c r="Q190" s="840"/>
      <c r="R190" s="3"/>
    </row>
    <row r="191" spans="2:18" ht="12.75" customHeight="1">
      <c r="B191" s="3" t="s">
        <v>55</v>
      </c>
      <c r="L191" s="875">
        <f t="shared" ref="L191:Q191" si="33">SUM(L165:L167)-SUM(L177:L178)</f>
        <v>18.595123232323267</v>
      </c>
      <c r="M191" s="875">
        <f t="shared" si="33"/>
        <v>21.694310437710485</v>
      </c>
      <c r="N191" s="875">
        <f t="shared" si="33"/>
        <v>24.793497643097695</v>
      </c>
      <c r="O191" s="875">
        <f t="shared" si="33"/>
        <v>27.892684848484905</v>
      </c>
      <c r="P191" s="875">
        <f t="shared" si="33"/>
        <v>31.379270454545519</v>
      </c>
      <c r="Q191" s="875">
        <f t="shared" si="33"/>
        <v>35.301679261363716</v>
      </c>
      <c r="R191" s="3"/>
    </row>
    <row r="192" spans="2:18" ht="12.75" customHeight="1">
      <c r="B192" s="3" t="s">
        <v>256</v>
      </c>
      <c r="L192" s="200">
        <f t="shared" ref="L192:Q192" si="34">L191/L127</f>
        <v>0.15495936026936055</v>
      </c>
      <c r="M192" s="200">
        <f t="shared" si="34"/>
        <v>0.15495936026936061</v>
      </c>
      <c r="N192" s="200">
        <f t="shared" si="34"/>
        <v>0.15495936026936058</v>
      </c>
      <c r="O192" s="200">
        <f t="shared" si="34"/>
        <v>0.15495936026936058</v>
      </c>
      <c r="P192" s="200">
        <f t="shared" si="34"/>
        <v>0.15495936026936058</v>
      </c>
      <c r="Q192" s="200">
        <f t="shared" si="34"/>
        <v>0.15495936026936061</v>
      </c>
      <c r="R192" s="3"/>
    </row>
    <row r="193" spans="1:18" ht="12.75" customHeight="1">
      <c r="L193" s="232"/>
      <c r="M193" s="232"/>
      <c r="N193" s="232"/>
      <c r="O193" s="232"/>
      <c r="P193" s="232"/>
      <c r="Q193" s="232"/>
      <c r="R193" s="3"/>
    </row>
    <row r="194" spans="1:18" ht="12.75" customHeight="1">
      <c r="B194" s="3" t="s">
        <v>61</v>
      </c>
      <c r="L194" s="200">
        <f t="shared" ref="L194:Q194" ca="1" si="35">IF((L180+SUM(L184:L186))&gt;0,L180/(L180+SUM(L184:L186)),"NM")</f>
        <v>0.62679660149652239</v>
      </c>
      <c r="M194" s="200">
        <f t="shared" ca="1" si="35"/>
        <v>0.60817220402241212</v>
      </c>
      <c r="N194" s="200">
        <f t="shared" ca="1" si="35"/>
        <v>0.57893520536715903</v>
      </c>
      <c r="O194" s="200">
        <f t="shared" ca="1" si="35"/>
        <v>0.53852414703170404</v>
      </c>
      <c r="P194" s="200">
        <f t="shared" ca="1" si="35"/>
        <v>0.48570851395213782</v>
      </c>
      <c r="Q194" s="200">
        <f t="shared" ca="1" si="35"/>
        <v>0.41884994717534857</v>
      </c>
      <c r="R194" s="3"/>
    </row>
    <row r="195" spans="1:18" ht="12.75" customHeight="1">
      <c r="B195" s="3" t="s">
        <v>62</v>
      </c>
      <c r="L195" s="200">
        <f t="shared" ref="L195:Q195" ca="1" si="36">IF((L180+SUM(L184:L186)-L164)&gt;0,(L180-L164)/(L180+SUM(L184:L186)-L164),"NM")</f>
        <v>0.61678844737829364</v>
      </c>
      <c r="M195" s="200">
        <f t="shared" ca="1" si="36"/>
        <v>0.59765132263712961</v>
      </c>
      <c r="N195" s="200">
        <f t="shared" ca="1" si="36"/>
        <v>0.56762367079238529</v>
      </c>
      <c r="O195" s="200">
        <f t="shared" ca="1" si="36"/>
        <v>0.526130360309637</v>
      </c>
      <c r="P195" s="200">
        <f t="shared" ca="1" si="36"/>
        <v>0.47192623315318999</v>
      </c>
      <c r="Q195" s="200">
        <f t="shared" ca="1" si="36"/>
        <v>0.40334273549954941</v>
      </c>
      <c r="R195" s="3"/>
    </row>
    <row r="196" spans="1:18" ht="12.75" customHeight="1">
      <c r="L196" s="200"/>
      <c r="M196" s="200"/>
      <c r="N196" s="200"/>
      <c r="O196" s="200"/>
      <c r="P196" s="200"/>
      <c r="Q196" s="200"/>
      <c r="R196" s="3"/>
    </row>
    <row r="197" spans="1:18" ht="12.75" customHeight="1">
      <c r="B197" s="3" t="s">
        <v>402</v>
      </c>
      <c r="D197" s="1087">
        <v>8</v>
      </c>
      <c r="L197" s="343">
        <f t="shared" ref="L197:Q197" ca="1" si="37">L180+($D$197*L129)</f>
        <v>278.39999999999998</v>
      </c>
      <c r="M197" s="343">
        <f t="shared" ca="1" si="37"/>
        <v>277.38249279341051</v>
      </c>
      <c r="N197" s="343">
        <f t="shared" ca="1" si="37"/>
        <v>272.49435868405561</v>
      </c>
      <c r="O197" s="343">
        <f t="shared" ca="1" si="37"/>
        <v>263.50175483987476</v>
      </c>
      <c r="P197" s="343">
        <f t="shared" ca="1" si="37"/>
        <v>250.90121814660222</v>
      </c>
      <c r="Q197" s="343">
        <f t="shared" ca="1" si="37"/>
        <v>234.05718863102629</v>
      </c>
      <c r="R197" s="3"/>
    </row>
    <row r="198" spans="1:18" ht="12.75" customHeight="1">
      <c r="B198" s="3" t="s">
        <v>403</v>
      </c>
      <c r="L198" s="144">
        <f t="shared" ref="L198:Q198" ca="1" si="38">L197/L128</f>
        <v>6.2142857142857144</v>
      </c>
      <c r="M198" s="144">
        <f t="shared" ca="1" si="38"/>
        <v>5.4818674465100887</v>
      </c>
      <c r="N198" s="144">
        <f t="shared" ca="1" si="38"/>
        <v>4.7121060049120285</v>
      </c>
      <c r="O198" s="144">
        <f t="shared" ca="1" si="38"/>
        <v>4.0503124371522254</v>
      </c>
      <c r="P198" s="144">
        <f t="shared" ca="1" si="38"/>
        <v>3.4281140428950683</v>
      </c>
      <c r="Q198" s="144">
        <f t="shared" ca="1" si="38"/>
        <v>2.8426405901933935</v>
      </c>
      <c r="R198" s="3"/>
    </row>
    <row r="199" spans="1:18">
      <c r="R199" s="3"/>
    </row>
    <row r="200" spans="1:18" ht="15.95" customHeight="1" collapsed="1" thickBot="1">
      <c r="A200" s="4" t="s">
        <v>167</v>
      </c>
      <c r="B200" s="628" t="s">
        <v>125</v>
      </c>
      <c r="C200" s="629"/>
      <c r="D200" s="629"/>
      <c r="E200" s="629"/>
      <c r="F200" s="629"/>
      <c r="G200" s="629"/>
      <c r="H200" s="629"/>
      <c r="I200" s="629"/>
      <c r="J200" s="629"/>
      <c r="K200" s="629"/>
      <c r="L200" s="629"/>
      <c r="M200" s="629"/>
      <c r="N200" s="629"/>
      <c r="O200" s="630"/>
      <c r="P200" s="630"/>
      <c r="Q200" s="630"/>
      <c r="R200" s="630"/>
    </row>
    <row r="201" spans="1:18">
      <c r="B201" s="895" t="str">
        <f>$B$126</f>
        <v>Fiscal Year Ended December 31,</v>
      </c>
      <c r="C201" s="896"/>
      <c r="D201" s="896"/>
      <c r="E201" s="896"/>
      <c r="F201" s="896"/>
      <c r="G201" s="896"/>
      <c r="H201" s="896"/>
      <c r="I201" s="896"/>
      <c r="J201" s="896"/>
      <c r="K201" s="896"/>
      <c r="L201" s="899"/>
      <c r="M201" s="463">
        <f>M$126</f>
        <v>2020</v>
      </c>
      <c r="N201" s="463">
        <f>N$126</f>
        <v>2021</v>
      </c>
      <c r="O201" s="463">
        <f>O$126</f>
        <v>2022</v>
      </c>
      <c r="P201" s="463">
        <f>P$126</f>
        <v>2023</v>
      </c>
      <c r="Q201" s="463">
        <f>Q$126</f>
        <v>2024</v>
      </c>
      <c r="R201" s="96"/>
    </row>
    <row r="202" spans="1:18" ht="15" customHeight="1">
      <c r="B202" s="3" t="s">
        <v>65</v>
      </c>
      <c r="M202" s="153">
        <f ca="1">M139</f>
        <v>6.9468545635716472</v>
      </c>
      <c r="N202" s="153">
        <f ca="1">N139</f>
        <v>11.103195752051356</v>
      </c>
      <c r="O202" s="153">
        <f ca="1">O139</f>
        <v>15.493379772591638</v>
      </c>
      <c r="P202" s="153">
        <f ca="1">P139</f>
        <v>20.610139593785263</v>
      </c>
      <c r="Q202" s="153">
        <f ca="1">Q139</f>
        <v>26.55106275970336</v>
      </c>
    </row>
    <row r="203" spans="1:18" ht="12.75" customHeight="1">
      <c r="B203" s="3" t="s">
        <v>568</v>
      </c>
      <c r="M203" s="161">
        <f t="shared" ref="M203:Q205" si="39">M131</f>
        <v>10</v>
      </c>
      <c r="N203" s="161">
        <f t="shared" si="39"/>
        <v>11.428571428571427</v>
      </c>
      <c r="O203" s="161">
        <f t="shared" si="39"/>
        <v>12.857142857142856</v>
      </c>
      <c r="P203" s="161">
        <f t="shared" si="39"/>
        <v>14.464285714285714</v>
      </c>
      <c r="Q203" s="161">
        <f t="shared" si="39"/>
        <v>16.272321428571427</v>
      </c>
      <c r="R203" s="3"/>
    </row>
    <row r="204" spans="1:18" ht="12.75" customHeight="1">
      <c r="B204" s="3" t="s">
        <v>571</v>
      </c>
      <c r="M204" s="161">
        <f t="shared" si="39"/>
        <v>0</v>
      </c>
      <c r="N204" s="161">
        <f t="shared" si="39"/>
        <v>0</v>
      </c>
      <c r="O204" s="161">
        <f t="shared" si="39"/>
        <v>0</v>
      </c>
      <c r="P204" s="161">
        <f t="shared" si="39"/>
        <v>0</v>
      </c>
      <c r="Q204" s="161">
        <f t="shared" si="39"/>
        <v>0</v>
      </c>
      <c r="R204" s="3"/>
    </row>
    <row r="205" spans="1:18" ht="12.75" customHeight="1">
      <c r="B205" s="3" t="s">
        <v>572</v>
      </c>
      <c r="M205" s="161">
        <f t="shared" ca="1" si="39"/>
        <v>5.0914531312067108</v>
      </c>
      <c r="N205" s="161">
        <f t="shared" ca="1" si="39"/>
        <v>5.0914531312067108</v>
      </c>
      <c r="O205" s="161">
        <f t="shared" ca="1" si="39"/>
        <v>5.0914531312067108</v>
      </c>
      <c r="P205" s="161">
        <f t="shared" ca="1" si="39"/>
        <v>5.0914531312067108</v>
      </c>
      <c r="Q205" s="161">
        <f t="shared" ca="1" si="39"/>
        <v>5.0914531312067108</v>
      </c>
      <c r="R205" s="3"/>
    </row>
    <row r="206" spans="1:18" ht="12.75" customHeight="1">
      <c r="B206" s="3" t="s">
        <v>375</v>
      </c>
      <c r="M206" s="161">
        <f ca="1">$Q$77</f>
        <v>1.4512499999999999</v>
      </c>
      <c r="N206" s="161">
        <f ca="1">$Q$77</f>
        <v>1.4512499999999999</v>
      </c>
      <c r="O206" s="161">
        <f ca="1">$Q$77</f>
        <v>1.4512499999999999</v>
      </c>
      <c r="P206" s="161">
        <f ca="1">$Q$77</f>
        <v>1.4512499999999999</v>
      </c>
      <c r="Q206" s="161">
        <f ca="1">$Q$77</f>
        <v>1.4512499999999999</v>
      </c>
      <c r="R206" s="3"/>
    </row>
    <row r="207" spans="1:18" ht="12.75" customHeight="1">
      <c r="B207" s="3" t="s">
        <v>570</v>
      </c>
      <c r="M207" s="161">
        <f ca="1">+$Q$85</f>
        <v>0.30000000000000027</v>
      </c>
      <c r="N207" s="161">
        <f ca="1">+$Q$85</f>
        <v>0.30000000000000027</v>
      </c>
      <c r="O207" s="161">
        <f ca="1">+$Q$85</f>
        <v>0.30000000000000027</v>
      </c>
      <c r="P207" s="161">
        <f ca="1">+$Q$85</f>
        <v>0.30000000000000027</v>
      </c>
      <c r="Q207" s="161">
        <f ca="1">+$Q$85</f>
        <v>0.30000000000000027</v>
      </c>
      <c r="R207" s="3"/>
    </row>
    <row r="208" spans="1:18" ht="12.75" customHeight="1">
      <c r="B208" s="3" t="s">
        <v>526</v>
      </c>
      <c r="M208" s="161">
        <f ca="1">+M307</f>
        <v>-1.2728632828016777</v>
      </c>
      <c r="N208" s="161">
        <f ca="1">+N307</f>
        <v>-1.2728632828016773</v>
      </c>
      <c r="O208" s="161">
        <f ca="1">+O307</f>
        <v>-1.2728632828016773</v>
      </c>
      <c r="P208" s="161">
        <f ca="1">+P307</f>
        <v>-1.2728632828016773</v>
      </c>
      <c r="Q208" s="161">
        <f ca="1">+Q307</f>
        <v>-1.2728632828016782</v>
      </c>
      <c r="R208" s="3"/>
    </row>
    <row r="209" spans="2:18" ht="12.75" customHeight="1">
      <c r="B209" s="3" t="s">
        <v>49</v>
      </c>
      <c r="M209" s="408">
        <f>'Acq Proj'!M91</f>
        <v>0</v>
      </c>
      <c r="N209" s="408">
        <f>'Acq Proj'!N91</f>
        <v>0</v>
      </c>
      <c r="O209" s="408">
        <f>'Acq Proj'!O91</f>
        <v>0</v>
      </c>
      <c r="P209" s="408">
        <f>'Acq Proj'!P91</f>
        <v>0</v>
      </c>
      <c r="Q209" s="408">
        <f>'Acq Proj'!Q91</f>
        <v>0</v>
      </c>
      <c r="R209" s="3"/>
    </row>
    <row r="210" spans="2:18" ht="12.75" customHeight="1">
      <c r="B210" s="3" t="s">
        <v>234</v>
      </c>
      <c r="M210" s="161">
        <f>L173-M173</f>
        <v>0</v>
      </c>
      <c r="N210" s="161">
        <f>M173-N173</f>
        <v>0</v>
      </c>
      <c r="O210" s="161">
        <f>N173-O173</f>
        <v>0</v>
      </c>
      <c r="P210" s="161">
        <f>O173-P173</f>
        <v>0</v>
      </c>
      <c r="Q210" s="161">
        <f>P173-Q173</f>
        <v>0</v>
      </c>
      <c r="R210" s="3"/>
    </row>
    <row r="211" spans="2:18" ht="12.75" customHeight="1">
      <c r="B211" s="3" t="s">
        <v>235</v>
      </c>
      <c r="M211" s="68">
        <f>M181-L181</f>
        <v>0</v>
      </c>
      <c r="N211" s="68">
        <f>N181-M181</f>
        <v>0</v>
      </c>
      <c r="O211" s="68">
        <f>O181-N181</f>
        <v>0</v>
      </c>
      <c r="P211" s="68">
        <f>P181-O181</f>
        <v>0</v>
      </c>
      <c r="Q211" s="68">
        <f>Q181-P181</f>
        <v>0</v>
      </c>
      <c r="R211" s="3"/>
    </row>
    <row r="212" spans="2:18" ht="12.75" customHeight="1">
      <c r="B212" s="1074" t="s">
        <v>80</v>
      </c>
      <c r="M212" s="68">
        <f>L191-M191</f>
        <v>-3.0991872053872171</v>
      </c>
      <c r="N212" s="68">
        <f>M191-N191</f>
        <v>-3.09918720538721</v>
      </c>
      <c r="O212" s="68">
        <f>N191-O191</f>
        <v>-3.09918720538721</v>
      </c>
      <c r="P212" s="68">
        <f>O191-P191</f>
        <v>-3.4865856060606149</v>
      </c>
      <c r="Q212" s="68">
        <f>P191-Q191</f>
        <v>-3.922408806818197</v>
      </c>
      <c r="R212" s="3"/>
    </row>
    <row r="213" spans="2:18" ht="12.75" customHeight="1">
      <c r="B213" s="942" t="s">
        <v>322</v>
      </c>
      <c r="M213" s="1088">
        <f ca="1">SUM(M202:M212)</f>
        <v>19.41750720658947</v>
      </c>
      <c r="N213" s="1089">
        <f ca="1">SUM(N202:N212)</f>
        <v>25.002419823640608</v>
      </c>
      <c r="O213" s="1089">
        <f ca="1">SUM(O202:O212)</f>
        <v>30.821175272752313</v>
      </c>
      <c r="P213" s="1089">
        <f ca="1">SUM(P202:P212)</f>
        <v>37.157679550415395</v>
      </c>
      <c r="Q213" s="407">
        <f ca="1">SUM(Q202:Q212)</f>
        <v>44.470815229861621</v>
      </c>
      <c r="R213" s="3"/>
    </row>
    <row r="214" spans="2:18" ht="12.75" customHeight="1">
      <c r="M214" s="310"/>
      <c r="N214" s="310"/>
      <c r="O214" s="310"/>
      <c r="P214" s="310"/>
      <c r="Q214" s="310"/>
      <c r="R214" s="3"/>
    </row>
    <row r="215" spans="2:18" ht="12.75" customHeight="1">
      <c r="B215" s="3" t="s">
        <v>122</v>
      </c>
      <c r="L215" s="408">
        <f>'Acq Proj'!L98</f>
        <v>-10</v>
      </c>
      <c r="M215" s="408">
        <f>'Acq Proj'!M98</f>
        <v>-12</v>
      </c>
      <c r="N215" s="408">
        <f>'Acq Proj'!N98</f>
        <v>-13.714285714285715</v>
      </c>
      <c r="O215" s="408">
        <f>'Acq Proj'!O98</f>
        <v>-15.428571428571429</v>
      </c>
      <c r="P215" s="408">
        <f>'Acq Proj'!P98</f>
        <v>-17.357142857142858</v>
      </c>
      <c r="Q215" s="408">
        <f>'Acq Proj'!Q98</f>
        <v>-19.526785714285715</v>
      </c>
      <c r="R215" s="3"/>
    </row>
    <row r="216" spans="2:18" ht="12.75" customHeight="1">
      <c r="B216" s="3" t="s">
        <v>567</v>
      </c>
      <c r="M216" s="408">
        <f>'Acq Proj'!M99</f>
        <v>0</v>
      </c>
      <c r="N216" s="408">
        <f>'Acq Proj'!N99</f>
        <v>0</v>
      </c>
      <c r="O216" s="408">
        <f>'Acq Proj'!O99</f>
        <v>0</v>
      </c>
      <c r="P216" s="408">
        <f>'Acq Proj'!P99</f>
        <v>0</v>
      </c>
      <c r="Q216" s="408">
        <f>'Acq Proj'!Q99</f>
        <v>0</v>
      </c>
      <c r="R216" s="3"/>
    </row>
    <row r="217" spans="2:18" ht="12.75" customHeight="1">
      <c r="B217" s="942" t="s">
        <v>157</v>
      </c>
      <c r="M217" s="1090">
        <f>SUM(M215:M216)</f>
        <v>-12</v>
      </c>
      <c r="N217" s="1091">
        <f>SUM(N215:N216)</f>
        <v>-13.714285714285715</v>
      </c>
      <c r="O217" s="1091">
        <f>SUM(O215:O216)</f>
        <v>-15.428571428571429</v>
      </c>
      <c r="P217" s="1091">
        <f>SUM(P215:P216)</f>
        <v>-17.357142857142858</v>
      </c>
      <c r="Q217" s="1092">
        <f>SUM(Q215:Q216)</f>
        <v>-19.526785714285715</v>
      </c>
      <c r="R217" s="3"/>
    </row>
    <row r="218" spans="2:18" ht="12.75" customHeight="1">
      <c r="M218" s="596"/>
      <c r="N218" s="596"/>
      <c r="O218" s="596"/>
      <c r="P218" s="596"/>
      <c r="Q218" s="596"/>
      <c r="R218" s="3"/>
    </row>
    <row r="219" spans="2:18" ht="12.75" customHeight="1">
      <c r="B219" s="3" t="s">
        <v>175</v>
      </c>
      <c r="M219" s="19">
        <f ca="1">-M262</f>
        <v>-1.4000000000000001</v>
      </c>
      <c r="N219" s="19">
        <f ca="1">-N262</f>
        <v>-1.4000000000000001</v>
      </c>
      <c r="O219" s="19">
        <f ca="1">-O262</f>
        <v>-1.4000000000000001</v>
      </c>
      <c r="P219" s="19">
        <f ca="1">-P262</f>
        <v>-1.4000000000000001</v>
      </c>
      <c r="Q219" s="19">
        <f ca="1">-Q262</f>
        <v>-1.4000000000000001</v>
      </c>
      <c r="R219" s="3"/>
    </row>
    <row r="220" spans="2:18" ht="12.75" customHeight="1">
      <c r="B220" s="3" t="s">
        <v>49</v>
      </c>
      <c r="M220" s="435">
        <f>'Acq Proj'!M105</f>
        <v>0</v>
      </c>
      <c r="N220" s="435">
        <f>'Acq Proj'!N105</f>
        <v>0</v>
      </c>
      <c r="O220" s="435">
        <f>'Acq Proj'!O105</f>
        <v>0</v>
      </c>
      <c r="P220" s="435">
        <f>'Acq Proj'!P105</f>
        <v>0</v>
      </c>
      <c r="Q220" s="435">
        <f>'Acq Proj'!Q105</f>
        <v>0</v>
      </c>
      <c r="R220" s="3"/>
    </row>
    <row r="221" spans="2:18" ht="12.75" customHeight="1">
      <c r="B221" s="3" t="s">
        <v>82</v>
      </c>
      <c r="F221" s="298">
        <f>Q59</f>
        <v>10</v>
      </c>
      <c r="G221" s="253" t="s">
        <v>173</v>
      </c>
      <c r="I221" s="4"/>
      <c r="K221" s="4"/>
      <c r="L221" s="4"/>
      <c r="M221" s="1093">
        <f ca="1">M240</f>
        <v>0</v>
      </c>
      <c r="N221" s="1093">
        <f ca="1">N240</f>
        <v>0</v>
      </c>
      <c r="O221" s="1093">
        <f ca="1">O240</f>
        <v>0</v>
      </c>
      <c r="P221" s="1093">
        <f ca="1">P240</f>
        <v>0</v>
      </c>
      <c r="Q221" s="1093">
        <f ca="1">Q240</f>
        <v>0</v>
      </c>
      <c r="R221" s="3"/>
    </row>
    <row r="222" spans="2:18" ht="12.75" customHeight="1">
      <c r="B222" s="3" t="s">
        <v>358</v>
      </c>
      <c r="F222" s="1094"/>
      <c r="G222" s="253"/>
      <c r="I222" s="4"/>
      <c r="K222" s="4"/>
      <c r="L222" s="4"/>
      <c r="M222" s="19">
        <f ca="1">-M268</f>
        <v>-6.017507206589471</v>
      </c>
      <c r="N222" s="19">
        <f ca="1">-N268</f>
        <v>-9.888134109354894</v>
      </c>
      <c r="O222" s="19">
        <f ca="1">-O268</f>
        <v>-13.992603844180884</v>
      </c>
      <c r="P222" s="19">
        <f ca="1">-P268</f>
        <v>-18.400536693272539</v>
      </c>
      <c r="Q222" s="19">
        <f ca="1">-Q268</f>
        <v>-23.544029515575907</v>
      </c>
      <c r="R222" s="3"/>
    </row>
    <row r="223" spans="2:18" ht="12.75" customHeight="1">
      <c r="B223" s="942" t="s">
        <v>316</v>
      </c>
      <c r="H223" s="253"/>
      <c r="I223" s="1094"/>
      <c r="J223" s="253"/>
      <c r="K223" s="1094"/>
      <c r="M223" s="1090">
        <f ca="1">SUM(M219:M222)</f>
        <v>-7.4175072065894714</v>
      </c>
      <c r="N223" s="1090">
        <f ca="1">SUM(N219:N222)</f>
        <v>-11.288134109354894</v>
      </c>
      <c r="O223" s="1090">
        <f ca="1">SUM(O219:O222)</f>
        <v>-15.392603844180885</v>
      </c>
      <c r="P223" s="1090">
        <f ca="1">SUM(P219:P222)</f>
        <v>-19.800536693272537</v>
      </c>
      <c r="Q223" s="1090">
        <f ca="1">SUM(Q219:Q222)</f>
        <v>-24.944029515575906</v>
      </c>
      <c r="R223" s="3"/>
    </row>
    <row r="224" spans="2:18" ht="12.75" customHeight="1">
      <c r="H224" s="253"/>
      <c r="I224" s="1094"/>
      <c r="J224" s="253"/>
      <c r="K224" s="1094"/>
      <c r="M224" s="19"/>
      <c r="N224" s="61"/>
      <c r="O224" s="61"/>
      <c r="P224" s="61"/>
      <c r="Q224" s="61"/>
      <c r="R224" s="3"/>
    </row>
    <row r="225" spans="1:18" ht="12.75" customHeight="1">
      <c r="B225" s="3" t="s">
        <v>431</v>
      </c>
      <c r="M225" s="161">
        <f ca="1">M213+M217+M223</f>
        <v>0</v>
      </c>
      <c r="N225" s="161">
        <f ca="1">N213+N217+N223</f>
        <v>0</v>
      </c>
      <c r="O225" s="161">
        <f ca="1">O213+O217+O223</f>
        <v>0</v>
      </c>
      <c r="P225" s="161">
        <f ca="1">P213+P217+P223</f>
        <v>0</v>
      </c>
      <c r="Q225" s="161">
        <f ca="1">Q213+Q217+Q223</f>
        <v>0</v>
      </c>
      <c r="R225" s="3"/>
    </row>
    <row r="226" spans="1:18" ht="12.75" customHeight="1">
      <c r="M226" s="305"/>
      <c r="N226" s="310"/>
      <c r="O226" s="310"/>
      <c r="P226" s="310"/>
      <c r="Q226" s="310"/>
      <c r="R226" s="3"/>
    </row>
    <row r="227" spans="1:18" ht="12.75" customHeight="1">
      <c r="B227" s="3" t="s">
        <v>158</v>
      </c>
      <c r="M227" s="268">
        <f ca="1">L164</f>
        <v>10</v>
      </c>
      <c r="N227" s="268">
        <f ca="1">M228</f>
        <v>10</v>
      </c>
      <c r="O227" s="268">
        <f ca="1">N228</f>
        <v>10</v>
      </c>
      <c r="P227" s="268">
        <f ca="1">O228</f>
        <v>10</v>
      </c>
      <c r="Q227" s="268">
        <f ca="1">P228</f>
        <v>10</v>
      </c>
      <c r="R227" s="3"/>
    </row>
    <row r="228" spans="1:18" ht="12.75" customHeight="1">
      <c r="B228" s="3" t="s">
        <v>83</v>
      </c>
      <c r="M228" s="1079">
        <f ca="1">M227+M225</f>
        <v>10</v>
      </c>
      <c r="N228" s="1079">
        <f ca="1">N227+N225</f>
        <v>10</v>
      </c>
      <c r="O228" s="1079">
        <f ca="1">O227+O225</f>
        <v>10</v>
      </c>
      <c r="P228" s="1079">
        <f ca="1">P227+P225</f>
        <v>10</v>
      </c>
      <c r="Q228" s="1079">
        <f ca="1">Q227+Q225</f>
        <v>10</v>
      </c>
      <c r="R228" s="3"/>
    </row>
    <row r="229" spans="1:18" ht="12.75" customHeight="1">
      <c r="M229" s="299"/>
      <c r="N229" s="299"/>
      <c r="O229" s="299"/>
      <c r="P229" s="299"/>
      <c r="Q229" s="299"/>
      <c r="R229" s="3"/>
    </row>
    <row r="230" spans="1:18" ht="12.75" customHeight="1">
      <c r="B230" s="3" t="s">
        <v>84</v>
      </c>
      <c r="M230" s="161">
        <f ca="1">M236</f>
        <v>0</v>
      </c>
      <c r="N230" s="161">
        <f ca="1">N236</f>
        <v>0</v>
      </c>
      <c r="O230" s="161">
        <f ca="1">O236</f>
        <v>0</v>
      </c>
      <c r="P230" s="161">
        <f ca="1">P236</f>
        <v>0</v>
      </c>
      <c r="Q230" s="161">
        <f ca="1">Q236</f>
        <v>0</v>
      </c>
      <c r="R230" s="3"/>
    </row>
    <row r="231" spans="1:18" ht="12.75" customHeight="1">
      <c r="B231" s="3" t="s">
        <v>85</v>
      </c>
      <c r="M231" s="161">
        <f ca="1">M241</f>
        <v>0</v>
      </c>
      <c r="N231" s="161">
        <f ca="1">N241</f>
        <v>0</v>
      </c>
      <c r="O231" s="161">
        <f ca="1">O241</f>
        <v>0</v>
      </c>
      <c r="P231" s="161">
        <f ca="1">P241</f>
        <v>0</v>
      </c>
      <c r="Q231" s="161">
        <f ca="1">Q241</f>
        <v>0</v>
      </c>
      <c r="R231" s="3"/>
    </row>
    <row r="232" spans="1:18" ht="12.75" customHeight="1">
      <c r="M232" s="218"/>
      <c r="N232" s="218"/>
      <c r="O232" s="218"/>
      <c r="P232" s="218"/>
      <c r="Q232" s="218"/>
      <c r="R232" s="3"/>
    </row>
    <row r="233" spans="1:18" ht="15.95" customHeight="1" collapsed="1" thickBot="1">
      <c r="A233" s="4" t="s">
        <v>167</v>
      </c>
      <c r="B233" s="628" t="s">
        <v>226</v>
      </c>
      <c r="C233" s="629"/>
      <c r="D233" s="629"/>
      <c r="E233" s="629"/>
      <c r="F233" s="629"/>
      <c r="G233" s="629"/>
      <c r="H233" s="629"/>
      <c r="I233" s="629"/>
      <c r="J233" s="629"/>
      <c r="K233" s="629"/>
      <c r="L233" s="629"/>
      <c r="M233" s="629"/>
      <c r="N233" s="629"/>
      <c r="O233" s="630"/>
      <c r="P233" s="630"/>
      <c r="Q233" s="630"/>
      <c r="R233" s="630"/>
    </row>
    <row r="234" spans="1:18">
      <c r="B234" s="895" t="str">
        <f>$B$126</f>
        <v>Fiscal Year Ended December 31,</v>
      </c>
      <c r="C234" s="461"/>
      <c r="D234" s="461"/>
      <c r="E234" s="461"/>
      <c r="F234" s="461"/>
      <c r="G234" s="461"/>
      <c r="H234" s="461"/>
      <c r="I234" s="461"/>
      <c r="J234" s="461"/>
      <c r="K234" s="461"/>
      <c r="L234" s="899">
        <f t="shared" ref="L234:Q234" si="40">L$126</f>
        <v>2019</v>
      </c>
      <c r="M234" s="463">
        <f t="shared" si="40"/>
        <v>2020</v>
      </c>
      <c r="N234" s="463">
        <f t="shared" si="40"/>
        <v>2021</v>
      </c>
      <c r="O234" s="463">
        <f t="shared" si="40"/>
        <v>2022</v>
      </c>
      <c r="P234" s="463">
        <f t="shared" si="40"/>
        <v>2023</v>
      </c>
      <c r="Q234" s="463">
        <f t="shared" si="40"/>
        <v>2024</v>
      </c>
      <c r="R234" s="96"/>
    </row>
    <row r="235" spans="1:18" s="17" customFormat="1" ht="15" customHeight="1">
      <c r="B235" s="274" t="s">
        <v>342</v>
      </c>
      <c r="C235" s="274"/>
      <c r="D235" s="10"/>
      <c r="E235" s="10"/>
      <c r="F235" s="10"/>
      <c r="G235" s="10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</row>
    <row r="236" spans="1:18" s="17" customFormat="1" ht="12.75" customHeight="1">
      <c r="B236" s="10" t="s">
        <v>336</v>
      </c>
      <c r="C236" s="274"/>
      <c r="D236" s="10"/>
      <c r="E236" s="10"/>
      <c r="F236" s="10"/>
      <c r="G236" s="10"/>
      <c r="H236" s="27"/>
      <c r="I236" s="27"/>
      <c r="J236" s="27"/>
      <c r="K236" s="27"/>
      <c r="M236" s="595">
        <f ca="1">L244</f>
        <v>0</v>
      </c>
      <c r="N236" s="595">
        <f ca="1">M241</f>
        <v>0</v>
      </c>
      <c r="O236" s="595">
        <f ca="1">N241</f>
        <v>0</v>
      </c>
      <c r="P236" s="595">
        <f ca="1">O241</f>
        <v>0</v>
      </c>
      <c r="Q236" s="595">
        <f ca="1">P241</f>
        <v>0</v>
      </c>
      <c r="R236" s="32"/>
    </row>
    <row r="237" spans="1:18" s="17" customFormat="1" ht="12.75" customHeight="1">
      <c r="B237" s="10" t="s">
        <v>337</v>
      </c>
      <c r="C237" s="274"/>
      <c r="D237" s="10"/>
      <c r="E237" s="10"/>
      <c r="F237" s="10"/>
      <c r="G237" s="10"/>
      <c r="H237" s="27"/>
      <c r="I237" s="27"/>
      <c r="J237" s="27"/>
      <c r="K237" s="27"/>
      <c r="L237" s="27"/>
      <c r="M237" s="32">
        <f ca="1">M227</f>
        <v>10</v>
      </c>
      <c r="N237" s="32">
        <f ca="1">N227</f>
        <v>10</v>
      </c>
      <c r="O237" s="32">
        <f ca="1">O227</f>
        <v>10</v>
      </c>
      <c r="P237" s="32">
        <f ca="1">P227</f>
        <v>10</v>
      </c>
      <c r="Q237" s="32">
        <f ca="1">Q227</f>
        <v>10</v>
      </c>
      <c r="R237" s="32"/>
    </row>
    <row r="238" spans="1:18" s="17" customFormat="1" ht="12.75" customHeight="1">
      <c r="B238" s="10" t="s">
        <v>338</v>
      </c>
      <c r="C238" s="274"/>
      <c r="D238" s="10"/>
      <c r="E238" s="10"/>
      <c r="F238" s="10"/>
      <c r="G238" s="10"/>
      <c r="H238" s="27"/>
      <c r="I238" s="27"/>
      <c r="J238" s="27"/>
      <c r="K238" s="27"/>
      <c r="L238" s="27"/>
      <c r="M238" s="32">
        <f ca="1">M213+M217+SUM(M219:M220)</f>
        <v>6.0175072065894692</v>
      </c>
      <c r="N238" s="32">
        <f ca="1">N213+N217+SUM(N219:N220)</f>
        <v>9.8881341093548922</v>
      </c>
      <c r="O238" s="32">
        <f ca="1">O213+O217+SUM(O219:O220)</f>
        <v>13.992603844180884</v>
      </c>
      <c r="P238" s="32">
        <f ca="1">P213+P217+SUM(P219:P220)</f>
        <v>18.400536693272539</v>
      </c>
      <c r="Q238" s="32">
        <f ca="1">Q213+Q217+SUM(Q219:Q220)</f>
        <v>23.544029515575907</v>
      </c>
      <c r="R238" s="32"/>
    </row>
    <row r="239" spans="1:18" s="17" customFormat="1" ht="12.75" customHeight="1">
      <c r="B239" s="10" t="s">
        <v>339</v>
      </c>
      <c r="C239" s="274"/>
      <c r="D239" s="10"/>
      <c r="E239" s="10"/>
      <c r="F239" s="10"/>
      <c r="G239" s="10"/>
      <c r="H239" s="27"/>
      <c r="I239" s="27"/>
      <c r="J239" s="27"/>
      <c r="K239" s="27"/>
      <c r="L239" s="27"/>
      <c r="M239" s="32">
        <f>-F221</f>
        <v>-10</v>
      </c>
      <c r="N239" s="32">
        <f>M239</f>
        <v>-10</v>
      </c>
      <c r="O239" s="32">
        <f>N239</f>
        <v>-10</v>
      </c>
      <c r="P239" s="32">
        <f>O239</f>
        <v>-10</v>
      </c>
      <c r="Q239" s="32">
        <f>P239</f>
        <v>-10</v>
      </c>
      <c r="R239" s="32"/>
    </row>
    <row r="240" spans="1:18" s="17" customFormat="1" ht="12.75" customHeight="1">
      <c r="B240" s="10" t="s">
        <v>341</v>
      </c>
      <c r="C240" s="274"/>
      <c r="D240" s="10"/>
      <c r="E240" s="10"/>
      <c r="F240" s="10"/>
      <c r="G240" s="10"/>
      <c r="H240" s="27"/>
      <c r="I240" s="27"/>
      <c r="J240" s="27"/>
      <c r="K240" s="27"/>
      <c r="L240" s="27"/>
      <c r="M240" s="32">
        <f ca="1">-MIN(SUM(M237:M239),M236)</f>
        <v>0</v>
      </c>
      <c r="N240" s="32">
        <f ca="1">-MIN(SUM(N237:N239),N236)</f>
        <v>0</v>
      </c>
      <c r="O240" s="32">
        <f ca="1">-MIN(SUM(O237:O239),O236)</f>
        <v>0</v>
      </c>
      <c r="P240" s="32">
        <f ca="1">-MIN(SUM(P237:P239),P236)</f>
        <v>0</v>
      </c>
      <c r="Q240" s="32">
        <f ca="1">-MIN(SUM(Q237:Q239),Q236)</f>
        <v>0</v>
      </c>
      <c r="R240" s="32"/>
    </row>
    <row r="241" spans="2:18" s="17" customFormat="1" ht="12.75" customHeight="1">
      <c r="B241" s="10" t="s">
        <v>340</v>
      </c>
      <c r="C241" s="274"/>
      <c r="D241" s="10"/>
      <c r="E241" s="10"/>
      <c r="F241" s="10"/>
      <c r="G241" s="10"/>
      <c r="H241" s="27"/>
      <c r="I241" s="27"/>
      <c r="J241" s="27"/>
      <c r="K241" s="27"/>
      <c r="L241" s="27"/>
      <c r="M241" s="951">
        <f ca="1">M236+M240</f>
        <v>0</v>
      </c>
      <c r="N241" s="951">
        <f ca="1">N236+N240</f>
        <v>0</v>
      </c>
      <c r="O241" s="951">
        <f ca="1">O236+O240</f>
        <v>0</v>
      </c>
      <c r="P241" s="951">
        <f ca="1">P236+P240</f>
        <v>0</v>
      </c>
      <c r="Q241" s="951">
        <f ca="1">Q236+Q240</f>
        <v>0</v>
      </c>
      <c r="R241" s="19"/>
    </row>
    <row r="242" spans="2:18" ht="12.75" customHeight="1">
      <c r="B242" s="139"/>
      <c r="L242" s="7"/>
      <c r="M242" s="249"/>
      <c r="N242" s="249"/>
      <c r="O242" s="249"/>
      <c r="P242" s="249"/>
      <c r="Q242" s="249"/>
      <c r="R242" s="3"/>
    </row>
    <row r="243" spans="2:18" ht="12.75" customHeight="1">
      <c r="B243" s="139" t="s">
        <v>143</v>
      </c>
      <c r="L243" s="7"/>
      <c r="M243" s="249"/>
      <c r="N243" s="249"/>
      <c r="O243" s="249"/>
      <c r="P243" s="249"/>
      <c r="Q243" s="249"/>
      <c r="R243" s="3"/>
    </row>
    <row r="244" spans="2:18" ht="12.75" customHeight="1">
      <c r="B244" s="3" t="str">
        <f>I13</f>
        <v>$250mm Revolver</v>
      </c>
      <c r="L244" s="353">
        <f ca="1">L13</f>
        <v>0</v>
      </c>
      <c r="M244" s="353">
        <f ca="1">M231</f>
        <v>0</v>
      </c>
      <c r="N244" s="353">
        <f ca="1">N231</f>
        <v>0</v>
      </c>
      <c r="O244" s="353">
        <f ca="1">O231</f>
        <v>0</v>
      </c>
      <c r="P244" s="353">
        <f ca="1">P231</f>
        <v>0</v>
      </c>
      <c r="Q244" s="353">
        <f ca="1">Q231</f>
        <v>0</v>
      </c>
      <c r="R244" s="3"/>
    </row>
    <row r="245" spans="2:18" ht="12.75" customHeight="1">
      <c r="B245" s="3" t="str">
        <f>I14</f>
        <v>Term Loan</v>
      </c>
      <c r="L245" s="822">
        <f ca="1">L14</f>
        <v>140</v>
      </c>
      <c r="M245" s="822">
        <f ca="1">L245-M259-M268</f>
        <v>132.58249279341052</v>
      </c>
      <c r="N245" s="822">
        <f ca="1">M245-N259-N268</f>
        <v>121.29435868405562</v>
      </c>
      <c r="O245" s="822">
        <f ca="1">N245-O259-O268</f>
        <v>105.90175483987474</v>
      </c>
      <c r="P245" s="822">
        <f ca="1">O245-P259-P268</f>
        <v>86.101218146602193</v>
      </c>
      <c r="Q245" s="822">
        <f ca="1">P245-Q259-Q268</f>
        <v>61.15718863102628</v>
      </c>
      <c r="R245" s="3"/>
    </row>
    <row r="246" spans="2:18" ht="12.75" customHeight="1">
      <c r="B246" s="3" t="str">
        <f>I15</f>
        <v>Senior Notes</v>
      </c>
      <c r="L246" s="822">
        <f ca="1">L15</f>
        <v>60</v>
      </c>
      <c r="M246" s="822">
        <f t="shared" ref="M246:Q247" ca="1" si="41">L246-M260</f>
        <v>60</v>
      </c>
      <c r="N246" s="822">
        <f t="shared" ca="1" si="41"/>
        <v>60</v>
      </c>
      <c r="O246" s="822">
        <f t="shared" ca="1" si="41"/>
        <v>60</v>
      </c>
      <c r="P246" s="822">
        <f t="shared" ca="1" si="41"/>
        <v>60</v>
      </c>
      <c r="Q246" s="822">
        <f t="shared" ca="1" si="41"/>
        <v>60</v>
      </c>
      <c r="R246" s="3"/>
    </row>
    <row r="247" spans="2:18" ht="12.75" customHeight="1">
      <c r="B247" s="3" t="str">
        <f>I16</f>
        <v>Subordinated Notes</v>
      </c>
      <c r="L247" s="822">
        <f ca="1">L16</f>
        <v>40</v>
      </c>
      <c r="M247" s="1095">
        <f t="shared" ca="1" si="41"/>
        <v>40</v>
      </c>
      <c r="N247" s="822">
        <f t="shared" ca="1" si="41"/>
        <v>40</v>
      </c>
      <c r="O247" s="822">
        <f t="shared" ca="1" si="41"/>
        <v>40</v>
      </c>
      <c r="P247" s="822">
        <f t="shared" ca="1" si="41"/>
        <v>40</v>
      </c>
      <c r="Q247" s="822">
        <f t="shared" ca="1" si="41"/>
        <v>40</v>
      </c>
      <c r="R247" s="3"/>
    </row>
    <row r="248" spans="2:18" ht="12.75" customHeight="1">
      <c r="B248" s="151" t="s">
        <v>87</v>
      </c>
      <c r="L248" s="918">
        <f t="shared" ref="L248:Q248" ca="1" si="42">SUM(L244:L247)</f>
        <v>240</v>
      </c>
      <c r="M248" s="918">
        <f t="shared" ca="1" si="42"/>
        <v>232.58249279341052</v>
      </c>
      <c r="N248" s="918">
        <f t="shared" ca="1" si="42"/>
        <v>221.29435868405562</v>
      </c>
      <c r="O248" s="918">
        <f t="shared" ca="1" si="42"/>
        <v>205.90175483987474</v>
      </c>
      <c r="P248" s="918">
        <f t="shared" ca="1" si="42"/>
        <v>186.10121814660221</v>
      </c>
      <c r="Q248" s="918">
        <f t="shared" ca="1" si="42"/>
        <v>161.15718863102629</v>
      </c>
      <c r="R248" s="3"/>
    </row>
    <row r="249" spans="2:18" ht="12.75" customHeight="1">
      <c r="B249" s="3" t="s">
        <v>52</v>
      </c>
      <c r="L249" s="343">
        <f t="shared" ref="L249:Q251" si="43">L184</f>
        <v>1</v>
      </c>
      <c r="M249" s="343">
        <f t="shared" si="43"/>
        <v>1</v>
      </c>
      <c r="N249" s="343">
        <f t="shared" si="43"/>
        <v>1</v>
      </c>
      <c r="O249" s="343">
        <f t="shared" si="43"/>
        <v>1</v>
      </c>
      <c r="P249" s="343">
        <f t="shared" si="43"/>
        <v>1</v>
      </c>
      <c r="Q249" s="343">
        <f t="shared" si="43"/>
        <v>1</v>
      </c>
      <c r="R249" s="3"/>
    </row>
    <row r="250" spans="2:18" ht="12.75" customHeight="1">
      <c r="B250" s="3" t="s">
        <v>53</v>
      </c>
      <c r="L250" s="343">
        <f t="shared" si="43"/>
        <v>0.5</v>
      </c>
      <c r="M250" s="343">
        <f t="shared" si="43"/>
        <v>0.5</v>
      </c>
      <c r="N250" s="343">
        <f t="shared" si="43"/>
        <v>0.5</v>
      </c>
      <c r="O250" s="343">
        <f t="shared" si="43"/>
        <v>0.5</v>
      </c>
      <c r="P250" s="343">
        <f t="shared" si="43"/>
        <v>0.5</v>
      </c>
      <c r="Q250" s="343">
        <f t="shared" si="43"/>
        <v>0.5</v>
      </c>
      <c r="R250" s="3"/>
    </row>
    <row r="251" spans="2:18" ht="12.75" customHeight="1">
      <c r="B251" s="3" t="s">
        <v>150</v>
      </c>
      <c r="L251" s="917">
        <f t="shared" ca="1" si="43"/>
        <v>141.39933197943728</v>
      </c>
      <c r="M251" s="917">
        <f t="shared" ca="1" si="43"/>
        <v>148.34618654300891</v>
      </c>
      <c r="N251" s="917">
        <f t="shared" ca="1" si="43"/>
        <v>159.44938229506027</v>
      </c>
      <c r="O251" s="917">
        <f t="shared" ca="1" si="43"/>
        <v>174.94276206765193</v>
      </c>
      <c r="P251" s="917">
        <f t="shared" ca="1" si="43"/>
        <v>195.5529016614372</v>
      </c>
      <c r="Q251" s="917">
        <f t="shared" ca="1" si="43"/>
        <v>222.10396442114057</v>
      </c>
      <c r="R251" s="3"/>
    </row>
    <row r="252" spans="2:18" ht="12.75" customHeight="1">
      <c r="B252" s="151" t="s">
        <v>88</v>
      </c>
      <c r="L252" s="757">
        <f t="shared" ref="L252:Q252" ca="1" si="44">SUM(L248:L251)</f>
        <v>382.89933197943731</v>
      </c>
      <c r="M252" s="757">
        <f t="shared" ca="1" si="44"/>
        <v>382.42867933641946</v>
      </c>
      <c r="N252" s="757">
        <f t="shared" ca="1" si="44"/>
        <v>382.2437409791159</v>
      </c>
      <c r="O252" s="757">
        <f t="shared" ca="1" si="44"/>
        <v>382.34451690752667</v>
      </c>
      <c r="P252" s="757">
        <f t="shared" ca="1" si="44"/>
        <v>383.15411980803941</v>
      </c>
      <c r="Q252" s="757">
        <f t="shared" ca="1" si="44"/>
        <v>384.76115305216683</v>
      </c>
      <c r="R252" s="3"/>
    </row>
    <row r="253" spans="2:18" ht="12.75" customHeight="1">
      <c r="L253" s="948"/>
      <c r="M253" s="948"/>
      <c r="N253" s="948"/>
      <c r="O253" s="948"/>
      <c r="P253" s="948"/>
      <c r="Q253" s="948"/>
      <c r="R253" s="3"/>
    </row>
    <row r="254" spans="2:18" ht="12.75" customHeight="1">
      <c r="B254" s="3" t="str">
        <f>"Mandatory Amortization on "&amp;B245</f>
        <v>Mandatory Amortization on Term Loan</v>
      </c>
      <c r="L254" s="948"/>
      <c r="M254" s="193">
        <f t="shared" ref="M254:Q256" si="45">M63</f>
        <v>0.01</v>
      </c>
      <c r="N254" s="193">
        <f t="shared" si="45"/>
        <v>0.01</v>
      </c>
      <c r="O254" s="193">
        <f t="shared" si="45"/>
        <v>0.01</v>
      </c>
      <c r="P254" s="193">
        <f t="shared" si="45"/>
        <v>0.01</v>
      </c>
      <c r="Q254" s="193">
        <f t="shared" si="45"/>
        <v>0.01</v>
      </c>
      <c r="R254" s="3"/>
    </row>
    <row r="255" spans="2:18" ht="12.75" customHeight="1">
      <c r="B255" s="3" t="str">
        <f>"Mandatory Amortization on "&amp;B246</f>
        <v>Mandatory Amortization on Senior Notes</v>
      </c>
      <c r="L255" s="948"/>
      <c r="M255" s="193">
        <f t="shared" si="45"/>
        <v>0</v>
      </c>
      <c r="N255" s="193">
        <f t="shared" si="45"/>
        <v>0</v>
      </c>
      <c r="O255" s="193">
        <f t="shared" si="45"/>
        <v>0</v>
      </c>
      <c r="P255" s="193">
        <f t="shared" si="45"/>
        <v>0</v>
      </c>
      <c r="Q255" s="193">
        <f t="shared" si="45"/>
        <v>0</v>
      </c>
      <c r="R255" s="3"/>
    </row>
    <row r="256" spans="2:18" ht="12.75" customHeight="1">
      <c r="B256" s="3" t="str">
        <f>"Mandatory Amortization on "&amp;B247</f>
        <v>Mandatory Amortization on Subordinated Notes</v>
      </c>
      <c r="L256" s="948"/>
      <c r="M256" s="193">
        <f t="shared" si="45"/>
        <v>0</v>
      </c>
      <c r="N256" s="193">
        <f t="shared" si="45"/>
        <v>0</v>
      </c>
      <c r="O256" s="193">
        <f t="shared" si="45"/>
        <v>0</v>
      </c>
      <c r="P256" s="193">
        <f t="shared" si="45"/>
        <v>0</v>
      </c>
      <c r="Q256" s="193">
        <f t="shared" si="45"/>
        <v>0</v>
      </c>
      <c r="R256" s="3"/>
    </row>
    <row r="257" spans="2:18" ht="12.75" customHeight="1">
      <c r="L257" s="948"/>
      <c r="M257" s="948"/>
      <c r="N257" s="948"/>
      <c r="O257" s="948"/>
      <c r="P257" s="948"/>
      <c r="Q257" s="948"/>
      <c r="R257" s="3"/>
    </row>
    <row r="258" spans="2:18" ht="12.75" customHeight="1">
      <c r="B258" s="139" t="s">
        <v>89</v>
      </c>
      <c r="L258" s="253"/>
      <c r="M258" s="253"/>
      <c r="N258" s="253"/>
      <c r="O258" s="253"/>
      <c r="P258" s="253"/>
      <c r="Q258" s="253"/>
      <c r="R258" s="3"/>
    </row>
    <row r="259" spans="2:18" s="17" customFormat="1" ht="12.75" customHeight="1">
      <c r="B259" s="10" t="str">
        <f>B245</f>
        <v>Term Loan</v>
      </c>
      <c r="C259" s="10"/>
      <c r="D259" s="10"/>
      <c r="E259" s="10"/>
      <c r="F259" s="10"/>
      <c r="G259" s="1096"/>
      <c r="H259" s="1096"/>
      <c r="I259" s="10"/>
      <c r="J259" s="1096"/>
      <c r="K259" s="10"/>
      <c r="L259" s="882"/>
      <c r="M259" s="32">
        <f t="shared" ref="M259:Q261" ca="1" si="46">MIN(M254*$L245,L245)</f>
        <v>1.4000000000000001</v>
      </c>
      <c r="N259" s="32">
        <f t="shared" ca="1" si="46"/>
        <v>1.4000000000000001</v>
      </c>
      <c r="O259" s="32">
        <f t="shared" ca="1" si="46"/>
        <v>1.4000000000000001</v>
      </c>
      <c r="P259" s="32">
        <f t="shared" ca="1" si="46"/>
        <v>1.4000000000000001</v>
      </c>
      <c r="Q259" s="32">
        <f t="shared" ca="1" si="46"/>
        <v>1.4000000000000001</v>
      </c>
      <c r="R259" s="10"/>
    </row>
    <row r="260" spans="2:18" ht="12.75" customHeight="1">
      <c r="B260" s="3" t="str">
        <f>B246</f>
        <v>Senior Notes</v>
      </c>
      <c r="L260" s="253"/>
      <c r="M260" s="822">
        <f t="shared" ca="1" si="46"/>
        <v>0</v>
      </c>
      <c r="N260" s="822">
        <f t="shared" ca="1" si="46"/>
        <v>0</v>
      </c>
      <c r="O260" s="822">
        <f t="shared" ca="1" si="46"/>
        <v>0</v>
      </c>
      <c r="P260" s="822">
        <f t="shared" ca="1" si="46"/>
        <v>0</v>
      </c>
      <c r="Q260" s="822">
        <f t="shared" ca="1" si="46"/>
        <v>0</v>
      </c>
      <c r="R260" s="3"/>
    </row>
    <row r="261" spans="2:18" ht="12.75" customHeight="1">
      <c r="B261" s="3" t="str">
        <f>B247</f>
        <v>Subordinated Notes</v>
      </c>
      <c r="L261" s="253"/>
      <c r="M261" s="917">
        <f t="shared" ca="1" si="46"/>
        <v>0</v>
      </c>
      <c r="N261" s="917">
        <f t="shared" ca="1" si="46"/>
        <v>0</v>
      </c>
      <c r="O261" s="917">
        <f t="shared" ca="1" si="46"/>
        <v>0</v>
      </c>
      <c r="P261" s="917">
        <f t="shared" ca="1" si="46"/>
        <v>0</v>
      </c>
      <c r="Q261" s="917">
        <f t="shared" ca="1" si="46"/>
        <v>0</v>
      </c>
      <c r="R261" s="3"/>
    </row>
    <row r="262" spans="2:18" ht="12.75" customHeight="1">
      <c r="B262" s="151" t="s">
        <v>90</v>
      </c>
      <c r="L262" s="253"/>
      <c r="M262" s="918">
        <f ca="1">SUM(M259:M261)</f>
        <v>1.4000000000000001</v>
      </c>
      <c r="N262" s="918">
        <f ca="1">SUM(N259:N261)</f>
        <v>1.4000000000000001</v>
      </c>
      <c r="O262" s="918">
        <f ca="1">SUM(O259:O261)</f>
        <v>1.4000000000000001</v>
      </c>
      <c r="P262" s="918">
        <f ca="1">SUM(P259:P261)</f>
        <v>1.4000000000000001</v>
      </c>
      <c r="Q262" s="918">
        <f ca="1">SUM(Q259:Q261)</f>
        <v>1.4000000000000001</v>
      </c>
      <c r="R262" s="3"/>
    </row>
    <row r="263" spans="2:18" ht="12.75" customHeight="1">
      <c r="L263" s="253"/>
      <c r="M263" s="948"/>
      <c r="N263" s="948"/>
      <c r="O263" s="948"/>
      <c r="P263" s="948"/>
      <c r="Q263" s="948"/>
      <c r="R263" s="3"/>
    </row>
    <row r="264" spans="2:18" ht="12.75" customHeight="1">
      <c r="B264" s="139" t="str">
        <f>"Optional Repayment on "&amp;B259</f>
        <v>Optional Repayment on Term Loan</v>
      </c>
      <c r="L264" s="253"/>
      <c r="M264" s="948"/>
      <c r="N264" s="948"/>
      <c r="O264" s="948"/>
      <c r="P264" s="948"/>
      <c r="Q264" s="948"/>
      <c r="R264" s="3"/>
    </row>
    <row r="265" spans="2:18" ht="12.75" customHeight="1">
      <c r="B265" s="3" t="s">
        <v>337</v>
      </c>
      <c r="L265" s="253"/>
      <c r="M265" s="822">
        <f ca="1">M227</f>
        <v>10</v>
      </c>
      <c r="N265" s="822">
        <f ca="1">N227</f>
        <v>10</v>
      </c>
      <c r="O265" s="822">
        <f ca="1">O227</f>
        <v>10</v>
      </c>
      <c r="P265" s="822">
        <f ca="1">P227</f>
        <v>10</v>
      </c>
      <c r="Q265" s="822">
        <f ca="1">Q227</f>
        <v>10</v>
      </c>
      <c r="R265" s="3"/>
    </row>
    <row r="266" spans="2:18" ht="12.75" customHeight="1">
      <c r="B266" s="3" t="s">
        <v>359</v>
      </c>
      <c r="L266" s="253"/>
      <c r="M266" s="822">
        <f ca="1">M213+M217+SUM(M219:M221)</f>
        <v>6.0175072065894692</v>
      </c>
      <c r="N266" s="822">
        <f ca="1">N213+N217+SUM(N219:N221)</f>
        <v>9.8881341093548922</v>
      </c>
      <c r="O266" s="822">
        <f ca="1">O213+O217+SUM(O219:O221)</f>
        <v>13.992603844180884</v>
      </c>
      <c r="P266" s="822">
        <f ca="1">P213+P217+SUM(P219:P221)</f>
        <v>18.400536693272539</v>
      </c>
      <c r="Q266" s="822">
        <f ca="1">Q213+Q217+SUM(Q219:Q221)</f>
        <v>23.544029515575907</v>
      </c>
      <c r="R266" s="3"/>
    </row>
    <row r="267" spans="2:18" ht="12.75" customHeight="1">
      <c r="B267" s="3" t="s">
        <v>339</v>
      </c>
      <c r="L267" s="253"/>
      <c r="M267" s="822">
        <f>M239</f>
        <v>-10</v>
      </c>
      <c r="N267" s="822">
        <f>N239</f>
        <v>-10</v>
      </c>
      <c r="O267" s="822">
        <f>O239</f>
        <v>-10</v>
      </c>
      <c r="P267" s="822">
        <f>P239</f>
        <v>-10</v>
      </c>
      <c r="Q267" s="822">
        <f>Q239</f>
        <v>-10</v>
      </c>
      <c r="R267" s="3"/>
    </row>
    <row r="268" spans="2:18" ht="12.75" customHeight="1">
      <c r="B268" s="151" t="str">
        <f>B264</f>
        <v>Optional Repayment on Term Loan</v>
      </c>
      <c r="L268" s="253"/>
      <c r="M268" s="918">
        <f ca="1">MIN(SUM(M265:M267),L245-M259)</f>
        <v>6.017507206589471</v>
      </c>
      <c r="N268" s="918">
        <f ca="1">MIN(SUM(N265:N267),M245-N259)</f>
        <v>9.888134109354894</v>
      </c>
      <c r="O268" s="918">
        <f ca="1">MIN(SUM(O265:O267),N245-O259)</f>
        <v>13.992603844180884</v>
      </c>
      <c r="P268" s="918">
        <f ca="1">MIN(SUM(P265:P267),O245-P259)</f>
        <v>18.400536693272539</v>
      </c>
      <c r="Q268" s="918">
        <f ca="1">MIN(SUM(Q265:Q267),P245-Q259)</f>
        <v>23.544029515575907</v>
      </c>
      <c r="R268" s="3"/>
    </row>
    <row r="269" spans="2:18" ht="12.75" customHeight="1">
      <c r="L269" s="253"/>
      <c r="M269" s="948"/>
      <c r="N269" s="948"/>
      <c r="O269" s="948"/>
      <c r="P269" s="948"/>
      <c r="Q269" s="948"/>
      <c r="R269" s="3"/>
    </row>
    <row r="270" spans="2:18" ht="12.75" customHeight="1">
      <c r="B270" s="139" t="s">
        <v>75</v>
      </c>
      <c r="F270" s="142"/>
      <c r="G270" s="721"/>
      <c r="L270" s="253"/>
      <c r="M270" s="253"/>
      <c r="N270" s="253"/>
      <c r="O270" s="253"/>
      <c r="P270" s="253"/>
      <c r="Q270" s="253"/>
      <c r="R270" s="3"/>
    </row>
    <row r="271" spans="2:18" ht="12.75" customHeight="1">
      <c r="B271" s="3" t="str">
        <f>B244</f>
        <v>$250mm Revolver</v>
      </c>
      <c r="D271" s="4"/>
      <c r="E271" s="4"/>
      <c r="F271" s="956" t="s">
        <v>373</v>
      </c>
      <c r="L271" s="353">
        <f ca="1">L244*L292</f>
        <v>0</v>
      </c>
      <c r="M271" s="353">
        <f ca="1">AVERAGE(L244:M244)*M292</f>
        <v>0</v>
      </c>
      <c r="N271" s="353">
        <f ca="1">AVERAGE(M244:N244)*N292</f>
        <v>0</v>
      </c>
      <c r="O271" s="353">
        <f ca="1">AVERAGE(N244:O244)*O292</f>
        <v>0</v>
      </c>
      <c r="P271" s="353">
        <f ca="1">AVERAGE(O244:P244)*P292</f>
        <v>0</v>
      </c>
      <c r="Q271" s="353">
        <f ca="1">AVERAGE(P244:Q244)*Q292</f>
        <v>0</v>
      </c>
      <c r="R271" s="3"/>
    </row>
    <row r="272" spans="2:18" ht="12.75" customHeight="1">
      <c r="B272" s="109" t="str">
        <f>'Acq Proj'!B146</f>
        <v>Undrawn Revolver Fee</v>
      </c>
      <c r="D272" s="4"/>
      <c r="E272" s="4"/>
      <c r="F272" s="957">
        <f>+Q58</f>
        <v>250</v>
      </c>
      <c r="L272" s="343">
        <f ca="1">($F272-L244)*L293</f>
        <v>0</v>
      </c>
      <c r="M272" s="343">
        <f ca="1">($F272-AVERAGE(L244:M244))*M293</f>
        <v>0</v>
      </c>
      <c r="N272" s="343">
        <f ca="1">($F272-AVERAGE(M244:N244))*N293</f>
        <v>0</v>
      </c>
      <c r="O272" s="343">
        <f ca="1">($F272-AVERAGE(N244:O244))*O293</f>
        <v>0</v>
      </c>
      <c r="P272" s="343">
        <f ca="1">($F272-AVERAGE(O244:P244))*P293</f>
        <v>0</v>
      </c>
      <c r="Q272" s="343">
        <f ca="1">($F272-AVERAGE(P244:Q244))*Q293</f>
        <v>0</v>
      </c>
      <c r="R272" s="3"/>
    </row>
    <row r="273" spans="1:18" ht="12.75" customHeight="1">
      <c r="B273" s="3" t="str">
        <f>B245</f>
        <v>Term Loan</v>
      </c>
      <c r="D273" s="4"/>
      <c r="E273" s="4"/>
      <c r="F273" s="1006"/>
      <c r="L273" s="343">
        <f ca="1">L245*L294</f>
        <v>9.94</v>
      </c>
      <c r="M273" s="343">
        <f t="shared" ref="M273:Q275" ca="1" si="47">AVERAGE(L245:M245)*M294</f>
        <v>9.744824117364427</v>
      </c>
      <c r="N273" s="343">
        <f t="shared" ca="1" si="47"/>
        <v>9.2030358660581477</v>
      </c>
      <c r="O273" s="343">
        <f t="shared" ca="1" si="47"/>
        <v>8.3494571720044402</v>
      </c>
      <c r="P273" s="343">
        <f t="shared" ca="1" si="47"/>
        <v>7.1521107437462659</v>
      </c>
      <c r="Q273" s="343">
        <f t="shared" ca="1" si="47"/>
        <v>5.5590048558554743</v>
      </c>
      <c r="R273" s="3"/>
    </row>
    <row r="274" spans="1:18" ht="12.75" customHeight="1">
      <c r="B274" s="3" t="str">
        <f>B246</f>
        <v>Senior Notes</v>
      </c>
      <c r="D274" s="4"/>
      <c r="E274" s="4"/>
      <c r="F274" s="1006"/>
      <c r="L274" s="343">
        <f ca="1">L246*L295</f>
        <v>4.8</v>
      </c>
      <c r="M274" s="343">
        <f t="shared" ca="1" si="47"/>
        <v>4.8</v>
      </c>
      <c r="N274" s="343">
        <f t="shared" ca="1" si="47"/>
        <v>4.8</v>
      </c>
      <c r="O274" s="343">
        <f t="shared" ca="1" si="47"/>
        <v>4.8</v>
      </c>
      <c r="P274" s="343">
        <f t="shared" ca="1" si="47"/>
        <v>4.8</v>
      </c>
      <c r="Q274" s="343">
        <f t="shared" ca="1" si="47"/>
        <v>4.8</v>
      </c>
      <c r="R274" s="3"/>
    </row>
    <row r="275" spans="1:18" ht="12.75" customHeight="1">
      <c r="B275" s="3" t="str">
        <f>B247</f>
        <v>Subordinated Notes</v>
      </c>
      <c r="D275" s="4"/>
      <c r="E275" s="4"/>
      <c r="F275" s="1006"/>
      <c r="L275" s="343">
        <f ca="1">L247*L296</f>
        <v>4.4000000000000004</v>
      </c>
      <c r="M275" s="343">
        <f t="shared" ca="1" si="47"/>
        <v>4.4000000000000004</v>
      </c>
      <c r="N275" s="343">
        <f t="shared" ca="1" si="47"/>
        <v>4.4000000000000004</v>
      </c>
      <c r="O275" s="343">
        <f t="shared" ca="1" si="47"/>
        <v>4.4000000000000004</v>
      </c>
      <c r="P275" s="343">
        <f t="shared" ca="1" si="47"/>
        <v>4.4000000000000004</v>
      </c>
      <c r="Q275" s="343">
        <f t="shared" ca="1" si="47"/>
        <v>4.4000000000000004</v>
      </c>
      <c r="R275" s="3"/>
    </row>
    <row r="276" spans="1:18" ht="12.75" customHeight="1">
      <c r="B276" s="3" t="s">
        <v>527</v>
      </c>
      <c r="D276" s="4"/>
      <c r="E276" s="4"/>
      <c r="F276" s="751"/>
      <c r="L276" s="822">
        <f ca="1">+M276</f>
        <v>1.7512500000000002</v>
      </c>
      <c r="M276" s="822">
        <f ca="1">SUM(M206:M207)</f>
        <v>1.7512500000000002</v>
      </c>
      <c r="N276" s="822">
        <f ca="1">SUM(N206:N207)</f>
        <v>1.7512500000000002</v>
      </c>
      <c r="O276" s="822">
        <f ca="1">SUM(O206:O207)</f>
        <v>1.7512500000000002</v>
      </c>
      <c r="P276" s="822">
        <f ca="1">SUM(P206:P207)</f>
        <v>1.7512500000000002</v>
      </c>
      <c r="Q276" s="822">
        <f ca="1">SUM(Q206:Q207)</f>
        <v>1.7512500000000002</v>
      </c>
      <c r="R276" s="3"/>
    </row>
    <row r="277" spans="1:18" ht="12.75" customHeight="1">
      <c r="B277" s="109" t="str">
        <f>'Acq Proj'!B150</f>
        <v>Other</v>
      </c>
      <c r="D277" s="4"/>
      <c r="E277" s="4"/>
      <c r="F277" s="751"/>
      <c r="L277" s="920">
        <v>0</v>
      </c>
      <c r="M277" s="920">
        <v>0</v>
      </c>
      <c r="N277" s="920">
        <v>0</v>
      </c>
      <c r="O277" s="920">
        <v>0</v>
      </c>
      <c r="P277" s="920">
        <v>0</v>
      </c>
      <c r="Q277" s="920">
        <v>0</v>
      </c>
      <c r="R277" s="3"/>
    </row>
    <row r="278" spans="1:18" ht="12.75" customHeight="1">
      <c r="B278" s="151" t="s">
        <v>92</v>
      </c>
      <c r="D278" s="4"/>
      <c r="E278" s="4"/>
      <c r="F278" s="1097"/>
      <c r="L278" s="1098">
        <f t="shared" ref="L278:Q278" ca="1" si="48">SUM(L271:L277)</f>
        <v>20.891249999999999</v>
      </c>
      <c r="M278" s="1098">
        <f t="shared" ca="1" si="48"/>
        <v>20.696074117364425</v>
      </c>
      <c r="N278" s="1098">
        <f t="shared" ca="1" si="48"/>
        <v>20.154285866058146</v>
      </c>
      <c r="O278" s="1098">
        <f t="shared" ca="1" si="48"/>
        <v>19.300707172004437</v>
      </c>
      <c r="P278" s="1098">
        <f t="shared" ca="1" si="48"/>
        <v>18.103360743746265</v>
      </c>
      <c r="Q278" s="1098">
        <f t="shared" ca="1" si="48"/>
        <v>16.510254855855475</v>
      </c>
      <c r="R278" s="3"/>
    </row>
    <row r="279" spans="1:18" ht="12.75" customHeight="1">
      <c r="B279" s="109" t="str">
        <f>'Acq Proj'!B152</f>
        <v>Interest Income</v>
      </c>
      <c r="D279" s="4"/>
      <c r="E279" s="4"/>
      <c r="F279" s="1099"/>
      <c r="L279" s="917">
        <f ca="1">-L164*L297</f>
        <v>-0.05</v>
      </c>
      <c r="M279" s="917">
        <f ca="1">-AVERAGE(L164:M164)*M297</f>
        <v>-0.05</v>
      </c>
      <c r="N279" s="917">
        <f ca="1">-AVERAGE(M164:N164)*N297</f>
        <v>-0.05</v>
      </c>
      <c r="O279" s="917">
        <f ca="1">-AVERAGE(N164:O164)*O297</f>
        <v>-0.05</v>
      </c>
      <c r="P279" s="917">
        <f ca="1">-AVERAGE(O164:P164)*P297</f>
        <v>-0.05</v>
      </c>
      <c r="Q279" s="917">
        <f ca="1">-AVERAGE(P164:Q164)*Q297</f>
        <v>-0.05</v>
      </c>
      <c r="R279" s="3"/>
    </row>
    <row r="280" spans="1:18" ht="12.75" customHeight="1">
      <c r="B280" s="151" t="s">
        <v>75</v>
      </c>
      <c r="L280" s="1098">
        <f t="shared" ref="L280:Q280" ca="1" si="49">SUM(L278:L279)</f>
        <v>20.841249999999999</v>
      </c>
      <c r="M280" s="1098">
        <f t="shared" ca="1" si="49"/>
        <v>20.646074117364424</v>
      </c>
      <c r="N280" s="1098">
        <f t="shared" ca="1" si="49"/>
        <v>20.104285866058145</v>
      </c>
      <c r="O280" s="1098">
        <f t="shared" ca="1" si="49"/>
        <v>19.250707172004436</v>
      </c>
      <c r="P280" s="1098">
        <f t="shared" ca="1" si="49"/>
        <v>18.053360743746264</v>
      </c>
      <c r="Q280" s="1098">
        <f t="shared" ca="1" si="49"/>
        <v>16.460254855855474</v>
      </c>
      <c r="R280" s="3"/>
    </row>
    <row r="281" spans="1:18" ht="12.75" customHeight="1">
      <c r="M281" s="294"/>
      <c r="N281" s="294"/>
      <c r="O281" s="294"/>
      <c r="P281" s="294"/>
      <c r="Q281" s="294"/>
      <c r="R281" s="3"/>
    </row>
    <row r="282" spans="1:18" ht="15.95" customHeight="1" collapsed="1" thickBot="1">
      <c r="A282" s="4" t="s">
        <v>167</v>
      </c>
      <c r="B282" s="628" t="s">
        <v>468</v>
      </c>
      <c r="C282" s="628"/>
      <c r="D282" s="629"/>
      <c r="E282" s="629"/>
      <c r="F282" s="629"/>
      <c r="G282" s="629"/>
      <c r="H282" s="629"/>
      <c r="I282" s="629"/>
      <c r="J282" s="629"/>
      <c r="K282" s="629"/>
      <c r="L282" s="629"/>
      <c r="M282" s="629"/>
      <c r="N282" s="629"/>
      <c r="O282" s="630"/>
      <c r="P282" s="630"/>
      <c r="Q282" s="630"/>
      <c r="R282" s="630"/>
    </row>
    <row r="283" spans="1:18" ht="15" customHeight="1">
      <c r="B283" s="640" t="str">
        <f>B$126</f>
        <v>Fiscal Year Ended December 31,</v>
      </c>
      <c r="C283" s="640"/>
      <c r="D283" s="640"/>
      <c r="E283" s="640"/>
      <c r="F283" s="640"/>
      <c r="G283" s="640"/>
      <c r="H283" s="640"/>
      <c r="I283" s="959"/>
      <c r="J283" s="959"/>
      <c r="K283" s="959"/>
      <c r="L283" s="899">
        <f t="shared" ref="L283:Q283" si="50">L$126</f>
        <v>2019</v>
      </c>
      <c r="M283" s="463">
        <f t="shared" si="50"/>
        <v>2020</v>
      </c>
      <c r="N283" s="463">
        <f t="shared" si="50"/>
        <v>2021</v>
      </c>
      <c r="O283" s="463">
        <f t="shared" si="50"/>
        <v>2022</v>
      </c>
      <c r="P283" s="463">
        <f t="shared" si="50"/>
        <v>2023</v>
      </c>
      <c r="Q283" s="463">
        <f t="shared" si="50"/>
        <v>2024</v>
      </c>
    </row>
    <row r="284" spans="1:18" ht="15" customHeight="1">
      <c r="B284" s="139" t="s">
        <v>453</v>
      </c>
      <c r="J284" s="200"/>
      <c r="K284" s="200"/>
      <c r="L284" s="200"/>
      <c r="M284" s="200"/>
      <c r="N284" s="200"/>
      <c r="O284" s="200"/>
      <c r="P284" s="200"/>
      <c r="Q284" s="200"/>
    </row>
    <row r="285" spans="1:18" ht="12.75" customHeight="1">
      <c r="B285" s="3" t="s">
        <v>454</v>
      </c>
      <c r="J285" s="200"/>
      <c r="K285" s="200"/>
      <c r="L285" s="961">
        <f>'Acq Proj'!L158</f>
        <v>260</v>
      </c>
      <c r="M285" s="961">
        <f>'Acq Proj'!M158</f>
        <v>260</v>
      </c>
      <c r="N285" s="961">
        <f>'Acq Proj'!N158</f>
        <v>270</v>
      </c>
      <c r="O285" s="961">
        <f>'Acq Proj'!O158</f>
        <v>280</v>
      </c>
      <c r="P285" s="961">
        <f>'Acq Proj'!P158</f>
        <v>290</v>
      </c>
      <c r="Q285" s="961">
        <f>'Acq Proj'!Q158</f>
        <v>300</v>
      </c>
    </row>
    <row r="286" spans="1:18" ht="12.75" customHeight="1">
      <c r="B286" s="3" t="s">
        <v>455</v>
      </c>
      <c r="J286" s="200"/>
      <c r="K286" s="200"/>
      <c r="L286" s="961">
        <f>'Acq Proj'!L159</f>
        <v>260</v>
      </c>
      <c r="M286" s="961">
        <f>'Acq Proj'!M159</f>
        <v>265</v>
      </c>
      <c r="N286" s="961">
        <f>'Acq Proj'!N159</f>
        <v>275</v>
      </c>
      <c r="O286" s="961">
        <f>'Acq Proj'!O159</f>
        <v>285</v>
      </c>
      <c r="P286" s="961">
        <f>'Acq Proj'!P159</f>
        <v>295</v>
      </c>
      <c r="Q286" s="961">
        <f>'Acq Proj'!Q159</f>
        <v>305</v>
      </c>
    </row>
    <row r="287" spans="1:18" ht="12.75" customHeight="1">
      <c r="B287" s="3" t="s">
        <v>456</v>
      </c>
      <c r="J287" s="200"/>
      <c r="K287" s="200"/>
      <c r="L287" s="961">
        <f>'Acq Proj'!L160</f>
        <v>260</v>
      </c>
      <c r="M287" s="961">
        <f>'Acq Proj'!M160</f>
        <v>270</v>
      </c>
      <c r="N287" s="961">
        <f>'Acq Proj'!N160</f>
        <v>280</v>
      </c>
      <c r="O287" s="961">
        <f>'Acq Proj'!O160</f>
        <v>290</v>
      </c>
      <c r="P287" s="961">
        <f>'Acq Proj'!P160</f>
        <v>300</v>
      </c>
      <c r="Q287" s="961">
        <f>'Acq Proj'!Q160</f>
        <v>310</v>
      </c>
    </row>
    <row r="288" spans="1:18" ht="12.75" customHeight="1">
      <c r="B288" s="151" t="s">
        <v>457</v>
      </c>
      <c r="J288" s="200"/>
      <c r="K288" s="200"/>
      <c r="L288" s="962">
        <f t="shared" ref="L288:Q288" si="51">AVERAGE(L285:L287)</f>
        <v>260</v>
      </c>
      <c r="M288" s="962">
        <f t="shared" si="51"/>
        <v>265</v>
      </c>
      <c r="N288" s="962">
        <f t="shared" si="51"/>
        <v>275</v>
      </c>
      <c r="O288" s="962">
        <f t="shared" si="51"/>
        <v>285</v>
      </c>
      <c r="P288" s="962">
        <f t="shared" si="51"/>
        <v>295</v>
      </c>
      <c r="Q288" s="963">
        <f t="shared" si="51"/>
        <v>305</v>
      </c>
    </row>
    <row r="289" spans="1:18" ht="12.75" customHeight="1">
      <c r="B289" s="151"/>
      <c r="J289" s="200"/>
      <c r="K289" s="200"/>
      <c r="L289" s="200"/>
      <c r="M289" s="200"/>
      <c r="N289" s="200"/>
      <c r="O289" s="200"/>
      <c r="P289" s="200"/>
      <c r="Q289" s="200"/>
    </row>
    <row r="290" spans="1:18" ht="12.75" customHeight="1">
      <c r="B290" s="151"/>
      <c r="E290" s="142" t="s">
        <v>466</v>
      </c>
      <c r="G290" s="363" t="s">
        <v>460</v>
      </c>
      <c r="H290" s="363"/>
      <c r="J290" s="200"/>
      <c r="K290" s="200"/>
      <c r="L290" s="200"/>
      <c r="M290" s="200"/>
      <c r="N290" s="200"/>
      <c r="O290" s="200"/>
      <c r="P290" s="200"/>
      <c r="Q290" s="200"/>
    </row>
    <row r="291" spans="1:18" ht="12.75" customHeight="1">
      <c r="B291" s="379" t="s">
        <v>458</v>
      </c>
      <c r="E291" s="142" t="s">
        <v>463</v>
      </c>
      <c r="F291" s="104" t="s">
        <v>467</v>
      </c>
      <c r="G291" s="104" t="s">
        <v>461</v>
      </c>
      <c r="H291" s="104" t="s">
        <v>462</v>
      </c>
      <c r="J291" s="200"/>
      <c r="K291" s="200"/>
      <c r="L291" s="200"/>
      <c r="M291" s="200"/>
      <c r="N291" s="200"/>
      <c r="O291" s="200"/>
      <c r="P291" s="200"/>
      <c r="Q291" s="200"/>
    </row>
    <row r="292" spans="1:18" ht="12.75" customHeight="1">
      <c r="B292" s="1029" t="str">
        <f>+B271</f>
        <v>$250mm Revolver</v>
      </c>
      <c r="E292" s="964" t="str">
        <f>+V33</f>
        <v>L</v>
      </c>
      <c r="F292" s="965">
        <f>+W33</f>
        <v>0</v>
      </c>
      <c r="G292" s="962">
        <f>+X33</f>
        <v>250</v>
      </c>
      <c r="H292" s="963">
        <f>+Y33</f>
        <v>0</v>
      </c>
      <c r="J292" s="200"/>
      <c r="K292" s="200"/>
      <c r="L292" s="870">
        <f t="shared" ref="L292:Q297" si="52">IF($E292="F",$F292,(MAX(L$288,$H292)+$G292)/10000)</f>
        <v>5.0999999999999997E-2</v>
      </c>
      <c r="M292" s="870">
        <f t="shared" si="52"/>
        <v>5.1499999999999997E-2</v>
      </c>
      <c r="N292" s="870">
        <f t="shared" si="52"/>
        <v>5.2499999999999998E-2</v>
      </c>
      <c r="O292" s="870">
        <f t="shared" si="52"/>
        <v>5.3499999999999999E-2</v>
      </c>
      <c r="P292" s="870">
        <f t="shared" si="52"/>
        <v>5.45E-2</v>
      </c>
      <c r="Q292" s="870">
        <f t="shared" si="52"/>
        <v>5.5500000000000001E-2</v>
      </c>
    </row>
    <row r="293" spans="1:18" ht="12.75" customHeight="1">
      <c r="B293" s="160" t="str">
        <f>+B272</f>
        <v>Undrawn Revolver Fee</v>
      </c>
      <c r="E293" s="966" t="str">
        <f>'Acq Proj'!E166</f>
        <v>F</v>
      </c>
      <c r="F293" s="967">
        <f>'Acq Proj'!F166</f>
        <v>0</v>
      </c>
      <c r="G293" s="961">
        <f>'Acq Proj'!G166</f>
        <v>25</v>
      </c>
      <c r="H293" s="961">
        <f>'Acq Proj'!H166</f>
        <v>0.02</v>
      </c>
      <c r="J293" s="200"/>
      <c r="K293" s="200"/>
      <c r="L293" s="870">
        <f t="shared" si="52"/>
        <v>0</v>
      </c>
      <c r="M293" s="870">
        <f t="shared" si="52"/>
        <v>0</v>
      </c>
      <c r="N293" s="870">
        <f t="shared" si="52"/>
        <v>0</v>
      </c>
      <c r="O293" s="870">
        <f t="shared" si="52"/>
        <v>0</v>
      </c>
      <c r="P293" s="870">
        <f t="shared" si="52"/>
        <v>0</v>
      </c>
      <c r="Q293" s="870">
        <f t="shared" si="52"/>
        <v>0</v>
      </c>
    </row>
    <row r="294" spans="1:18" ht="12.75" customHeight="1">
      <c r="B294" s="1029" t="str">
        <f>+B273</f>
        <v>Term Loan</v>
      </c>
      <c r="E294" s="142" t="str">
        <f t="shared" ref="E294:H296" si="53">+V34</f>
        <v>L</v>
      </c>
      <c r="F294" s="870">
        <f t="shared" si="53"/>
        <v>0</v>
      </c>
      <c r="G294" s="968">
        <f t="shared" si="53"/>
        <v>450</v>
      </c>
      <c r="H294" s="968">
        <f t="shared" si="53"/>
        <v>0</v>
      </c>
      <c r="J294" s="200"/>
      <c r="K294" s="200"/>
      <c r="L294" s="870">
        <f t="shared" si="52"/>
        <v>7.0999999999999994E-2</v>
      </c>
      <c r="M294" s="870">
        <f t="shared" si="52"/>
        <v>7.1499999999999994E-2</v>
      </c>
      <c r="N294" s="870">
        <f t="shared" si="52"/>
        <v>7.2499999999999995E-2</v>
      </c>
      <c r="O294" s="870">
        <f t="shared" si="52"/>
        <v>7.3499999999999996E-2</v>
      </c>
      <c r="P294" s="870">
        <f t="shared" si="52"/>
        <v>7.4499999999999997E-2</v>
      </c>
      <c r="Q294" s="870">
        <f t="shared" si="52"/>
        <v>7.5499999999999998E-2</v>
      </c>
    </row>
    <row r="295" spans="1:18" ht="12.75" customHeight="1">
      <c r="B295" s="160" t="str">
        <f>+B274</f>
        <v>Senior Notes</v>
      </c>
      <c r="E295" s="142" t="str">
        <f t="shared" si="53"/>
        <v>F</v>
      </c>
      <c r="F295" s="870">
        <f t="shared" si="53"/>
        <v>0.08</v>
      </c>
      <c r="G295" s="968">
        <f t="shared" si="53"/>
        <v>0</v>
      </c>
      <c r="H295" s="968">
        <f t="shared" si="53"/>
        <v>0</v>
      </c>
      <c r="J295" s="200"/>
      <c r="K295" s="200"/>
      <c r="L295" s="870">
        <f t="shared" si="52"/>
        <v>0.08</v>
      </c>
      <c r="M295" s="870">
        <f t="shared" si="52"/>
        <v>0.08</v>
      </c>
      <c r="N295" s="870">
        <f t="shared" si="52"/>
        <v>0.08</v>
      </c>
      <c r="O295" s="870">
        <f t="shared" si="52"/>
        <v>0.08</v>
      </c>
      <c r="P295" s="870">
        <f t="shared" si="52"/>
        <v>0.08</v>
      </c>
      <c r="Q295" s="870">
        <f t="shared" si="52"/>
        <v>0.08</v>
      </c>
    </row>
    <row r="296" spans="1:18" ht="12.75" customHeight="1">
      <c r="B296" s="160" t="str">
        <f>+B276</f>
        <v>Amortization of Deferred Financing Fees and OID</v>
      </c>
      <c r="E296" s="142" t="str">
        <f t="shared" si="53"/>
        <v>F</v>
      </c>
      <c r="F296" s="870">
        <f t="shared" si="53"/>
        <v>0.11</v>
      </c>
      <c r="G296" s="968">
        <f t="shared" si="53"/>
        <v>0</v>
      </c>
      <c r="H296" s="968">
        <f t="shared" si="53"/>
        <v>0</v>
      </c>
      <c r="J296" s="200"/>
      <c r="K296" s="200"/>
      <c r="L296" s="870">
        <f t="shared" si="52"/>
        <v>0.11</v>
      </c>
      <c r="M296" s="870">
        <f t="shared" si="52"/>
        <v>0.11</v>
      </c>
      <c r="N296" s="870">
        <f t="shared" si="52"/>
        <v>0.11</v>
      </c>
      <c r="O296" s="870">
        <f t="shared" si="52"/>
        <v>0.11</v>
      </c>
      <c r="P296" s="870">
        <f t="shared" si="52"/>
        <v>0.11</v>
      </c>
      <c r="Q296" s="870">
        <f t="shared" si="52"/>
        <v>0.11</v>
      </c>
    </row>
    <row r="297" spans="1:18" ht="12.75" customHeight="1">
      <c r="B297" s="160" t="str">
        <f>+B279</f>
        <v>Interest Income</v>
      </c>
      <c r="E297" s="966" t="str">
        <f>'Acq Proj'!E170</f>
        <v>F</v>
      </c>
      <c r="F297" s="967">
        <f>'Acq Proj'!F170</f>
        <v>5.0000000000000001E-3</v>
      </c>
      <c r="G297" s="961">
        <f>'Acq Proj'!G170</f>
        <v>0</v>
      </c>
      <c r="H297" s="961">
        <f>'Acq Proj'!H170</f>
        <v>0.02</v>
      </c>
      <c r="J297" s="200"/>
      <c r="K297" s="200"/>
      <c r="L297" s="870">
        <f t="shared" si="52"/>
        <v>5.0000000000000001E-3</v>
      </c>
      <c r="M297" s="870">
        <f t="shared" si="52"/>
        <v>5.0000000000000001E-3</v>
      </c>
      <c r="N297" s="870">
        <f t="shared" si="52"/>
        <v>5.0000000000000001E-3</v>
      </c>
      <c r="O297" s="870">
        <f t="shared" si="52"/>
        <v>5.0000000000000001E-3</v>
      </c>
      <c r="P297" s="870">
        <f t="shared" si="52"/>
        <v>5.0000000000000001E-3</v>
      </c>
      <c r="Q297" s="870">
        <f t="shared" si="52"/>
        <v>5.0000000000000001E-3</v>
      </c>
    </row>
    <row r="298" spans="1:18" ht="12.75" customHeight="1">
      <c r="J298" s="200"/>
      <c r="K298" s="200"/>
      <c r="L298" s="200"/>
      <c r="M298" s="200"/>
      <c r="N298" s="200"/>
      <c r="O298" s="200"/>
      <c r="P298" s="200"/>
      <c r="Q298" s="200"/>
    </row>
    <row r="299" spans="1:18" ht="15.95" customHeight="1" collapsed="1" thickBot="1">
      <c r="A299" s="4" t="s">
        <v>167</v>
      </c>
      <c r="B299" s="628" t="s">
        <v>528</v>
      </c>
      <c r="C299" s="628"/>
      <c r="D299" s="629"/>
      <c r="E299" s="629"/>
      <c r="F299" s="629"/>
      <c r="G299" s="629"/>
      <c r="H299" s="629"/>
      <c r="I299" s="629"/>
      <c r="J299" s="629"/>
      <c r="K299" s="629"/>
      <c r="L299" s="629"/>
      <c r="M299" s="629"/>
      <c r="N299" s="629"/>
      <c r="O299" s="630"/>
      <c r="P299" s="630"/>
      <c r="Q299" s="630"/>
      <c r="R299" s="994"/>
    </row>
    <row r="300" spans="1:18" ht="15" customHeight="1">
      <c r="B300" s="1100" t="str">
        <f>B$126</f>
        <v>Fiscal Year Ended December 31,</v>
      </c>
      <c r="C300" s="640"/>
      <c r="D300" s="640"/>
      <c r="E300" s="640"/>
      <c r="F300" s="640"/>
      <c r="G300" s="640"/>
      <c r="H300" s="640"/>
      <c r="I300" s="959"/>
      <c r="J300" s="959"/>
      <c r="K300" s="959"/>
      <c r="L300" s="899"/>
      <c r="M300" s="463">
        <f>M$126</f>
        <v>2020</v>
      </c>
      <c r="N300" s="463">
        <f>N$126</f>
        <v>2021</v>
      </c>
      <c r="O300" s="463">
        <f>O$126</f>
        <v>2022</v>
      </c>
      <c r="P300" s="463">
        <f>P$126</f>
        <v>2023</v>
      </c>
      <c r="Q300" s="463">
        <f>Q$126</f>
        <v>2024</v>
      </c>
    </row>
    <row r="301" spans="1:18" ht="15" customHeight="1">
      <c r="B301" s="3" t="s">
        <v>529</v>
      </c>
      <c r="J301" s="200"/>
      <c r="K301" s="200"/>
      <c r="L301" s="200"/>
      <c r="M301" s="840">
        <f ca="1">+M137</f>
        <v>9.2624727514288629</v>
      </c>
      <c r="N301" s="840">
        <f ca="1">+N137</f>
        <v>14.804261002735142</v>
      </c>
      <c r="O301" s="840">
        <f ca="1">+O137</f>
        <v>20.657839696788852</v>
      </c>
      <c r="P301" s="840">
        <f ca="1">+P137</f>
        <v>27.480186125047016</v>
      </c>
      <c r="Q301" s="840">
        <f ca="1">+Q137</f>
        <v>35.401417012937813</v>
      </c>
    </row>
    <row r="302" spans="1:18" ht="12.75" customHeight="1">
      <c r="B302" s="3" t="s">
        <v>533</v>
      </c>
      <c r="J302" s="200"/>
      <c r="K302" s="200"/>
      <c r="L302" s="780"/>
      <c r="M302" s="822">
        <f ca="1">+M133</f>
        <v>5.0914531312067108</v>
      </c>
      <c r="N302" s="822">
        <f ca="1">+N133</f>
        <v>5.0914531312067108</v>
      </c>
      <c r="O302" s="822">
        <f ca="1">+O133</f>
        <v>5.0914531312067108</v>
      </c>
      <c r="P302" s="822">
        <f ca="1">+P133</f>
        <v>5.0914531312067108</v>
      </c>
      <c r="Q302" s="822">
        <f ca="1">+Q133</f>
        <v>5.0914531312067108</v>
      </c>
    </row>
    <row r="303" spans="1:18" ht="12.75" customHeight="1">
      <c r="B303" s="151" t="s">
        <v>530</v>
      </c>
      <c r="J303" s="200"/>
      <c r="K303" s="200"/>
      <c r="L303" s="780"/>
      <c r="M303" s="863">
        <f ca="1">SUM(M301:M302)</f>
        <v>14.353925882635574</v>
      </c>
      <c r="N303" s="863">
        <f ca="1">SUM(N301:N302)</f>
        <v>19.895714133941851</v>
      </c>
      <c r="O303" s="863">
        <f ca="1">SUM(O301:O302)</f>
        <v>25.749292827995561</v>
      </c>
      <c r="P303" s="863">
        <f ca="1">SUM(P301:P302)</f>
        <v>32.571639256253725</v>
      </c>
      <c r="Q303" s="863">
        <f ca="1">SUM(Q301:Q302)</f>
        <v>40.492870144144526</v>
      </c>
    </row>
    <row r="304" spans="1:18" ht="12.75" customHeight="1">
      <c r="J304" s="200"/>
      <c r="K304" s="200"/>
      <c r="L304" s="780"/>
      <c r="M304" s="969"/>
      <c r="N304" s="969"/>
      <c r="O304" s="969"/>
      <c r="P304" s="969"/>
      <c r="Q304" s="969"/>
    </row>
    <row r="305" spans="1:18" ht="12.75" customHeight="1">
      <c r="B305" s="3" t="s">
        <v>531</v>
      </c>
      <c r="J305" s="200"/>
      <c r="K305" s="200"/>
      <c r="L305" s="970"/>
      <c r="M305" s="840">
        <f ca="1">+M138</f>
        <v>2.3156181878572157</v>
      </c>
      <c r="N305" s="840">
        <f ca="1">+N138</f>
        <v>3.7010652506837856</v>
      </c>
      <c r="O305" s="840">
        <f ca="1">+O138</f>
        <v>5.1644599241972129</v>
      </c>
      <c r="P305" s="840">
        <f ca="1">+P138</f>
        <v>6.870046531261754</v>
      </c>
      <c r="Q305" s="840">
        <f ca="1">+Q138</f>
        <v>8.8503542532344532</v>
      </c>
    </row>
    <row r="306" spans="1:18" ht="12.75" customHeight="1">
      <c r="B306" s="3" t="s">
        <v>532</v>
      </c>
      <c r="J306" s="200"/>
      <c r="K306" s="200"/>
      <c r="L306" s="970"/>
      <c r="M306" s="822">
        <f ca="1">+M303*M142</f>
        <v>3.5884814706588934</v>
      </c>
      <c r="N306" s="822">
        <f ca="1">+N303*N142</f>
        <v>4.9739285334854628</v>
      </c>
      <c r="O306" s="822">
        <f ca="1">+O303*O142</f>
        <v>6.4373232069988902</v>
      </c>
      <c r="P306" s="822">
        <f ca="1">+P303*P142</f>
        <v>8.1429098140634313</v>
      </c>
      <c r="Q306" s="822">
        <f ca="1">+Q303*Q142</f>
        <v>10.123217536036131</v>
      </c>
    </row>
    <row r="307" spans="1:18" ht="12.75" customHeight="1">
      <c r="B307" s="151" t="s">
        <v>526</v>
      </c>
      <c r="J307" s="200"/>
      <c r="K307" s="200"/>
      <c r="L307" s="970"/>
      <c r="M307" s="763">
        <f ca="1">M305-M306</f>
        <v>-1.2728632828016777</v>
      </c>
      <c r="N307" s="763">
        <f ca="1">N305-N306</f>
        <v>-1.2728632828016773</v>
      </c>
      <c r="O307" s="763">
        <f ca="1">O305-O306</f>
        <v>-1.2728632828016773</v>
      </c>
      <c r="P307" s="763">
        <f ca="1">P305-P306</f>
        <v>-1.2728632828016773</v>
      </c>
      <c r="Q307" s="763">
        <f ca="1">Q305-Q306</f>
        <v>-1.2728632828016782</v>
      </c>
    </row>
    <row r="308" spans="1:18" ht="12.75" customHeight="1">
      <c r="B308" s="151"/>
      <c r="J308" s="200"/>
      <c r="K308" s="200"/>
      <c r="L308" s="200"/>
      <c r="M308" s="200"/>
      <c r="N308" s="200"/>
      <c r="O308" s="200"/>
      <c r="P308" s="200"/>
      <c r="Q308" s="200"/>
    </row>
    <row r="309" spans="1:18" ht="15.95" customHeight="1" collapsed="1" thickBot="1">
      <c r="A309" s="4" t="s">
        <v>167</v>
      </c>
      <c r="B309" s="628" t="s">
        <v>144</v>
      </c>
      <c r="C309" s="629"/>
      <c r="D309" s="629"/>
      <c r="E309" s="629"/>
      <c r="F309" s="629"/>
      <c r="G309" s="629"/>
      <c r="H309" s="629"/>
      <c r="I309" s="629"/>
      <c r="J309" s="629"/>
      <c r="K309" s="629"/>
      <c r="L309" s="629"/>
      <c r="M309" s="629"/>
      <c r="N309" s="629"/>
      <c r="O309" s="630"/>
      <c r="P309" s="630"/>
      <c r="Q309" s="630"/>
      <c r="R309" s="630"/>
    </row>
    <row r="310" spans="1:18">
      <c r="B310" s="895" t="str">
        <f>$B$126</f>
        <v>Fiscal Year Ended December 31,</v>
      </c>
      <c r="C310" s="461"/>
      <c r="D310" s="461"/>
      <c r="E310" s="461"/>
      <c r="F310" s="461"/>
      <c r="G310" s="461"/>
      <c r="H310" s="461"/>
      <c r="I310" s="461"/>
      <c r="J310" s="461"/>
      <c r="K310" s="461"/>
      <c r="L310" s="899"/>
      <c r="M310" s="463">
        <f>M$126</f>
        <v>2020</v>
      </c>
      <c r="N310" s="463">
        <f>N$126</f>
        <v>2021</v>
      </c>
      <c r="O310" s="463">
        <f>O$126</f>
        <v>2022</v>
      </c>
      <c r="P310" s="463">
        <f>P$126</f>
        <v>2023</v>
      </c>
      <c r="Q310" s="463">
        <f>Q$126</f>
        <v>2024</v>
      </c>
      <c r="R310" s="96"/>
    </row>
    <row r="311" spans="1:18" ht="15" customHeight="1">
      <c r="B311" s="3" t="s">
        <v>159</v>
      </c>
      <c r="R311" s="3"/>
    </row>
    <row r="312" spans="1:18" ht="12.75" customHeight="1">
      <c r="C312" s="1101">
        <f>+C313-'Acq LBO Tables'!$H$11*2</f>
        <v>8</v>
      </c>
      <c r="M312" s="161">
        <f t="shared" ref="M312:Q314" si="54">$C312*M$130</f>
        <v>360</v>
      </c>
      <c r="N312" s="161">
        <f t="shared" si="54"/>
        <v>411.42857142857144</v>
      </c>
      <c r="O312" s="161">
        <f t="shared" si="54"/>
        <v>462.85714285714283</v>
      </c>
      <c r="P312" s="161">
        <f t="shared" si="54"/>
        <v>520.71428571428567</v>
      </c>
      <c r="Q312" s="161">
        <f t="shared" si="54"/>
        <v>585.80357142857144</v>
      </c>
      <c r="R312" s="3"/>
    </row>
    <row r="313" spans="1:18" ht="12.75" customHeight="1">
      <c r="C313" s="1101">
        <f>aexit</f>
        <v>10</v>
      </c>
      <c r="M313" s="161">
        <f t="shared" si="54"/>
        <v>450</v>
      </c>
      <c r="N313" s="161">
        <f t="shared" si="54"/>
        <v>514.28571428571433</v>
      </c>
      <c r="O313" s="161">
        <f t="shared" si="54"/>
        <v>578.57142857142856</v>
      </c>
      <c r="P313" s="161">
        <f t="shared" si="54"/>
        <v>650.89285714285711</v>
      </c>
      <c r="Q313" s="161">
        <f t="shared" si="54"/>
        <v>732.25446428571433</v>
      </c>
      <c r="R313" s="3"/>
    </row>
    <row r="314" spans="1:18" ht="12.75" customHeight="1">
      <c r="C314" s="1101">
        <f>+C313+'Acq LBO Tables'!$H$11*2</f>
        <v>12</v>
      </c>
      <c r="M314" s="161">
        <f t="shared" si="54"/>
        <v>540</v>
      </c>
      <c r="N314" s="161">
        <f t="shared" si="54"/>
        <v>617.14285714285711</v>
      </c>
      <c r="O314" s="161">
        <f t="shared" si="54"/>
        <v>694.28571428571422</v>
      </c>
      <c r="P314" s="161">
        <f t="shared" si="54"/>
        <v>781.07142857142844</v>
      </c>
      <c r="Q314" s="161">
        <f t="shared" si="54"/>
        <v>878.70535714285711</v>
      </c>
      <c r="R314" s="3"/>
    </row>
    <row r="315" spans="1:18" ht="12.75" customHeight="1">
      <c r="C315" s="695"/>
      <c r="M315" s="161"/>
      <c r="N315" s="161"/>
      <c r="O315" s="161"/>
      <c r="P315" s="161"/>
      <c r="Q315" s="161"/>
      <c r="R315" s="3"/>
    </row>
    <row r="316" spans="1:18" ht="12.75" customHeight="1">
      <c r="B316" s="3" t="s">
        <v>160</v>
      </c>
      <c r="R316" s="3"/>
    </row>
    <row r="317" spans="1:18" ht="12.75" customHeight="1">
      <c r="C317" s="695">
        <f>+C$312</f>
        <v>8</v>
      </c>
      <c r="M317" s="161">
        <f t="shared" ref="M317:Q319" ca="1" si="55">M312-M$180-M$184-M$185+M$164</f>
        <v>135.91750720658948</v>
      </c>
      <c r="N317" s="161">
        <f t="shared" ca="1" si="55"/>
        <v>198.63421274451582</v>
      </c>
      <c r="O317" s="161">
        <f t="shared" ca="1" si="55"/>
        <v>265.45538801726809</v>
      </c>
      <c r="P317" s="161">
        <f t="shared" ca="1" si="55"/>
        <v>343.11306756768346</v>
      </c>
      <c r="Q317" s="161">
        <f t="shared" ca="1" si="55"/>
        <v>433.14638279754513</v>
      </c>
      <c r="R317" s="3"/>
    </row>
    <row r="318" spans="1:18" ht="12.75" customHeight="1">
      <c r="C318" s="695">
        <f>+C$313</f>
        <v>10</v>
      </c>
      <c r="M318" s="161">
        <f t="shared" ca="1" si="55"/>
        <v>225.91750720658948</v>
      </c>
      <c r="N318" s="161">
        <f t="shared" ca="1" si="55"/>
        <v>301.49135560165871</v>
      </c>
      <c r="O318" s="161">
        <f t="shared" ca="1" si="55"/>
        <v>381.16967373155381</v>
      </c>
      <c r="P318" s="161">
        <f t="shared" ca="1" si="55"/>
        <v>473.2916389962549</v>
      </c>
      <c r="Q318" s="161">
        <f t="shared" ca="1" si="55"/>
        <v>579.59727565468802</v>
      </c>
      <c r="R318" s="3"/>
    </row>
    <row r="319" spans="1:18" ht="12.75" customHeight="1">
      <c r="C319" s="695">
        <f>+C$314</f>
        <v>12</v>
      </c>
      <c r="M319" s="161">
        <f t="shared" ca="1" si="55"/>
        <v>315.91750720658945</v>
      </c>
      <c r="N319" s="161">
        <f t="shared" ca="1" si="55"/>
        <v>404.34849845880149</v>
      </c>
      <c r="O319" s="161">
        <f t="shared" ca="1" si="55"/>
        <v>496.88395944583948</v>
      </c>
      <c r="P319" s="161">
        <f t="shared" ca="1" si="55"/>
        <v>603.47021042482629</v>
      </c>
      <c r="Q319" s="161">
        <f t="shared" ca="1" si="55"/>
        <v>726.0481685118308</v>
      </c>
      <c r="R319" s="3"/>
    </row>
    <row r="320" spans="1:18" ht="12.75" customHeight="1">
      <c r="C320" s="695"/>
      <c r="M320" s="161"/>
      <c r="N320" s="161"/>
      <c r="O320" s="161"/>
      <c r="P320" s="161"/>
      <c r="Q320" s="161"/>
      <c r="R320" s="3"/>
    </row>
    <row r="321" spans="1:18" ht="12.75" customHeight="1">
      <c r="B321" s="3" t="str">
        <f ca="1">"Equity Value to Management @ "&amp;TEXT(P19,"0.0%")&amp;" Over Initial Equity of $"&amp;FIXED($L$20,0)&amp;"mm"</f>
        <v>Equity Value to Management @ 10.0% Over Initial Equity of $145mm</v>
      </c>
      <c r="R321" s="3"/>
    </row>
    <row r="322" spans="1:18" ht="12.75" customHeight="1">
      <c r="C322" s="695">
        <f>+C$312</f>
        <v>8</v>
      </c>
      <c r="M322" s="161">
        <f t="shared" ref="M322:Q324" ca="1" si="56">MAX(M317-$L$20,0)*$P$19</f>
        <v>0</v>
      </c>
      <c r="N322" s="161">
        <f t="shared" ca="1" si="56"/>
        <v>5.344805762896744</v>
      </c>
      <c r="O322" s="161">
        <f t="shared" ca="1" si="56"/>
        <v>12.026923290171972</v>
      </c>
      <c r="P322" s="161">
        <f t="shared" ca="1" si="56"/>
        <v>19.792691245213508</v>
      </c>
      <c r="Q322" s="161">
        <f t="shared" ca="1" si="56"/>
        <v>28.796022768199677</v>
      </c>
      <c r="R322" s="3"/>
    </row>
    <row r="323" spans="1:18" ht="12.75" customHeight="1">
      <c r="C323" s="695">
        <f>+C$313</f>
        <v>10</v>
      </c>
      <c r="M323" s="161">
        <f t="shared" ca="1" si="56"/>
        <v>8.0731352091041089</v>
      </c>
      <c r="N323" s="161">
        <f t="shared" ca="1" si="56"/>
        <v>15.630520048611032</v>
      </c>
      <c r="O323" s="161">
        <f t="shared" ca="1" si="56"/>
        <v>23.598351861600545</v>
      </c>
      <c r="P323" s="161">
        <f t="shared" ca="1" si="56"/>
        <v>32.81054838807065</v>
      </c>
      <c r="Q323" s="161">
        <f t="shared" ca="1" si="56"/>
        <v>43.441112053913969</v>
      </c>
      <c r="R323" s="3"/>
    </row>
    <row r="324" spans="1:18" ht="12.75" customHeight="1">
      <c r="C324" s="695">
        <f>+C$314</f>
        <v>12</v>
      </c>
      <c r="M324" s="161">
        <f t="shared" ca="1" si="56"/>
        <v>17.073135209104105</v>
      </c>
      <c r="N324" s="161">
        <f t="shared" ca="1" si="56"/>
        <v>25.91623433432531</v>
      </c>
      <c r="O324" s="161">
        <f t="shared" ca="1" si="56"/>
        <v>35.169780433029111</v>
      </c>
      <c r="P324" s="161">
        <f t="shared" ca="1" si="56"/>
        <v>45.828405530927796</v>
      </c>
      <c r="Q324" s="161">
        <f t="shared" ca="1" si="56"/>
        <v>58.086201339628246</v>
      </c>
      <c r="R324" s="3"/>
    </row>
    <row r="325" spans="1:18" ht="12.75" customHeight="1">
      <c r="C325" s="695"/>
      <c r="M325" s="161"/>
      <c r="N325" s="161"/>
      <c r="O325" s="161"/>
      <c r="P325" s="161"/>
      <c r="Q325" s="161"/>
      <c r="R325" s="3"/>
    </row>
    <row r="326" spans="1:18" ht="12.75" customHeight="1">
      <c r="B326" s="3" t="s">
        <v>245</v>
      </c>
      <c r="R326" s="3"/>
    </row>
    <row r="327" spans="1:18" ht="12.75" customHeight="1">
      <c r="C327" s="695">
        <f>+C$312</f>
        <v>8</v>
      </c>
      <c r="M327" s="161">
        <f t="shared" ref="M327:Q329" ca="1" si="57">M317-M322</f>
        <v>135.91750720658948</v>
      </c>
      <c r="N327" s="161">
        <f t="shared" ca="1" si="57"/>
        <v>193.28940698161907</v>
      </c>
      <c r="O327" s="161">
        <f t="shared" ca="1" si="57"/>
        <v>253.42846472709613</v>
      </c>
      <c r="P327" s="161">
        <f t="shared" ca="1" si="57"/>
        <v>323.32037632246994</v>
      </c>
      <c r="Q327" s="161">
        <f t="shared" ca="1" si="57"/>
        <v>404.35036002934544</v>
      </c>
      <c r="R327" s="3"/>
    </row>
    <row r="328" spans="1:18" ht="12.75" customHeight="1">
      <c r="C328" s="695">
        <f>+C$313</f>
        <v>10</v>
      </c>
      <c r="M328" s="161">
        <f t="shared" ca="1" si="57"/>
        <v>217.84437199748538</v>
      </c>
      <c r="N328" s="161">
        <f t="shared" ca="1" si="57"/>
        <v>285.86083555304765</v>
      </c>
      <c r="O328" s="161">
        <f t="shared" ca="1" si="57"/>
        <v>357.57132186995329</v>
      </c>
      <c r="P328" s="161">
        <f t="shared" ca="1" si="57"/>
        <v>440.48109060818427</v>
      </c>
      <c r="Q328" s="161">
        <f t="shared" ca="1" si="57"/>
        <v>536.15616360077411</v>
      </c>
      <c r="R328" s="3"/>
    </row>
    <row r="329" spans="1:18" ht="12.75" customHeight="1">
      <c r="C329" s="695">
        <f>+C$314</f>
        <v>12</v>
      </c>
      <c r="M329" s="161">
        <f t="shared" ca="1" si="57"/>
        <v>298.84437199748533</v>
      </c>
      <c r="N329" s="161">
        <f t="shared" ca="1" si="57"/>
        <v>378.43226412447621</v>
      </c>
      <c r="O329" s="161">
        <f t="shared" ca="1" si="57"/>
        <v>461.71417901281035</v>
      </c>
      <c r="P329" s="161">
        <f t="shared" ca="1" si="57"/>
        <v>557.64180489389855</v>
      </c>
      <c r="Q329" s="161">
        <f t="shared" ca="1" si="57"/>
        <v>667.96196717220255</v>
      </c>
      <c r="R329" s="3"/>
    </row>
    <row r="330" spans="1:18" ht="12.75" customHeight="1">
      <c r="C330" s="695"/>
      <c r="M330" s="1074"/>
      <c r="N330" s="1074"/>
      <c r="O330" s="1074"/>
      <c r="P330" s="1074"/>
      <c r="Q330" s="1074"/>
      <c r="R330" s="3"/>
    </row>
    <row r="331" spans="1:18" ht="12.75" customHeight="1">
      <c r="B331" s="4"/>
      <c r="C331" s="804"/>
      <c r="D331" s="4"/>
      <c r="E331" s="4"/>
      <c r="F331" s="4"/>
      <c r="G331" s="4"/>
      <c r="H331" s="4"/>
      <c r="I331" s="4"/>
      <c r="J331" s="4"/>
      <c r="K331" s="4"/>
      <c r="L331" s="4"/>
      <c r="M331" s="294"/>
      <c r="N331" s="294"/>
      <c r="O331" s="294"/>
      <c r="P331" s="294"/>
      <c r="Q331" s="294"/>
    </row>
    <row r="332" spans="1:18" ht="15.95" customHeight="1" collapsed="1" thickBot="1">
      <c r="A332" s="4" t="s">
        <v>167</v>
      </c>
      <c r="B332" s="628" t="s">
        <v>357</v>
      </c>
      <c r="C332" s="629"/>
      <c r="D332" s="629"/>
      <c r="E332" s="629"/>
      <c r="F332" s="629"/>
      <c r="G332" s="629"/>
      <c r="H332" s="629"/>
      <c r="I332" s="629"/>
      <c r="J332" s="629"/>
      <c r="K332" s="629"/>
      <c r="L332" s="629"/>
      <c r="M332" s="629"/>
      <c r="N332" s="629"/>
      <c r="O332" s="630"/>
      <c r="P332" s="630"/>
      <c r="Q332" s="630"/>
      <c r="R332" s="630"/>
    </row>
    <row r="333" spans="1:18">
      <c r="B333" s="895" t="str">
        <f>$B$126</f>
        <v>Fiscal Year Ended December 31,</v>
      </c>
      <c r="C333" s="896"/>
      <c r="D333" s="896"/>
      <c r="E333" s="896"/>
      <c r="F333" s="896"/>
      <c r="G333" s="896"/>
      <c r="H333" s="896"/>
      <c r="I333" s="896"/>
      <c r="J333" s="896"/>
      <c r="K333" s="896"/>
      <c r="L333" s="899">
        <f t="shared" ref="L333:Q333" si="58">L$126</f>
        <v>2019</v>
      </c>
      <c r="M333" s="463">
        <f t="shared" si="58"/>
        <v>2020</v>
      </c>
      <c r="N333" s="463">
        <f t="shared" si="58"/>
        <v>2021</v>
      </c>
      <c r="O333" s="463">
        <f t="shared" si="58"/>
        <v>2022</v>
      </c>
      <c r="P333" s="463">
        <f t="shared" si="58"/>
        <v>2023</v>
      </c>
      <c r="Q333" s="463">
        <f t="shared" si="58"/>
        <v>2024</v>
      </c>
      <c r="R333" s="1102" t="s">
        <v>164</v>
      </c>
    </row>
    <row r="334" spans="1:18" ht="15" customHeight="1">
      <c r="B334" s="139" t="s">
        <v>161</v>
      </c>
      <c r="R334" s="1103"/>
    </row>
    <row r="335" spans="1:18" ht="12.75" customHeight="1">
      <c r="B335" s="3" t="s">
        <v>162</v>
      </c>
      <c r="R335" s="1103"/>
    </row>
    <row r="336" spans="1:18" ht="12.75" customHeight="1">
      <c r="C336" s="695">
        <f>+C$312</f>
        <v>8</v>
      </c>
      <c r="L336" s="153">
        <f ca="1">-$L$20</f>
        <v>-145.18615511554839</v>
      </c>
      <c r="M336" s="185">
        <v>0</v>
      </c>
      <c r="N336" s="185">
        <v>0</v>
      </c>
      <c r="O336" s="185">
        <v>0</v>
      </c>
      <c r="P336" s="153">
        <f ca="1">P327</f>
        <v>323.32037632246994</v>
      </c>
      <c r="R336" s="1103">
        <f ca="1">IRR(L336:P336,0.1)</f>
        <v>0.22159421625903297</v>
      </c>
    </row>
    <row r="337" spans="2:18" ht="12.75" customHeight="1">
      <c r="C337" s="695">
        <f>+C$313</f>
        <v>10</v>
      </c>
      <c r="L337" s="161">
        <f ca="1">-$L$20</f>
        <v>-145.18615511554839</v>
      </c>
      <c r="M337" s="201">
        <v>0</v>
      </c>
      <c r="N337" s="201">
        <v>0</v>
      </c>
      <c r="O337" s="201">
        <v>0</v>
      </c>
      <c r="P337" s="161">
        <f ca="1">P328</f>
        <v>440.48109060818427</v>
      </c>
      <c r="R337" s="1103">
        <f ca="1">IRR(L337:P337,0.1)</f>
        <v>0.31977688063069087</v>
      </c>
    </row>
    <row r="338" spans="2:18" ht="12.75" customHeight="1">
      <c r="C338" s="695">
        <f>+C$314</f>
        <v>12</v>
      </c>
      <c r="L338" s="161">
        <f ca="1">-$L$20</f>
        <v>-145.18615511554839</v>
      </c>
      <c r="M338" s="201">
        <v>0</v>
      </c>
      <c r="N338" s="201">
        <v>0</v>
      </c>
      <c r="O338" s="201">
        <v>0</v>
      </c>
      <c r="P338" s="161">
        <f ca="1">P329</f>
        <v>557.64180489389855</v>
      </c>
      <c r="R338" s="1103">
        <f ca="1">IRR(L338:P338,0.1)</f>
        <v>0.39993389904123799</v>
      </c>
    </row>
    <row r="339" spans="2:18" ht="12.75" customHeight="1">
      <c r="C339" s="695"/>
      <c r="L339" s="161"/>
      <c r="M339" s="201"/>
      <c r="N339" s="201"/>
      <c r="O339" s="201"/>
      <c r="P339" s="161"/>
      <c r="R339" s="1103"/>
    </row>
    <row r="340" spans="2:18" ht="12.75" customHeight="1">
      <c r="B340" s="139" t="s">
        <v>163</v>
      </c>
      <c r="R340" s="1103"/>
    </row>
    <row r="341" spans="2:18" ht="12.75" customHeight="1">
      <c r="B341" s="3" t="s">
        <v>162</v>
      </c>
      <c r="R341" s="1103"/>
    </row>
    <row r="342" spans="2:18" ht="12.75" customHeight="1">
      <c r="C342" s="695">
        <f>+C$312</f>
        <v>8</v>
      </c>
      <c r="L342" s="153">
        <f ca="1">-$L$20</f>
        <v>-145.18615511554839</v>
      </c>
      <c r="M342" s="185">
        <v>0</v>
      </c>
      <c r="N342" s="185">
        <v>0</v>
      </c>
      <c r="O342" s="185">
        <v>0</v>
      </c>
      <c r="P342" s="185">
        <v>0</v>
      </c>
      <c r="Q342" s="153">
        <f ca="1">Q327</f>
        <v>404.35036002934544</v>
      </c>
      <c r="R342" s="1103">
        <f ca="1">IRR(L342:Q342,0.1)</f>
        <v>0.22734462775270559</v>
      </c>
    </row>
    <row r="343" spans="2:18" ht="12.75" customHeight="1">
      <c r="C343" s="695">
        <f>+C$313</f>
        <v>10</v>
      </c>
      <c r="L343" s="161">
        <f ca="1">-$L$20</f>
        <v>-145.18615511554839</v>
      </c>
      <c r="M343" s="201">
        <v>0</v>
      </c>
      <c r="N343" s="201">
        <v>0</v>
      </c>
      <c r="O343" s="201">
        <v>0</v>
      </c>
      <c r="P343" s="201">
        <v>0</v>
      </c>
      <c r="Q343" s="161">
        <f ca="1">Q328</f>
        <v>536.15616360077411</v>
      </c>
      <c r="R343" s="1103">
        <f ca="1">IRR(L343:Q343,0.1)</f>
        <v>0.29859348513399198</v>
      </c>
    </row>
    <row r="344" spans="2:18" ht="12.75" customHeight="1">
      <c r="C344" s="695">
        <f>+C$314</f>
        <v>12</v>
      </c>
      <c r="L344" s="161">
        <f ca="1">-$L$20</f>
        <v>-145.18615511554839</v>
      </c>
      <c r="M344" s="201">
        <v>0</v>
      </c>
      <c r="N344" s="201">
        <v>0</v>
      </c>
      <c r="O344" s="201">
        <v>0</v>
      </c>
      <c r="P344" s="201">
        <v>0</v>
      </c>
      <c r="Q344" s="161">
        <f ca="1">Q329</f>
        <v>667.96196717220255</v>
      </c>
      <c r="R344" s="1103">
        <f ca="1">IRR(L344:Q344,0.1)</f>
        <v>0.35695456429722716</v>
      </c>
    </row>
  </sheetData>
  <phoneticPr fontId="0" type="noConversion"/>
  <dataValidations disablePrompts="1" count="2">
    <dataValidation type="custom" allowBlank="1" showInputMessage="1" showErrorMessage="1" sqref="V34:V36">
      <formula1>OR(V34="F",V34="L")</formula1>
    </dataValidation>
    <dataValidation type="custom" allowBlank="1" showInputMessage="1" showErrorMessage="1" error="Enter &quot;F&quot; for fixed rate or &quot;L&quot; for LIBOR-based rate" sqref="V33 E292:E297">
      <formula1>OR(E33="F",E33="L")</formula1>
    </dataValidation>
  </dataValidations>
  <printOptions horizontalCentered="1"/>
  <pageMargins left="0.35" right="0.35" top="0.35" bottom="0.35" header="0.15" footer="0.15"/>
  <pageSetup scale="79" orientation="landscape" r:id="rId1"/>
  <headerFooter alignWithMargins="0"/>
  <rowBreaks count="9" manualBreakCount="9">
    <brk id="54" min="1" max="17" man="1"/>
    <brk id="87" min="1" max="17" man="1"/>
    <brk id="124" min="1" max="17" man="1"/>
    <brk id="160" min="1" max="17" man="1"/>
    <brk id="199" min="1" max="17" man="1"/>
    <brk id="232" min="1" max="17" man="1"/>
    <brk id="281" min="1" max="17" man="1"/>
    <brk id="298" max="16383" man="1"/>
    <brk id="308" min="1" max="17" man="1"/>
  </rowBreaks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indexed="43"/>
  </sheetPr>
  <dimension ref="A1:Z345"/>
  <sheetViews>
    <sheetView showGridLines="0" view="pageBreakPreview" zoomScale="85" zoomScaleNormal="100" zoomScaleSheetLayoutView="85" workbookViewId="0"/>
  </sheetViews>
  <sheetFormatPr defaultRowHeight="12.75" outlineLevelRow="1"/>
  <cols>
    <col min="1" max="1" width="2.83203125" style="4" customWidth="1"/>
    <col min="2" max="17" width="10.83203125" style="3" customWidth="1"/>
    <col min="18" max="18" width="10.83203125" style="1104" customWidth="1"/>
    <col min="19" max="16384" width="9.33203125" style="4"/>
  </cols>
  <sheetData>
    <row r="1" spans="1:26">
      <c r="A1" s="625"/>
    </row>
    <row r="2" spans="1:26" ht="23.25">
      <c r="B2" s="97" t="str">
        <f>proj</f>
        <v>Project MODEL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15" t="str">
        <f ca="1">IFERROR(IF(MAX(M241:Q241)&lt;F272,"","ERROR! REVOLVER BALANCE OVERDRAWN"),"")</f>
        <v/>
      </c>
    </row>
    <row r="3" spans="1:26" s="276" customFormat="1" ht="20.100000000000001" customHeight="1" thickBot="1">
      <c r="B3" s="98" t="str">
        <f>tar&amp;" - Leveraged Buy-Out Analysis"</f>
        <v>SG ENTERPRISES - Leveraged Buy-Out Analysis</v>
      </c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400"/>
      <c r="N3" s="395"/>
      <c r="O3" s="400"/>
      <c r="P3" s="400"/>
      <c r="Q3" s="400" t="str">
        <f>tcname</f>
        <v>Wall street consensus</v>
      </c>
      <c r="R3" s="1105"/>
    </row>
    <row r="4" spans="1:26">
      <c r="C4" s="7"/>
      <c r="D4" s="7"/>
      <c r="E4" s="7"/>
      <c r="F4" s="7"/>
      <c r="G4" s="7"/>
      <c r="H4" s="7"/>
      <c r="I4" s="7"/>
      <c r="J4" s="7"/>
      <c r="K4" s="7"/>
      <c r="L4" s="7"/>
      <c r="M4" s="989"/>
      <c r="N4" s="4"/>
      <c r="O4" s="989"/>
      <c r="P4" s="235"/>
      <c r="Q4" s="990" t="str">
        <f>'Tar Proj'!Q4</f>
        <v>Source: Research Provider</v>
      </c>
    </row>
    <row r="5" spans="1:26" ht="12.75" customHeight="1">
      <c r="B5" s="991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S5" s="7"/>
      <c r="T5" s="7"/>
      <c r="U5" s="7"/>
    </row>
    <row r="6" spans="1:26" ht="15.95" customHeight="1" collapsed="1">
      <c r="A6" s="4" t="s">
        <v>167</v>
      </c>
      <c r="B6" s="170" t="s">
        <v>0</v>
      </c>
      <c r="C6" s="992"/>
      <c r="D6" s="992"/>
      <c r="E6" s="992"/>
      <c r="F6" s="992"/>
      <c r="G6" s="992"/>
      <c r="H6" s="992"/>
      <c r="I6" s="992"/>
      <c r="J6" s="992"/>
      <c r="K6" s="992"/>
      <c r="L6" s="992"/>
      <c r="M6" s="993"/>
      <c r="N6" s="993"/>
      <c r="O6" s="993"/>
      <c r="P6" s="993"/>
      <c r="Q6" s="993"/>
    </row>
    <row r="7" spans="1:26" ht="3" customHeight="1">
      <c r="B7" s="995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S7" s="7"/>
      <c r="T7" s="7"/>
      <c r="U7" s="7"/>
    </row>
    <row r="8" spans="1:26" ht="12.75" customHeight="1">
      <c r="B8" s="176" t="str">
        <f>'Tar Spread Cover'!B4</f>
        <v>(Amounts in Millions, Except Per Share Data)</v>
      </c>
      <c r="C8" s="4"/>
      <c r="D8" s="4"/>
      <c r="E8" s="4"/>
      <c r="F8" s="4"/>
      <c r="G8" s="4"/>
      <c r="H8" s="18"/>
      <c r="I8" s="4"/>
      <c r="J8" s="4"/>
      <c r="K8" s="4"/>
      <c r="L8" s="4"/>
      <c r="M8" s="4"/>
      <c r="N8" s="4"/>
      <c r="O8" s="4"/>
      <c r="P8" s="4"/>
      <c r="Q8" s="4"/>
    </row>
    <row r="9" spans="1:26" ht="3" customHeight="1">
      <c r="B9" s="995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S9" s="7"/>
      <c r="T9" s="7"/>
      <c r="U9" s="7"/>
      <c r="V9" s="17"/>
      <c r="W9" s="17"/>
    </row>
    <row r="10" spans="1:26">
      <c r="B10" s="166" t="s">
        <v>16</v>
      </c>
      <c r="C10" s="717"/>
      <c r="D10" s="717"/>
      <c r="E10" s="717"/>
      <c r="F10" s="717"/>
      <c r="G10" s="717"/>
      <c r="H10" s="96"/>
      <c r="I10" s="166" t="s">
        <v>9</v>
      </c>
      <c r="J10" s="717"/>
      <c r="K10" s="717"/>
      <c r="L10" s="717"/>
      <c r="M10" s="717"/>
      <c r="N10" s="717"/>
      <c r="O10" s="717"/>
      <c r="P10" s="717"/>
      <c r="Q10" s="717"/>
      <c r="S10" s="7"/>
      <c r="T10" s="7"/>
      <c r="U10" s="7"/>
    </row>
    <row r="11" spans="1:26">
      <c r="B11" s="319" t="str">
        <f>"Current Price as of "&amp;TEXT(tdate,"m/d/y")</f>
        <v>Current Price as of 5/8/19</v>
      </c>
      <c r="G11" s="108">
        <f>tprice</f>
        <v>25</v>
      </c>
      <c r="M11" s="8" t="s">
        <v>136</v>
      </c>
      <c r="N11" s="104" t="s">
        <v>625</v>
      </c>
      <c r="O11" s="8" t="s">
        <v>153</v>
      </c>
      <c r="Q11" s="160"/>
      <c r="T11" s="736" t="s">
        <v>552</v>
      </c>
      <c r="U11" s="737"/>
      <c r="V11" s="737"/>
      <c r="W11" s="738"/>
      <c r="X11" s="85"/>
      <c r="Y11" s="739">
        <v>1</v>
      </c>
      <c r="Z11" s="740"/>
    </row>
    <row r="12" spans="1:26">
      <c r="B12" s="10" t="s">
        <v>146</v>
      </c>
      <c r="G12" s="728">
        <f ca="1">tlboprice</f>
        <v>35</v>
      </c>
      <c r="L12" s="104" t="s">
        <v>11</v>
      </c>
      <c r="M12" s="8" t="s">
        <v>137</v>
      </c>
      <c r="N12" s="142" t="s">
        <v>63</v>
      </c>
      <c r="O12" s="8" t="s">
        <v>10</v>
      </c>
      <c r="P12" s="8" t="s">
        <v>475</v>
      </c>
      <c r="Q12" s="104" t="s">
        <v>326</v>
      </c>
      <c r="S12" s="846"/>
      <c r="V12" s="27" t="s">
        <v>561</v>
      </c>
      <c r="W12" s="27" t="s">
        <v>553</v>
      </c>
      <c r="X12" s="27" t="s">
        <v>554</v>
      </c>
      <c r="Y12" s="27" t="s">
        <v>560</v>
      </c>
      <c r="Z12" s="27" t="s">
        <v>561</v>
      </c>
    </row>
    <row r="13" spans="1:26">
      <c r="B13" s="151" t="s">
        <v>344</v>
      </c>
      <c r="G13" s="200">
        <f ca="1">G12/G11-1</f>
        <v>0.39999999999999991</v>
      </c>
      <c r="I13" s="3" t="str">
        <f>TEXT(Q58,"$#,##0")&amp;"mm Revolver"</f>
        <v>$250mm Revolver</v>
      </c>
      <c r="L13" s="997">
        <f ca="1">+Y13</f>
        <v>0</v>
      </c>
      <c r="M13" s="998">
        <f ca="1">L13/$L$22</f>
        <v>0</v>
      </c>
      <c r="N13" s="999">
        <f ca="1">+Z13</f>
        <v>0</v>
      </c>
      <c r="O13" s="1000" t="str">
        <f>IF(V33="L","L+"&amp;X33&amp;" bps",W33)</f>
        <v>L+250 bps</v>
      </c>
      <c r="P13" s="1001"/>
      <c r="Q13" s="1002">
        <v>5</v>
      </c>
      <c r="R13" s="1106"/>
      <c r="T13" s="303" t="str">
        <f t="shared" ref="T13:T22" si="0">+I13</f>
        <v>$250mm Revolver</v>
      </c>
      <c r="U13" s="746"/>
      <c r="V13" s="1003">
        <v>0</v>
      </c>
      <c r="W13" s="761">
        <f>+V13*$L$29</f>
        <v>0</v>
      </c>
      <c r="X13" s="761">
        <f ca="1">IF($X$28&gt;=0,W13-(W13/$W$17)*$X$28,W13)</f>
        <v>0</v>
      </c>
      <c r="Y13" s="761">
        <f ca="1">ROUNDDOWN(X13/$Y$11,0)*$Y$11</f>
        <v>0</v>
      </c>
      <c r="Z13" s="1004">
        <f ca="1">+Y13/$L$29</f>
        <v>0</v>
      </c>
    </row>
    <row r="14" spans="1:26" ht="12.75" customHeight="1">
      <c r="B14" s="151" t="s">
        <v>345</v>
      </c>
      <c r="G14" s="200">
        <f ca="1">$G$12/'Tar Spread Cover'!E12-1</f>
        <v>0.21191135734072031</v>
      </c>
      <c r="I14" s="1" t="s">
        <v>309</v>
      </c>
      <c r="L14" s="875">
        <f ca="1">+Y14</f>
        <v>70</v>
      </c>
      <c r="M14" s="1005">
        <f ca="1">L14/$L$22</f>
        <v>0.27020015342825976</v>
      </c>
      <c r="N14" s="112">
        <f ca="1">+Z14</f>
        <v>3.4999999999999996</v>
      </c>
      <c r="O14" s="1006" t="str">
        <f>IF(V34="L","L+"&amp;X34&amp;" bps",W34)</f>
        <v>L+450 bps</v>
      </c>
      <c r="P14" s="694">
        <v>100</v>
      </c>
      <c r="Q14" s="752">
        <v>5</v>
      </c>
      <c r="R14" s="1107"/>
      <c r="T14" s="303" t="str">
        <f t="shared" si="0"/>
        <v>Term Loan</v>
      </c>
      <c r="V14" s="308">
        <v>3.5</v>
      </c>
      <c r="W14" s="754">
        <f>+V14*$L$29</f>
        <v>70.000000000000014</v>
      </c>
      <c r="X14" s="754">
        <f ca="1">IF($X$28&gt;=0,W14-(W14/$W$17)*$X$28,W14)</f>
        <v>70.000000000000014</v>
      </c>
      <c r="Y14" s="754">
        <f ca="1">ROUNDDOWN(X14/$Y$11,0)*$Y$11</f>
        <v>70</v>
      </c>
      <c r="Z14" s="307">
        <f ca="1">+Y14/$L$29</f>
        <v>3.4999999999999996</v>
      </c>
    </row>
    <row r="15" spans="1:26">
      <c r="B15" s="151" t="s">
        <v>346</v>
      </c>
      <c r="G15" s="200">
        <f ca="1">$G$12/'Tar Spread Cover'!E13-1</f>
        <v>1.2580645161290325</v>
      </c>
      <c r="I15" s="1" t="s">
        <v>459</v>
      </c>
      <c r="L15" s="595">
        <f ca="1">+Y15</f>
        <v>30</v>
      </c>
      <c r="M15" s="232">
        <f ca="1">L15/$L$22</f>
        <v>0.11580006575496846</v>
      </c>
      <c r="N15" s="112">
        <f ca="1">+Z15</f>
        <v>1.4999999999999998</v>
      </c>
      <c r="O15" s="751">
        <f>IF(V35="L","L+"&amp;X35&amp;" bps",W35)</f>
        <v>0.08</v>
      </c>
      <c r="P15" s="694">
        <v>98</v>
      </c>
      <c r="Q15" s="752">
        <v>8</v>
      </c>
      <c r="R15" s="1108"/>
      <c r="T15" s="303" t="str">
        <f t="shared" si="0"/>
        <v>Senior Notes</v>
      </c>
      <c r="U15" s="303"/>
      <c r="V15" s="308">
        <v>1.5</v>
      </c>
      <c r="W15" s="754">
        <f>+V15*$L$29</f>
        <v>30.000000000000007</v>
      </c>
      <c r="X15" s="754">
        <f ca="1">IF($X$28&gt;=0,W15-(W15/$W$17)*$X$28,W15)</f>
        <v>30.000000000000007</v>
      </c>
      <c r="Y15" s="754">
        <f ca="1">ROUNDDOWN(X15/$Y$11,0)*$Y$11</f>
        <v>30</v>
      </c>
      <c r="Z15" s="307">
        <f ca="1">+Y15/$L$29</f>
        <v>1.4999999999999998</v>
      </c>
    </row>
    <row r="16" spans="1:26">
      <c r="B16" s="319" t="str">
        <f>tar&amp;" Shares Outstanding (a)"</f>
        <v>SG ENTERPRISES Shares Outstanding (a)</v>
      </c>
      <c r="G16" s="115">
        <f>tshares+trsu</f>
        <v>7.0926499999999999</v>
      </c>
      <c r="I16" s="1" t="s">
        <v>138</v>
      </c>
      <c r="L16" s="595">
        <f ca="1">+Y16</f>
        <v>20</v>
      </c>
      <c r="M16" s="200">
        <f ca="1">L16/$L$22</f>
        <v>7.7200043836645638E-2</v>
      </c>
      <c r="N16" s="112">
        <f ca="1">+Z16</f>
        <v>0.99999999999999978</v>
      </c>
      <c r="O16" s="751">
        <f>IF(V36="L","L+"&amp;X36&amp;" bps",W36)</f>
        <v>0.11</v>
      </c>
      <c r="P16" s="694">
        <v>97</v>
      </c>
      <c r="Q16" s="752">
        <v>8</v>
      </c>
      <c r="R16" s="1108"/>
      <c r="T16" s="303" t="str">
        <f t="shared" si="0"/>
        <v>Subordinated Notes</v>
      </c>
      <c r="U16" s="303"/>
      <c r="V16" s="308">
        <v>1</v>
      </c>
      <c r="W16" s="754">
        <f>+V16*$L$29</f>
        <v>20.000000000000004</v>
      </c>
      <c r="X16" s="754">
        <f ca="1">IF($X$28&gt;=0,W16-(W16/$W$17)*$X$28,W16)</f>
        <v>20.000000000000004</v>
      </c>
      <c r="Y16" s="754">
        <f ca="1">ROUNDDOWN(X16/$Y$11,0)*$Y$11</f>
        <v>20</v>
      </c>
      <c r="Z16" s="307">
        <f ca="1">+Y16/$L$29</f>
        <v>0.99999999999999978</v>
      </c>
    </row>
    <row r="17" spans="1:26">
      <c r="B17" s="319" t="str">
        <f>tar&amp; " Option Equivalent Shares (b)"</f>
        <v>SG ENTERPRISES Option Equivalent Shares (b)</v>
      </c>
      <c r="G17" s="268">
        <f ca="1">D86</f>
        <v>4.2857142857142858E-2</v>
      </c>
      <c r="I17" s="151" t="s">
        <v>87</v>
      </c>
      <c r="L17" s="1008">
        <f ca="1">SUM(L13:L16)</f>
        <v>120</v>
      </c>
      <c r="M17" s="1009">
        <f ca="1">SUM(M13:M16)</f>
        <v>0.46320026301987388</v>
      </c>
      <c r="N17" s="1010">
        <f ca="1">SUM(N13:N16)</f>
        <v>5.9999999999999991</v>
      </c>
      <c r="O17" s="751"/>
      <c r="Q17" s="141"/>
      <c r="R17" s="1107"/>
      <c r="T17" s="151" t="str">
        <f t="shared" si="0"/>
        <v>Total Debt</v>
      </c>
      <c r="U17" s="1007"/>
      <c r="V17" s="762">
        <f>SUM(V13:V16)</f>
        <v>6</v>
      </c>
      <c r="W17" s="761">
        <f>SUM(W13:W16)</f>
        <v>120.00000000000003</v>
      </c>
      <c r="X17" s="761">
        <f ca="1">SUM(X13:X16)</f>
        <v>120.00000000000003</v>
      </c>
      <c r="Y17" s="761">
        <f ca="1">SUM(Y13:Y16)</f>
        <v>120</v>
      </c>
      <c r="Z17" s="762">
        <f ca="1">SUM(Z13:Z16)</f>
        <v>5.9999999999999991</v>
      </c>
    </row>
    <row r="18" spans="1:26">
      <c r="B18" s="323" t="s">
        <v>20</v>
      </c>
      <c r="G18" s="161">
        <f ca="1">SUM(G16:G17)</f>
        <v>7.1355071428571426</v>
      </c>
      <c r="I18" s="3" t="s">
        <v>139</v>
      </c>
      <c r="L18" s="32">
        <f ca="1">G24-L21-L19-L17</f>
        <v>99.498713290825265</v>
      </c>
      <c r="M18" s="193">
        <f ca="1">L18/$L$22</f>
        <v>0.38406525138707731</v>
      </c>
      <c r="O18" s="751"/>
      <c r="P18" s="443" t="s">
        <v>624</v>
      </c>
      <c r="Q18" s="141"/>
      <c r="R18" s="1108"/>
      <c r="S18" s="303"/>
      <c r="T18" s="3" t="str">
        <f t="shared" si="0"/>
        <v>Outside Equity</v>
      </c>
      <c r="W18" s="754">
        <f ca="1">$G24-W21-W19-W17</f>
        <v>99.498713290825236</v>
      </c>
      <c r="X18" s="754">
        <f ca="1">$G24-X21-X19-X17</f>
        <v>99.498713290825236</v>
      </c>
      <c r="Y18" s="754">
        <f ca="1">$G24-Y21-Y19-Y17</f>
        <v>99.498713290825265</v>
      </c>
    </row>
    <row r="19" spans="1:26">
      <c r="B19" s="3" t="s">
        <v>21</v>
      </c>
      <c r="G19" s="153">
        <f ca="1">G12*G18</f>
        <v>249.74275</v>
      </c>
      <c r="I19" s="3" t="s">
        <v>133</v>
      </c>
      <c r="L19" s="32">
        <f>+Y19</f>
        <v>0</v>
      </c>
      <c r="M19" s="193">
        <f ca="1">L19/$L$22</f>
        <v>0</v>
      </c>
      <c r="O19" s="751"/>
      <c r="P19" s="372">
        <v>0.1</v>
      </c>
      <c r="T19" s="3" t="str">
        <f t="shared" si="0"/>
        <v>Management Equity</v>
      </c>
      <c r="W19" s="1011">
        <v>0</v>
      </c>
      <c r="X19" s="754">
        <f>W19</f>
        <v>0</v>
      </c>
      <c r="Y19" s="754">
        <f>X19</f>
        <v>0</v>
      </c>
    </row>
    <row r="20" spans="1:26">
      <c r="B20" s="109" t="str">
        <f>tar&amp;" Debt Repaid/Refinanced "</f>
        <v xml:space="preserve">SG ENTERPRISES Debt Repaid/Refinanced </v>
      </c>
      <c r="G20" s="161">
        <f ca="1">H110</f>
        <v>0</v>
      </c>
      <c r="I20" s="151" t="s">
        <v>347</v>
      </c>
      <c r="L20" s="1012">
        <f ca="1">SUM(L18:L19)</f>
        <v>99.498713290825265</v>
      </c>
      <c r="M20" s="806">
        <f ca="1">SUM(M18:M19)</f>
        <v>0.38406525138707731</v>
      </c>
      <c r="O20" s="751"/>
      <c r="P20" s="141"/>
      <c r="T20" s="151" t="str">
        <f t="shared" si="0"/>
        <v>Total Equity</v>
      </c>
      <c r="W20" s="761">
        <f ca="1">SUM(W18:W19)</f>
        <v>99.498713290825236</v>
      </c>
      <c r="X20" s="761">
        <f ca="1">SUM(X18:X19)</f>
        <v>99.498713290825236</v>
      </c>
      <c r="Y20" s="761">
        <f ca="1">SUM(Y18:Y19)</f>
        <v>99.498713290825265</v>
      </c>
    </row>
    <row r="21" spans="1:26">
      <c r="B21" s="3" t="s">
        <v>564</v>
      </c>
      <c r="G21" s="161">
        <f ca="1">+O85</f>
        <v>1.2000000000000011</v>
      </c>
      <c r="I21" s="3" t="s">
        <v>12</v>
      </c>
      <c r="L21" s="32">
        <f ca="1">+Y21</f>
        <v>39.568497115424755</v>
      </c>
      <c r="M21" s="193">
        <f ca="1">L21/$L$22</f>
        <v>0.15273448559304889</v>
      </c>
      <c r="O21" s="751"/>
      <c r="P21" s="1013"/>
      <c r="T21" s="3" t="str">
        <f t="shared" si="0"/>
        <v>Excess Cash</v>
      </c>
      <c r="V21" s="146"/>
      <c r="W21" s="754">
        <f ca="1">MAX(H93-F221,0)</f>
        <v>39.568497115424755</v>
      </c>
      <c r="X21" s="754">
        <f ca="1">W21</f>
        <v>39.568497115424755</v>
      </c>
      <c r="Y21" s="754">
        <f ca="1">+X21</f>
        <v>39.568497115424755</v>
      </c>
      <c r="Z21" s="807"/>
    </row>
    <row r="22" spans="1:26">
      <c r="B22" s="3" t="str">
        <f ca="1">"Illustrative Financing Fees at "&amp;TEXT(N77,"0.0%")</f>
        <v>Illustrative Financing Fees at 1.6%</v>
      </c>
      <c r="G22" s="161">
        <f ca="1">O77</f>
        <v>5.9249999999999998</v>
      </c>
      <c r="I22" s="151" t="s">
        <v>14</v>
      </c>
      <c r="L22" s="1012">
        <f ca="1">SUM(L17,L20:L21)</f>
        <v>259.06721040625001</v>
      </c>
      <c r="M22" s="806">
        <f ca="1">M17+M20+M21</f>
        <v>1</v>
      </c>
      <c r="O22" s="751"/>
      <c r="P22" s="1014"/>
      <c r="T22" s="151" t="str">
        <f t="shared" si="0"/>
        <v>Total Sources of Funds</v>
      </c>
      <c r="W22" s="761">
        <f ca="1">SUM(W17,W20:W21)</f>
        <v>259.06721040625001</v>
      </c>
      <c r="X22" s="761">
        <f ca="1">SUM(X17,X20:X21)</f>
        <v>259.06721040625001</v>
      </c>
      <c r="Y22" s="761">
        <f ca="1">SUM(Y17,Y20:Y21)</f>
        <v>259.06721040625001</v>
      </c>
    </row>
    <row r="23" spans="1:26">
      <c r="B23" s="3" t="str">
        <f>"Illustrative Advisory Fees and Expenses at "&amp;TEXT(Q68,"#0.0%")</f>
        <v>Illustrative Advisory Fees and Expenses at 1.0%</v>
      </c>
      <c r="F23" s="1109"/>
      <c r="G23" s="68">
        <f ca="1">G31*Q68</f>
        <v>2.1994604062500001</v>
      </c>
      <c r="H23" s="146"/>
      <c r="T23" s="151"/>
      <c r="W23" s="753"/>
      <c r="X23" s="753"/>
      <c r="Y23" s="753"/>
    </row>
    <row r="24" spans="1:26">
      <c r="B24" s="151" t="s">
        <v>22</v>
      </c>
      <c r="G24" s="344">
        <f ca="1">SUM(G19:G23)</f>
        <v>259.06721040625001</v>
      </c>
      <c r="H24" s="146"/>
      <c r="I24" s="151"/>
      <c r="L24" s="32"/>
      <c r="M24" s="193"/>
      <c r="O24" s="751"/>
      <c r="P24" s="1014"/>
      <c r="T24" s="736" t="s">
        <v>559</v>
      </c>
      <c r="U24" s="1017"/>
      <c r="V24" s="1017"/>
      <c r="W24" s="85"/>
      <c r="X24" s="85"/>
      <c r="Y24" s="17"/>
    </row>
    <row r="25" spans="1:26">
      <c r="G25" s="146"/>
      <c r="T25" s="4" t="s">
        <v>555</v>
      </c>
      <c r="W25" s="17"/>
      <c r="X25" s="1018">
        <v>0.38</v>
      </c>
      <c r="Y25" s="17"/>
    </row>
    <row r="26" spans="1:26">
      <c r="T26" s="4" t="s">
        <v>556</v>
      </c>
      <c r="W26" s="17"/>
      <c r="X26" s="753">
        <f ca="1">G24*X25</f>
        <v>98.445539954375008</v>
      </c>
      <c r="Y26" s="1018"/>
    </row>
    <row r="27" spans="1:26">
      <c r="B27" s="166" t="s">
        <v>148</v>
      </c>
      <c r="C27" s="717"/>
      <c r="D27" s="717"/>
      <c r="E27" s="717"/>
      <c r="F27" s="717"/>
      <c r="G27" s="717"/>
      <c r="I27" s="166" t="s">
        <v>592</v>
      </c>
      <c r="J27" s="717"/>
      <c r="K27" s="717"/>
      <c r="L27" s="717"/>
      <c r="M27" s="717"/>
      <c r="N27" s="717"/>
      <c r="O27" s="717"/>
      <c r="P27" s="717"/>
      <c r="Q27" s="717"/>
      <c r="T27" s="4" t="s">
        <v>557</v>
      </c>
      <c r="W27" s="17"/>
      <c r="X27" s="754">
        <f ca="1">W18</f>
        <v>99.498713290825236</v>
      </c>
      <c r="Y27" s="1019"/>
    </row>
    <row r="28" spans="1:26">
      <c r="B28" s="3" t="s">
        <v>145</v>
      </c>
      <c r="F28" s="7"/>
      <c r="G28" s="1020">
        <f ca="1">+G19</f>
        <v>249.74275</v>
      </c>
      <c r="I28" s="10" t="str">
        <f>$B$126</f>
        <v>Fiscal Year Ended December 31,</v>
      </c>
      <c r="J28" s="10"/>
      <c r="K28" s="10"/>
      <c r="L28" s="1021">
        <f>M28-1</f>
        <v>2019</v>
      </c>
      <c r="M28" s="1022">
        <f>'Tar Proj'!M7</f>
        <v>2020</v>
      </c>
      <c r="N28" s="1023">
        <f>N126</f>
        <v>2021</v>
      </c>
      <c r="O28" s="1023">
        <f>O126</f>
        <v>2022</v>
      </c>
      <c r="P28" s="1023">
        <f>P126</f>
        <v>2023</v>
      </c>
      <c r="Q28" s="1023">
        <f>Q126</f>
        <v>2024</v>
      </c>
      <c r="T28" s="4" t="s">
        <v>558</v>
      </c>
      <c r="W28" s="17"/>
      <c r="X28" s="761">
        <f ca="1">X26-X27</f>
        <v>-1.0531733364502287</v>
      </c>
      <c r="Y28" s="754"/>
    </row>
    <row r="29" spans="1:26">
      <c r="A29" s="1024"/>
      <c r="B29" s="3" t="s">
        <v>585</v>
      </c>
      <c r="G29" s="115">
        <f>SUM('Tar Spread Cover'!E28:E30)</f>
        <v>11.071999999999999</v>
      </c>
      <c r="I29" s="1025" t="str">
        <f>tlabel3&amp;"EBITDA"</f>
        <v>EBITDA</v>
      </c>
      <c r="J29" s="71"/>
      <c r="K29" s="1026"/>
      <c r="L29" s="950">
        <f t="shared" ref="L29:Q29" si="1">+L147</f>
        <v>20.000000000000004</v>
      </c>
      <c r="M29" s="950">
        <f t="shared" si="1"/>
        <v>21.500000000000007</v>
      </c>
      <c r="N29" s="950">
        <f t="shared" si="1"/>
        <v>23.650000000000006</v>
      </c>
      <c r="O29" s="950">
        <f t="shared" si="1"/>
        <v>26.015000000000015</v>
      </c>
      <c r="P29" s="950">
        <f t="shared" si="1"/>
        <v>28.61650000000002</v>
      </c>
      <c r="Q29" s="950">
        <f t="shared" si="1"/>
        <v>31.478150000000021</v>
      </c>
      <c r="Y29" s="754"/>
    </row>
    <row r="30" spans="1:26">
      <c r="A30" s="1027"/>
      <c r="B30" s="3" t="s">
        <v>586</v>
      </c>
      <c r="G30" s="115">
        <f>'Tar Spread Cover'!E31</f>
        <v>-40.868709375000002</v>
      </c>
      <c r="I30" s="3" t="s">
        <v>87</v>
      </c>
      <c r="L30" s="343">
        <f t="shared" ref="L30:Q30" ca="1" si="2">L180</f>
        <v>120</v>
      </c>
      <c r="M30" s="343">
        <f t="shared" ca="1" si="2"/>
        <v>115.40672831973686</v>
      </c>
      <c r="N30" s="343">
        <f t="shared" ca="1" si="2"/>
        <v>109.44489645212636</v>
      </c>
      <c r="O30" s="343">
        <f t="shared" ca="1" si="2"/>
        <v>101.91233680693186</v>
      </c>
      <c r="P30" s="343">
        <f t="shared" ca="1" si="2"/>
        <v>92.580213361161569</v>
      </c>
      <c r="Q30" s="343">
        <f t="shared" ca="1" si="2"/>
        <v>81.189512085013035</v>
      </c>
      <c r="T30" s="768" t="s">
        <v>562</v>
      </c>
      <c r="U30" s="178"/>
      <c r="V30" s="178"/>
      <c r="W30" s="178"/>
      <c r="X30" s="178"/>
      <c r="Y30" s="178"/>
    </row>
    <row r="31" spans="1:26">
      <c r="B31" s="151" t="s">
        <v>23</v>
      </c>
      <c r="G31" s="381">
        <f ca="1">SUM(G28:G30)</f>
        <v>219.94604062499999</v>
      </c>
      <c r="I31" s="3" t="s">
        <v>38</v>
      </c>
      <c r="L31" s="343">
        <f t="shared" ref="L31:Q31" ca="1" si="3">L164</f>
        <v>10</v>
      </c>
      <c r="M31" s="343">
        <f t="shared" ca="1" si="3"/>
        <v>9.9999999999966285</v>
      </c>
      <c r="N31" s="343">
        <f t="shared" ca="1" si="3"/>
        <v>10.000000000709985</v>
      </c>
      <c r="O31" s="343">
        <f t="shared" ca="1" si="3"/>
        <v>9.9999999324251512</v>
      </c>
      <c r="P31" s="343">
        <f t="shared" ca="1" si="3"/>
        <v>10.000003825745624</v>
      </c>
      <c r="Q31" s="343">
        <f t="shared" ca="1" si="3"/>
        <v>9.9998566983128576</v>
      </c>
      <c r="T31" s="151"/>
      <c r="U31" s="3"/>
      <c r="V31" s="142" t="s">
        <v>466</v>
      </c>
      <c r="W31" s="3"/>
      <c r="X31" s="363" t="s">
        <v>460</v>
      </c>
      <c r="Y31" s="363"/>
    </row>
    <row r="32" spans="1:26">
      <c r="T32" s="379"/>
      <c r="U32" s="3"/>
      <c r="V32" s="142" t="s">
        <v>463</v>
      </c>
      <c r="W32" s="104" t="s">
        <v>467</v>
      </c>
      <c r="X32" s="104" t="s">
        <v>461</v>
      </c>
      <c r="Y32" s="104" t="s">
        <v>462</v>
      </c>
    </row>
    <row r="33" spans="1:25">
      <c r="B33" s="139"/>
      <c r="D33" s="4"/>
      <c r="E33" s="4"/>
      <c r="F33" s="363" t="s">
        <v>25</v>
      </c>
      <c r="G33" s="363"/>
      <c r="I33" s="1028" t="str">
        <f>'Tar Sum Financials'!B46</f>
        <v>EBITDA / Interest, Net</v>
      </c>
      <c r="J33" s="10"/>
      <c r="K33" s="10"/>
      <c r="L33" s="887">
        <f ca="1">IF(AND(L$29&gt;0,L278&gt;0),L$29/L278,"NM")</f>
        <v>1.8483220701207188</v>
      </c>
      <c r="M33" s="887">
        <f ca="1">IF(AND(M$29&gt;=0,M278&gt;0),M$29/M$278,"NM")</f>
        <v>2.01095915921782</v>
      </c>
      <c r="N33" s="887">
        <f ca="1">IF(AND(N$29&gt;=0,N278&gt;0),N$29/N$278,"NM")</f>
        <v>2.2791893422390608</v>
      </c>
      <c r="O33" s="887">
        <f ca="1">IF(AND(O$29&gt;=0,O278&gt;0),O$29/O$278,"NM")</f>
        <v>2.6164126824105391</v>
      </c>
      <c r="P33" s="887">
        <f ca="1">IF(AND(P$29&gt;=0,P278&gt;0),P$29/P$278,"NM")</f>
        <v>3.0539015443508113</v>
      </c>
      <c r="Q33" s="887">
        <f ca="1">IF(AND(Q$29&gt;=0,Q278&gt;0),Q$29/Q$278,"NM")</f>
        <v>3.6452294246375558</v>
      </c>
      <c r="T33" s="1029" t="str">
        <f>+T13</f>
        <v>$250mm Revolver</v>
      </c>
      <c r="U33" s="3"/>
      <c r="V33" s="772" t="s">
        <v>464</v>
      </c>
      <c r="W33" s="773">
        <v>0</v>
      </c>
      <c r="X33" s="774">
        <v>250</v>
      </c>
      <c r="Y33" s="774">
        <v>0</v>
      </c>
    </row>
    <row r="34" spans="1:25">
      <c r="D34" s="8" t="s">
        <v>116</v>
      </c>
      <c r="E34" s="1030">
        <f>'Tar Proj'!L56</f>
        <v>2019</v>
      </c>
      <c r="F34" s="8" t="str">
        <f>D34</f>
        <v>LTM</v>
      </c>
      <c r="G34" s="1031">
        <f>E34</f>
        <v>2019</v>
      </c>
      <c r="I34" s="1028" t="str">
        <f>'Tar Sum Financials'!B47</f>
        <v>(EBITDA - Capex) / Interest, Net</v>
      </c>
      <c r="J34" s="10"/>
      <c r="K34" s="10"/>
      <c r="L34" s="1032">
        <f t="shared" ref="L34:Q34" ca="1" si="4">IF(AND((L$29+L$215)&gt;=0,L278&gt;0),(L$29+L$215)/L278,"NM")</f>
        <v>1.3862415525905392</v>
      </c>
      <c r="M34" s="1032">
        <f t="shared" ca="1" si="4"/>
        <v>1.4965277463946569</v>
      </c>
      <c r="N34" s="1032">
        <f t="shared" ca="1" si="4"/>
        <v>1.6961409058523242</v>
      </c>
      <c r="O34" s="1032">
        <f t="shared" ca="1" si="4"/>
        <v>1.9470978101659828</v>
      </c>
      <c r="P34" s="1032">
        <f t="shared" ca="1" si="4"/>
        <v>2.2726709167261849</v>
      </c>
      <c r="Q34" s="1032">
        <f t="shared" ca="1" si="4"/>
        <v>2.7127288741488789</v>
      </c>
      <c r="S34" s="1021"/>
      <c r="T34" s="1029" t="str">
        <f>+T14</f>
        <v>Term Loan</v>
      </c>
      <c r="U34" s="3"/>
      <c r="V34" s="778" t="s">
        <v>464</v>
      </c>
      <c r="W34" s="779">
        <v>0</v>
      </c>
      <c r="X34" s="780">
        <v>450</v>
      </c>
      <c r="Y34" s="780">
        <v>0</v>
      </c>
    </row>
    <row r="35" spans="1:25">
      <c r="B35" s="3" t="s">
        <v>587</v>
      </c>
      <c r="D35" s="1033">
        <f>'Tar Spread Cover'!J10</f>
        <v>50</v>
      </c>
      <c r="E35" s="1034">
        <f>'Tar Proj'!L8</f>
        <v>50</v>
      </c>
      <c r="F35" s="1009">
        <f t="shared" ref="F35:G37" ca="1" si="5">($G$31)/D35</f>
        <v>4.3989208125000001</v>
      </c>
      <c r="G35" s="1035">
        <f t="shared" ca="1" si="5"/>
        <v>4.3989208125000001</v>
      </c>
      <c r="I35" s="109"/>
      <c r="S35" s="68"/>
      <c r="T35" s="1029" t="str">
        <f>+T15</f>
        <v>Senior Notes</v>
      </c>
      <c r="U35" s="3"/>
      <c r="V35" s="778" t="s">
        <v>465</v>
      </c>
      <c r="W35" s="779">
        <v>0.08</v>
      </c>
      <c r="X35" s="780">
        <v>0</v>
      </c>
      <c r="Y35" s="780">
        <v>0</v>
      </c>
    </row>
    <row r="36" spans="1:25">
      <c r="B36" s="3" t="s">
        <v>588</v>
      </c>
      <c r="D36" s="451">
        <f>'Tar Spread Cover'!J11</f>
        <v>14.471250000000001</v>
      </c>
      <c r="E36" s="451">
        <f>'Tar Proj'!L36</f>
        <v>20.000000000000004</v>
      </c>
      <c r="F36" s="1036">
        <f t="shared" ca="1" si="5"/>
        <v>15.198828064265353</v>
      </c>
      <c r="G36" s="1036">
        <f t="shared" ca="1" si="5"/>
        <v>10.997302031249998</v>
      </c>
      <c r="I36" s="1028" t="str">
        <f>'Tar Sum Financials'!A43&amp;" (c)"</f>
        <v>Adjusted Debt / EBITDAR (c)</v>
      </c>
      <c r="L36" s="144">
        <f t="shared" ref="L36:Q36" ca="1" si="6">IF(L148&gt;0,(L30+$E$128*L129)/L148,"NM")</f>
        <v>6.1268292682926822</v>
      </c>
      <c r="M36" s="144">
        <f t="shared" ca="1" si="6"/>
        <v>5.5383080737175963</v>
      </c>
      <c r="N36" s="144">
        <f t="shared" ca="1" si="6"/>
        <v>4.8461960124414576</v>
      </c>
      <c r="O36" s="144">
        <f t="shared" ca="1" si="6"/>
        <v>4.1819695909204944</v>
      </c>
      <c r="P36" s="144">
        <f t="shared" ca="1" si="6"/>
        <v>3.5439333568695957</v>
      </c>
      <c r="Q36" s="144">
        <f t="shared" ca="1" si="6"/>
        <v>2.9304661541026427</v>
      </c>
      <c r="R36" s="1110"/>
      <c r="S36" s="68"/>
      <c r="T36" s="1029" t="str">
        <f>+T16</f>
        <v>Subordinated Notes</v>
      </c>
      <c r="U36" s="3"/>
      <c r="V36" s="778" t="s">
        <v>465</v>
      </c>
      <c r="W36" s="779">
        <v>0.11</v>
      </c>
      <c r="X36" s="780">
        <v>0</v>
      </c>
      <c r="Y36" s="780">
        <v>0</v>
      </c>
    </row>
    <row r="37" spans="1:25">
      <c r="B37" s="3" t="s">
        <v>589</v>
      </c>
      <c r="D37" s="451">
        <f>'Tar Spread Cover'!J12</f>
        <v>12.5</v>
      </c>
      <c r="E37" s="451">
        <f>'Tar Proj'!L34</f>
        <v>15.000000000000004</v>
      </c>
      <c r="F37" s="1036">
        <f t="shared" ca="1" si="5"/>
        <v>17.59568325</v>
      </c>
      <c r="G37" s="1036">
        <f t="shared" ca="1" si="5"/>
        <v>14.663069374999996</v>
      </c>
      <c r="I37" s="1028" t="str">
        <f>'Tar Sum Financials'!B44</f>
        <v>Total Debt / EBITDA</v>
      </c>
      <c r="J37" s="10"/>
      <c r="K37" s="10"/>
      <c r="L37" s="887">
        <f t="shared" ref="L37:Q37" ca="1" si="7">IF(L29&gt;0,L30/L29,"NM")</f>
        <v>5.9999999999999991</v>
      </c>
      <c r="M37" s="887">
        <f t="shared" ca="1" si="7"/>
        <v>5.3677548055691542</v>
      </c>
      <c r="N37" s="887">
        <f t="shared" ca="1" si="7"/>
        <v>4.6276911819080899</v>
      </c>
      <c r="O37" s="887">
        <f t="shared" ca="1" si="7"/>
        <v>3.9174451972681839</v>
      </c>
      <c r="P37" s="887">
        <f t="shared" ca="1" si="7"/>
        <v>3.2352039334356579</v>
      </c>
      <c r="Q37" s="887">
        <f t="shared" ca="1" si="7"/>
        <v>2.5792339157483202</v>
      </c>
      <c r="R37" s="1110"/>
      <c r="S37" s="68"/>
      <c r="T37" s="804"/>
      <c r="U37" s="804"/>
      <c r="V37" s="804"/>
      <c r="W37" s="804"/>
      <c r="X37" s="804"/>
    </row>
    <row r="38" spans="1:25">
      <c r="B38" s="4"/>
      <c r="C38" s="4"/>
      <c r="D38" s="911"/>
      <c r="E38" s="911"/>
      <c r="F38" s="1036"/>
      <c r="G38" s="1036"/>
      <c r="I38" s="1028" t="str">
        <f>'Tar Sum Financials'!B45</f>
        <v>Net Debt / EBITDA</v>
      </c>
      <c r="L38" s="887">
        <f t="shared" ref="L38:Q38" ca="1" si="8">IF(L29&gt;0,(L30-L31)/L29,"NM")</f>
        <v>5.4999999999999991</v>
      </c>
      <c r="M38" s="887">
        <f t="shared" ca="1" si="8"/>
        <v>4.902638526499544</v>
      </c>
      <c r="N38" s="887">
        <f t="shared" ca="1" si="8"/>
        <v>4.2048582009055533</v>
      </c>
      <c r="O38" s="887">
        <f t="shared" ca="1" si="8"/>
        <v>3.5330515807997944</v>
      </c>
      <c r="P38" s="887">
        <f t="shared" ca="1" si="8"/>
        <v>2.8857550551400726</v>
      </c>
      <c r="Q38" s="887">
        <f t="shared" ca="1" si="8"/>
        <v>2.2615577912520313</v>
      </c>
      <c r="R38" s="1111"/>
      <c r="S38" s="804"/>
    </row>
    <row r="39" spans="1:25">
      <c r="A39" s="142"/>
      <c r="B39" s="166" t="s">
        <v>413</v>
      </c>
      <c r="C39" s="717"/>
      <c r="D39" s="717"/>
      <c r="E39" s="717"/>
      <c r="F39" s="717"/>
      <c r="G39" s="717"/>
      <c r="R39" s="1112"/>
      <c r="S39" s="804"/>
    </row>
    <row r="40" spans="1:25">
      <c r="A40" s="1024"/>
      <c r="C40" s="766" t="str">
        <f>'Tar LBO Tables'!F32</f>
        <v>Purchase Price per Share</v>
      </c>
      <c r="D40" s="457"/>
      <c r="E40" s="457"/>
      <c r="F40" s="457"/>
      <c r="G40" s="457"/>
      <c r="I40" s="10" t="s">
        <v>550</v>
      </c>
      <c r="J40" s="10"/>
      <c r="K40" s="10"/>
      <c r="L40" s="875">
        <f t="shared" ref="L40:Q40" ca="1" si="9">SUM(L244:L245)</f>
        <v>70</v>
      </c>
      <c r="M40" s="875">
        <f t="shared" ca="1" si="9"/>
        <v>65.406728319740225</v>
      </c>
      <c r="N40" s="875">
        <f t="shared" ca="1" si="9"/>
        <v>59.444896451419744</v>
      </c>
      <c r="O40" s="875">
        <f t="shared" ca="1" si="9"/>
        <v>51.912336873800093</v>
      </c>
      <c r="P40" s="875">
        <f t="shared" ca="1" si="9"/>
        <v>42.580209602284178</v>
      </c>
      <c r="Q40" s="875">
        <f t="shared" ca="1" si="9"/>
        <v>31.189651627822787</v>
      </c>
      <c r="R40" s="1112"/>
      <c r="S40" s="1039"/>
      <c r="T40" s="1039"/>
      <c r="U40" s="1039"/>
      <c r="V40" s="1039"/>
      <c r="W40" s="1040"/>
    </row>
    <row r="41" spans="1:25">
      <c r="B41" s="1041"/>
      <c r="C41" s="1042">
        <f>'Tar LBO Tables'!F33</f>
        <v>35</v>
      </c>
      <c r="D41" s="1042">
        <f>'Tar LBO Tables'!G33</f>
        <v>37.5</v>
      </c>
      <c r="E41" s="1042">
        <f>'Tar LBO Tables'!H33</f>
        <v>40</v>
      </c>
      <c r="F41" s="1042">
        <f>'Tar LBO Tables'!I33</f>
        <v>42.5</v>
      </c>
      <c r="G41" s="1042">
        <f>'Tar LBO Tables'!J33</f>
        <v>45</v>
      </c>
      <c r="I41" s="1043" t="s">
        <v>551</v>
      </c>
      <c r="J41" s="10"/>
      <c r="K41" s="10"/>
      <c r="L41" s="1044">
        <f t="shared" ref="L41:Q41" ca="1" si="10">L40/$L40</f>
        <v>1</v>
      </c>
      <c r="M41" s="1044">
        <f t="shared" ca="1" si="10"/>
        <v>0.93438183313914602</v>
      </c>
      <c r="N41" s="1044">
        <f t="shared" ca="1" si="10"/>
        <v>0.84921280644885344</v>
      </c>
      <c r="O41" s="1044">
        <f t="shared" ca="1" si="10"/>
        <v>0.74160481248285848</v>
      </c>
      <c r="P41" s="1044">
        <f t="shared" ca="1" si="10"/>
        <v>0.6082887086040597</v>
      </c>
      <c r="Q41" s="1044">
        <f t="shared" ca="1" si="10"/>
        <v>0.44556645182603982</v>
      </c>
      <c r="R41" s="1111"/>
      <c r="S41" s="1039"/>
      <c r="T41" s="1039"/>
      <c r="U41" s="1039"/>
      <c r="V41" s="1039"/>
      <c r="W41" s="1039"/>
    </row>
    <row r="42" spans="1:25">
      <c r="B42" s="263" t="s">
        <v>101</v>
      </c>
      <c r="C42" s="265">
        <f>+C41/$G$11-1</f>
        <v>0.39999999999999991</v>
      </c>
      <c r="D42" s="265">
        <f>+D41/$G$11-1</f>
        <v>0.5</v>
      </c>
      <c r="E42" s="265">
        <f>+E41/$G$11-1</f>
        <v>0.60000000000000009</v>
      </c>
      <c r="F42" s="265">
        <f>+F41/$G$11-1</f>
        <v>0.7</v>
      </c>
      <c r="G42" s="265">
        <f>+G41/$G$11-1</f>
        <v>0.8</v>
      </c>
      <c r="I42" s="1045" t="str">
        <f>"Sr. Secured Debt / "&amp;I29</f>
        <v>Sr. Secured Debt / EBITDA</v>
      </c>
      <c r="J42" s="10"/>
      <c r="K42" s="10"/>
      <c r="L42" s="1046">
        <f t="shared" ref="L42:Q42" ca="1" si="11">IF(L29&gt;0,SUM(L244:L245)/L29,"NM")</f>
        <v>3.4999999999999996</v>
      </c>
      <c r="M42" s="1046">
        <f t="shared" ca="1" si="11"/>
        <v>3.0421734102204745</v>
      </c>
      <c r="N42" s="1046">
        <f t="shared" ca="1" si="11"/>
        <v>2.5135262770156332</v>
      </c>
      <c r="O42" s="1046">
        <f t="shared" ca="1" si="11"/>
        <v>1.9954771045089397</v>
      </c>
      <c r="P42" s="1046">
        <f t="shared" ca="1" si="11"/>
        <v>1.4879600790552356</v>
      </c>
      <c r="Q42" s="1046">
        <f t="shared" ca="1" si="11"/>
        <v>0.99083496418381534</v>
      </c>
      <c r="R42" s="1108"/>
      <c r="S42" s="1039"/>
      <c r="T42" s="807" t="s">
        <v>573</v>
      </c>
      <c r="U42" s="1039"/>
      <c r="V42" s="1039"/>
      <c r="W42" s="1040"/>
    </row>
    <row r="43" spans="1:25" ht="12.75" customHeight="1">
      <c r="B43" s="263" t="s">
        <v>590</v>
      </c>
      <c r="C43" s="1047">
        <f ca="1">(C41*$G$18+SUM($G$29:$G$30))/$D$36</f>
        <v>15.198828064265353</v>
      </c>
      <c r="D43" s="1047">
        <f ca="1">(D41*$G$18+SUM($G$29:$G$30))/$D$36</f>
        <v>16.431532070978168</v>
      </c>
      <c r="E43" s="1047">
        <f ca="1">(E41*$G$18+SUM($G$29:$G$30))/$D$36</f>
        <v>17.664236077690983</v>
      </c>
      <c r="F43" s="1047">
        <f ca="1">(F41*$G$18+SUM($G$29:$G$30))/$D$36</f>
        <v>18.896940084403806</v>
      </c>
      <c r="G43" s="1047">
        <f ca="1">(G41*$G$18+SUM($G$29:$G$30))/$D$36</f>
        <v>20.129644091116621</v>
      </c>
      <c r="R43" s="1111"/>
      <c r="S43" s="1039"/>
      <c r="T43" s="807" t="s">
        <v>574</v>
      </c>
      <c r="U43" s="1039"/>
      <c r="V43" s="1039"/>
      <c r="W43" s="1040"/>
    </row>
    <row r="44" spans="1:25" ht="12.75" customHeight="1">
      <c r="B44" s="1048">
        <f>'Tar LBO Tables'!E34</f>
        <v>8</v>
      </c>
      <c r="C44" s="1049">
        <f>'Tar LBO Tables'!F34</f>
        <v>0.10915758623635985</v>
      </c>
      <c r="D44" s="1049">
        <f>'Tar LBO Tables'!G34</f>
        <v>7.4481157087976202E-2</v>
      </c>
      <c r="E44" s="1049">
        <f>'Tar LBO Tables'!H34</f>
        <v>4.6015353746573284E-2</v>
      </c>
      <c r="F44" s="1049">
        <f>'Tar LBO Tables'!I34</f>
        <v>2.2036036026366501E-2</v>
      </c>
      <c r="G44" s="1049">
        <f>'Tar LBO Tables'!J34</f>
        <v>1.43557971582986E-3</v>
      </c>
      <c r="I44" s="10" t="s">
        <v>61</v>
      </c>
      <c r="J44" s="10"/>
      <c r="K44" s="10"/>
      <c r="L44" s="888">
        <f t="shared" ref="L44:Q44" ca="1" si="12">IF(L252&gt;0,L248/L252,"NM")</f>
        <v>0.55172603311737733</v>
      </c>
      <c r="M44" s="888">
        <f t="shared" ca="1" si="12"/>
        <v>0.53581681513270663</v>
      </c>
      <c r="N44" s="888">
        <f t="shared" ca="1" si="12"/>
        <v>0.51292224828090371</v>
      </c>
      <c r="O44" s="888">
        <f t="shared" ca="1" si="12"/>
        <v>0.48189738443090424</v>
      </c>
      <c r="P44" s="888">
        <f t="shared" ca="1" si="12"/>
        <v>0.44145767935189362</v>
      </c>
      <c r="Q44" s="888">
        <f t="shared" ca="1" si="12"/>
        <v>0.3901694933266957</v>
      </c>
      <c r="R44" s="1113"/>
      <c r="S44" s="1050"/>
      <c r="T44" s="1039"/>
      <c r="U44" s="1039"/>
      <c r="V44" s="1039"/>
      <c r="W44" s="1040"/>
    </row>
    <row r="45" spans="1:25" ht="12.75" customHeight="1">
      <c r="B45" s="1048">
        <f>'Tar LBO Tables'!E35</f>
        <v>9</v>
      </c>
      <c r="C45" s="383">
        <f>'Tar LBO Tables'!F35</f>
        <v>0.14539316048449047</v>
      </c>
      <c r="D45" s="383">
        <f>'Tar LBO Tables'!G35</f>
        <v>0.10922436945275593</v>
      </c>
      <c r="E45" s="383">
        <f>'Tar LBO Tables'!H35</f>
        <v>7.949526987005795E-2</v>
      </c>
      <c r="F45" s="383">
        <f>'Tar LBO Tables'!I35</f>
        <v>5.4420181923528377E-2</v>
      </c>
      <c r="G45" s="383">
        <f>'Tar LBO Tables'!J35</f>
        <v>3.2851739162698124E-2</v>
      </c>
      <c r="R45" s="1108"/>
      <c r="S45" s="1039"/>
      <c r="T45" s="1039"/>
      <c r="U45" s="1039"/>
      <c r="V45" s="1039"/>
      <c r="W45" s="1039"/>
    </row>
    <row r="46" spans="1:25" ht="12.75" customHeight="1">
      <c r="B46" s="1048">
        <f>'Tar LBO Tables'!E36</f>
        <v>10</v>
      </c>
      <c r="C46" s="383">
        <f>'Tar LBO Tables'!F36</f>
        <v>0.17755037122508988</v>
      </c>
      <c r="D46" s="383">
        <f>'Tar LBO Tables'!G36</f>
        <v>0.14009180248648012</v>
      </c>
      <c r="E46" s="383">
        <f>'Tar LBO Tables'!H36</f>
        <v>0.10927309556596776</v>
      </c>
      <c r="F46" s="383">
        <f>'Tar LBO Tables'!I36</f>
        <v>8.3254540006951316E-2</v>
      </c>
      <c r="G46" s="383">
        <f>'Tar LBO Tables'!J36</f>
        <v>6.0853899333250583E-2</v>
      </c>
      <c r="R46" s="1108"/>
      <c r="S46" s="1039"/>
      <c r="T46" s="1039"/>
      <c r="U46" s="1039"/>
      <c r="V46" s="1039"/>
      <c r="W46" s="1039"/>
    </row>
    <row r="47" spans="1:25" ht="12.75" customHeight="1">
      <c r="B47" s="1048">
        <f>'Tar LBO Tables'!E37</f>
        <v>11</v>
      </c>
      <c r="C47" s="383">
        <f>'Tar LBO Tables'!F37</f>
        <v>0.2065360233670277</v>
      </c>
      <c r="D47" s="383">
        <f>'Tar LBO Tables'!G37</f>
        <v>0.16793849626907242</v>
      </c>
      <c r="E47" s="383">
        <f>'Tar LBO Tables'!H37</f>
        <v>0.13615924043253513</v>
      </c>
      <c r="F47" s="383">
        <f>'Tar LBO Tables'!I37</f>
        <v>0.10931022029100013</v>
      </c>
      <c r="G47" s="383">
        <f>'Tar LBO Tables'!J37</f>
        <v>8.6178029389419653E-2</v>
      </c>
      <c r="R47" s="1108"/>
      <c r="S47" s="1039"/>
      <c r="T47" s="1039"/>
      <c r="U47" s="1039"/>
      <c r="V47" s="1039"/>
      <c r="W47" s="1039"/>
    </row>
    <row r="48" spans="1:25" ht="12.75" customHeight="1">
      <c r="B48" s="1048">
        <f>'Tar LBO Tables'!E38</f>
        <v>12</v>
      </c>
      <c r="C48" s="383">
        <f>'Tar LBO Tables'!F38</f>
        <v>0.23297742719420644</v>
      </c>
      <c r="D48" s="383">
        <f>'Tar LBO Tables'!G38</f>
        <v>0.19335779124572627</v>
      </c>
      <c r="E48" s="383">
        <f>'Tar LBO Tables'!H38</f>
        <v>0.16071778764893696</v>
      </c>
      <c r="F48" s="383">
        <f>'Tar LBO Tables'!I38</f>
        <v>0.13312555924525293</v>
      </c>
      <c r="G48" s="383">
        <f>'Tar LBO Tables'!J38</f>
        <v>0.10933944617970437</v>
      </c>
      <c r="R48" s="1114"/>
      <c r="S48" s="1039"/>
      <c r="T48" s="1039"/>
      <c r="U48" s="1039"/>
      <c r="V48" s="1039"/>
      <c r="W48" s="1039"/>
    </row>
    <row r="49" spans="2:23" ht="12.75" customHeight="1">
      <c r="I49" s="1051"/>
      <c r="J49" s="263"/>
      <c r="K49" s="263"/>
      <c r="L49" s="1052"/>
      <c r="M49" s="1052"/>
      <c r="N49" s="1052"/>
      <c r="O49" s="1052"/>
      <c r="P49" s="1052"/>
      <c r="Q49" s="1052"/>
      <c r="R49" s="1114"/>
      <c r="S49" s="1039"/>
      <c r="T49" s="1039"/>
      <c r="U49" s="1039"/>
      <c r="V49" s="1039"/>
      <c r="W49" s="1039"/>
    </row>
    <row r="50" spans="2:23">
      <c r="B50" s="4"/>
      <c r="C50" s="4"/>
      <c r="D50" s="4"/>
      <c r="E50" s="4"/>
      <c r="F50" s="4"/>
      <c r="G50" s="4"/>
      <c r="I50" s="1051"/>
      <c r="J50" s="263"/>
      <c r="K50" s="263"/>
      <c r="L50" s="1052"/>
      <c r="M50" s="1052"/>
      <c r="N50" s="1052"/>
      <c r="O50" s="1052"/>
      <c r="P50" s="1052"/>
      <c r="Q50" s="1052"/>
      <c r="R50" s="1114"/>
      <c r="S50" s="1039"/>
      <c r="T50" s="1039"/>
      <c r="U50" s="1039"/>
      <c r="V50" s="1039"/>
      <c r="W50" s="1039"/>
    </row>
    <row r="51" spans="2:23" ht="13.5">
      <c r="B51" s="250" t="str">
        <f>"(a) Includes "&amp;FIXED(trsu,1)&amp;"mm Restricted Stock Units."</f>
        <v>(a) Includes 0.2mm Restricted Stock Units.</v>
      </c>
      <c r="C51" s="156"/>
      <c r="D51" s="156"/>
      <c r="E51" s="156"/>
      <c r="F51" s="156"/>
      <c r="G51" s="1053"/>
      <c r="H51" s="156"/>
      <c r="I51" s="1054"/>
      <c r="J51" s="156"/>
      <c r="K51" s="156"/>
      <c r="L51" s="1055"/>
      <c r="M51" s="1055"/>
      <c r="N51" s="1055"/>
      <c r="O51" s="1055"/>
      <c r="P51" s="1055"/>
      <c r="Q51" s="1055"/>
    </row>
    <row r="52" spans="2:23" ht="13.5">
      <c r="B52" s="814" t="s">
        <v>407</v>
      </c>
      <c r="C52" s="4"/>
      <c r="D52" s="4"/>
      <c r="E52" s="4"/>
      <c r="F52" s="4"/>
      <c r="G52" s="294"/>
      <c r="H52" s="4"/>
      <c r="I52" s="1056"/>
      <c r="J52" s="4"/>
      <c r="K52" s="4"/>
      <c r="L52" s="303"/>
      <c r="M52" s="303"/>
      <c r="N52" s="303"/>
      <c r="O52" s="303"/>
      <c r="P52" s="303"/>
      <c r="Q52" s="303"/>
    </row>
    <row r="53" spans="2:23" ht="13.5">
      <c r="B53" s="360" t="str">
        <f>"(c) Assumes "&amp;TEXT(E128,"0.0 x")&amp;" rent methodology."</f>
        <v>(c) Assumes 8.0 x rent methodology.</v>
      </c>
      <c r="C53" s="4"/>
      <c r="D53" s="4"/>
      <c r="E53" s="4"/>
      <c r="F53" s="4"/>
      <c r="G53" s="294"/>
      <c r="H53" s="4"/>
      <c r="I53" s="1056"/>
      <c r="J53" s="4"/>
      <c r="K53" s="4"/>
      <c r="L53" s="303"/>
      <c r="M53" s="303"/>
      <c r="N53" s="303"/>
      <c r="O53" s="303"/>
      <c r="P53" s="303"/>
      <c r="Q53" s="303"/>
    </row>
    <row r="54" spans="2:23" ht="13.5">
      <c r="B54" s="1057"/>
      <c r="C54" s="4"/>
      <c r="D54" s="4"/>
      <c r="E54" s="4"/>
      <c r="F54" s="4"/>
      <c r="G54" s="294"/>
      <c r="H54" s="4"/>
      <c r="I54" s="1056"/>
      <c r="J54" s="4"/>
      <c r="K54" s="4"/>
      <c r="L54" s="303"/>
      <c r="M54" s="303"/>
      <c r="N54" s="303"/>
      <c r="O54" s="303"/>
      <c r="P54" s="303"/>
      <c r="Q54" s="303"/>
    </row>
    <row r="55" spans="2:23" ht="15.95" customHeight="1" collapsed="1">
      <c r="B55" s="170" t="s">
        <v>369</v>
      </c>
      <c r="C55" s="992"/>
      <c r="D55" s="992"/>
      <c r="E55" s="992"/>
      <c r="F55" s="992"/>
      <c r="G55" s="992"/>
      <c r="H55" s="992"/>
      <c r="I55" s="992"/>
      <c r="J55" s="992"/>
      <c r="K55" s="992"/>
      <c r="L55" s="992"/>
      <c r="M55" s="993"/>
      <c r="N55" s="993"/>
      <c r="O55" s="993"/>
      <c r="P55" s="993"/>
      <c r="Q55" s="993"/>
    </row>
    <row r="56" spans="2:23" ht="3" customHeight="1">
      <c r="B56" s="1057"/>
      <c r="C56" s="4"/>
      <c r="D56" s="4"/>
      <c r="E56" s="4"/>
      <c r="F56" s="4"/>
      <c r="G56" s="294"/>
      <c r="H56" s="4"/>
      <c r="I56" s="1056"/>
      <c r="J56" s="4"/>
      <c r="K56" s="4"/>
      <c r="L56" s="303"/>
      <c r="M56" s="303"/>
      <c r="N56" s="303"/>
      <c r="O56" s="303"/>
      <c r="P56" s="303"/>
      <c r="Q56" s="303"/>
    </row>
    <row r="57" spans="2:23" ht="13.5" thickBot="1">
      <c r="B57" s="849" t="s">
        <v>44</v>
      </c>
      <c r="C57" s="1058"/>
      <c r="D57" s="1058"/>
      <c r="E57" s="1058"/>
      <c r="F57" s="1058"/>
      <c r="H57" s="4"/>
      <c r="I57" s="4"/>
      <c r="J57" s="1059" t="s">
        <v>381</v>
      </c>
      <c r="K57" s="1060"/>
      <c r="L57" s="1060"/>
      <c r="M57" s="1060"/>
      <c r="N57" s="1061"/>
      <c r="O57" s="1061"/>
      <c r="P57" s="1061"/>
      <c r="Q57" s="1061"/>
    </row>
    <row r="58" spans="2:23">
      <c r="B58" s="3" t="s">
        <v>21</v>
      </c>
      <c r="F58" s="153">
        <f ca="1">G19</f>
        <v>249.74275</v>
      </c>
      <c r="H58" s="4"/>
      <c r="I58" s="4"/>
      <c r="J58" s="17" t="s">
        <v>373</v>
      </c>
      <c r="K58" s="17"/>
      <c r="L58" s="17"/>
      <c r="M58" s="17"/>
      <c r="O58" s="1062"/>
      <c r="P58" s="303"/>
      <c r="Q58" s="1063">
        <f>'Tar Proj'!F146</f>
        <v>250</v>
      </c>
    </row>
    <row r="59" spans="2:23">
      <c r="B59" s="3" t="s">
        <v>350</v>
      </c>
      <c r="F59" s="161">
        <f ca="1">H116</f>
        <v>79.498413782091419</v>
      </c>
      <c r="H59" s="4"/>
      <c r="I59" s="4"/>
      <c r="J59" s="17" t="s">
        <v>339</v>
      </c>
      <c r="K59" s="17"/>
      <c r="L59" s="17"/>
      <c r="M59" s="59"/>
      <c r="O59" s="1062"/>
      <c r="P59" s="303"/>
      <c r="Q59" s="435">
        <f>'Tar Proj'!F106</f>
        <v>10</v>
      </c>
    </row>
    <row r="60" spans="2:23">
      <c r="B60" s="3" t="s">
        <v>354</v>
      </c>
      <c r="F60" s="161">
        <f>-H99</f>
        <v>-31.388000000000002</v>
      </c>
      <c r="H60" s="4"/>
      <c r="I60" s="4"/>
      <c r="J60" s="17"/>
      <c r="K60" s="17"/>
      <c r="L60" s="17"/>
      <c r="M60" s="59"/>
      <c r="N60" s="17"/>
      <c r="O60" s="1062"/>
      <c r="P60" s="303"/>
      <c r="Q60" s="303"/>
    </row>
    <row r="61" spans="2:23" ht="13.5" thickBot="1">
      <c r="B61" s="151" t="s">
        <v>351</v>
      </c>
      <c r="C61" s="4"/>
      <c r="D61" s="4"/>
      <c r="E61" s="4"/>
      <c r="F61" s="260">
        <f ca="1">SUM(F59:F60)</f>
        <v>48.110413782091413</v>
      </c>
      <c r="H61" s="4"/>
      <c r="I61" s="4"/>
      <c r="J61" s="1059" t="s">
        <v>378</v>
      </c>
      <c r="K61" s="1060"/>
      <c r="L61" s="1060"/>
      <c r="M61" s="1060"/>
      <c r="N61" s="1061"/>
      <c r="O61" s="1061"/>
      <c r="P61" s="1061"/>
      <c r="Q61" s="1061"/>
    </row>
    <row r="62" spans="2:23">
      <c r="H62" s="4"/>
      <c r="I62" s="4"/>
      <c r="J62" s="17"/>
      <c r="M62" s="1064">
        <f>M28</f>
        <v>2020</v>
      </c>
      <c r="N62" s="1064">
        <f>N28</f>
        <v>2021</v>
      </c>
      <c r="O62" s="1064">
        <f>O28</f>
        <v>2022</v>
      </c>
      <c r="P62" s="1064">
        <f>P28</f>
        <v>2023</v>
      </c>
      <c r="Q62" s="1064">
        <f>Q28</f>
        <v>2024</v>
      </c>
    </row>
    <row r="63" spans="2:23">
      <c r="B63" s="3" t="s">
        <v>349</v>
      </c>
      <c r="F63" s="372">
        <v>0.15</v>
      </c>
      <c r="H63" s="4"/>
      <c r="I63" s="4"/>
      <c r="J63" s="10" t="str">
        <f>I14</f>
        <v>Term Loan</v>
      </c>
      <c r="M63" s="1065">
        <v>0.01</v>
      </c>
      <c r="N63" s="1065">
        <v>0.01</v>
      </c>
      <c r="O63" s="1065">
        <v>0.01</v>
      </c>
      <c r="P63" s="1065">
        <v>0.01</v>
      </c>
      <c r="Q63" s="1065">
        <v>0.01</v>
      </c>
    </row>
    <row r="64" spans="2:23">
      <c r="B64" s="3" t="s">
        <v>352</v>
      </c>
      <c r="C64" s="4"/>
      <c r="D64" s="4"/>
      <c r="E64" s="4"/>
      <c r="F64" s="146">
        <f ca="1">(F58-F59)*F63</f>
        <v>25.53665043268629</v>
      </c>
      <c r="H64" s="4"/>
      <c r="I64" s="4"/>
      <c r="J64" s="10" t="str">
        <f>I15</f>
        <v>Senior Notes</v>
      </c>
      <c r="M64" s="62">
        <v>0</v>
      </c>
      <c r="N64" s="62">
        <v>0</v>
      </c>
      <c r="O64" s="62">
        <v>0</v>
      </c>
      <c r="P64" s="62">
        <v>0</v>
      </c>
      <c r="Q64" s="62">
        <v>0</v>
      </c>
    </row>
    <row r="65" spans="2:17">
      <c r="B65" s="3" t="s">
        <v>275</v>
      </c>
      <c r="F65" s="229">
        <v>10</v>
      </c>
      <c r="H65" s="4"/>
      <c r="I65" s="4"/>
      <c r="J65" s="10" t="str">
        <f>I16</f>
        <v>Subordinated Notes</v>
      </c>
      <c r="M65" s="62">
        <v>0</v>
      </c>
      <c r="N65" s="62">
        <v>0</v>
      </c>
      <c r="O65" s="62">
        <v>0</v>
      </c>
      <c r="P65" s="62">
        <v>0</v>
      </c>
      <c r="Q65" s="62">
        <v>0</v>
      </c>
    </row>
    <row r="66" spans="2:17">
      <c r="B66" s="151" t="s">
        <v>276</v>
      </c>
      <c r="D66" s="4"/>
      <c r="E66" s="4"/>
      <c r="F66" s="584">
        <f ca="1">F64/F65</f>
        <v>2.5536650432686292</v>
      </c>
      <c r="H66" s="4"/>
      <c r="I66" s="4"/>
      <c r="P66" s="303"/>
      <c r="Q66" s="303"/>
    </row>
    <row r="67" spans="2:17" ht="13.5" thickBot="1">
      <c r="B67" s="4"/>
      <c r="C67" s="4"/>
      <c r="D67" s="4"/>
      <c r="E67" s="4"/>
      <c r="F67" s="4"/>
      <c r="G67" s="4"/>
      <c r="H67" s="4"/>
      <c r="I67" s="4"/>
      <c r="J67" s="1066" t="s">
        <v>372</v>
      </c>
      <c r="K67" s="1061"/>
      <c r="L67" s="1061"/>
      <c r="M67" s="1061"/>
      <c r="N67" s="1061"/>
      <c r="O67" s="1061"/>
      <c r="P67" s="1061"/>
      <c r="Q67" s="1061"/>
    </row>
    <row r="68" spans="2:17">
      <c r="B68" s="4" t="str">
        <f>+B58</f>
        <v>Purchase Price of Equity</v>
      </c>
      <c r="C68" s="4"/>
      <c r="D68" s="4"/>
      <c r="E68" s="4"/>
      <c r="F68" s="68">
        <f ca="1">+F58</f>
        <v>249.74275</v>
      </c>
      <c r="G68" s="4"/>
      <c r="H68" s="4"/>
      <c r="I68" s="4"/>
      <c r="J68" s="17" t="s">
        <v>372</v>
      </c>
      <c r="K68" s="17"/>
      <c r="L68" s="17"/>
      <c r="M68" s="4"/>
      <c r="N68" s="17"/>
      <c r="O68" s="54"/>
      <c r="P68" s="303"/>
      <c r="Q68" s="62">
        <v>0.01</v>
      </c>
    </row>
    <row r="69" spans="2:17">
      <c r="B69" s="4" t="str">
        <f>+B61</f>
        <v>Tangible Book Value</v>
      </c>
      <c r="C69" s="4"/>
      <c r="D69" s="4"/>
      <c r="E69" s="4"/>
      <c r="F69" s="68">
        <f ca="1">-F61</f>
        <v>-48.110413782091413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2:17" ht="13.5" thickBot="1">
      <c r="B70" s="4" t="str">
        <f>+B64</f>
        <v>Identifiable Intangibles Adjustment</v>
      </c>
      <c r="C70" s="4"/>
      <c r="D70" s="4"/>
      <c r="E70" s="4"/>
      <c r="F70" s="68">
        <f ca="1">-F64</f>
        <v>-25.53665043268629</v>
      </c>
      <c r="G70" s="4"/>
      <c r="H70" s="4"/>
      <c r="I70" s="4"/>
      <c r="J70" s="1066" t="s">
        <v>566</v>
      </c>
      <c r="K70" s="1061"/>
      <c r="L70" s="1061"/>
      <c r="M70" s="1061"/>
      <c r="N70" s="1061"/>
      <c r="O70" s="1061"/>
      <c r="P70" s="1061"/>
      <c r="Q70" s="1061"/>
    </row>
    <row r="71" spans="2:17">
      <c r="B71" s="4" t="s">
        <v>518</v>
      </c>
      <c r="C71" s="4"/>
      <c r="D71" s="4"/>
      <c r="E71" s="4"/>
      <c r="F71" s="68">
        <f ca="1">+F64*L142</f>
        <v>6.3841626081715726</v>
      </c>
      <c r="G71" s="4"/>
      <c r="H71" s="4"/>
      <c r="I71" s="4"/>
      <c r="J71" s="17"/>
      <c r="K71" s="4"/>
      <c r="L71" s="4"/>
      <c r="M71" s="17"/>
      <c r="N71" s="17"/>
      <c r="O71" s="17"/>
      <c r="P71" s="17"/>
      <c r="Q71" s="27" t="s">
        <v>308</v>
      </c>
    </row>
    <row r="72" spans="2:17">
      <c r="B72" s="151" t="s">
        <v>353</v>
      </c>
      <c r="C72" s="4"/>
      <c r="D72" s="4"/>
      <c r="E72" s="4"/>
      <c r="F72" s="584">
        <f ca="1">SUM(F68:F71)</f>
        <v>182.47984839339387</v>
      </c>
      <c r="G72" s="4"/>
      <c r="H72" s="4"/>
      <c r="I72" s="4"/>
      <c r="J72" s="10"/>
      <c r="K72" s="4"/>
      <c r="L72" s="4"/>
      <c r="M72" s="27" t="s">
        <v>11</v>
      </c>
      <c r="N72" s="27" t="s">
        <v>379</v>
      </c>
      <c r="O72" s="27" t="s">
        <v>380</v>
      </c>
      <c r="P72" s="27" t="s">
        <v>326</v>
      </c>
      <c r="Q72" s="27" t="s">
        <v>331</v>
      </c>
    </row>
    <row r="73" spans="2:17">
      <c r="C73" s="4"/>
      <c r="D73" s="4"/>
      <c r="E73" s="4"/>
      <c r="F73" s="68"/>
      <c r="G73" s="4"/>
      <c r="H73" s="4"/>
      <c r="I73" s="4"/>
      <c r="J73" s="10" t="s">
        <v>86</v>
      </c>
      <c r="K73" s="4"/>
      <c r="L73" s="4"/>
      <c r="M73" s="950">
        <f>Q58</f>
        <v>250</v>
      </c>
      <c r="N73" s="1067">
        <v>1.4999999999999999E-2</v>
      </c>
      <c r="O73" s="1068">
        <f>IFERROR(M73*N73,0)</f>
        <v>3.75</v>
      </c>
      <c r="P73" s="1069">
        <f>Q13</f>
        <v>5</v>
      </c>
      <c r="Q73" s="1070">
        <f>IFERROR(O73/P73,0)</f>
        <v>0.75</v>
      </c>
    </row>
    <row r="74" spans="2:17">
      <c r="B74" s="4"/>
      <c r="C74" s="4"/>
      <c r="D74" s="4"/>
      <c r="E74" s="4"/>
      <c r="F74" s="4"/>
      <c r="G74" s="4"/>
      <c r="H74" s="4"/>
      <c r="I74" s="4"/>
      <c r="J74" s="10" t="str">
        <f>I14</f>
        <v>Term Loan</v>
      </c>
      <c r="K74" s="4"/>
      <c r="L74" s="4"/>
      <c r="M74" s="595">
        <f ca="1">L14</f>
        <v>70</v>
      </c>
      <c r="N74" s="1071">
        <v>1.4999999999999999E-2</v>
      </c>
      <c r="O74" s="595">
        <f ca="1">IFERROR(M74*N74,0)</f>
        <v>1.05</v>
      </c>
      <c r="P74" s="595">
        <f>Q14</f>
        <v>5</v>
      </c>
      <c r="Q74" s="32">
        <f ca="1">IFERROR(O74/P74,0)</f>
        <v>0.21000000000000002</v>
      </c>
    </row>
    <row r="75" spans="2:17" ht="13.5" thickBot="1">
      <c r="B75" s="849" t="s">
        <v>419</v>
      </c>
      <c r="C75" s="567"/>
      <c r="D75" s="567"/>
      <c r="E75" s="567"/>
      <c r="F75" s="567"/>
      <c r="G75" s="4"/>
      <c r="H75" s="68"/>
      <c r="I75" s="4"/>
      <c r="J75" s="10" t="str">
        <f>I15</f>
        <v>Senior Notes</v>
      </c>
      <c r="K75" s="4"/>
      <c r="L75" s="4"/>
      <c r="M75" s="595">
        <f ca="1">L15</f>
        <v>30</v>
      </c>
      <c r="N75" s="1071">
        <v>2.2499999999999999E-2</v>
      </c>
      <c r="O75" s="595">
        <f ca="1">IFERROR(M75*N75,0)</f>
        <v>0.67499999999999993</v>
      </c>
      <c r="P75" s="595">
        <f>Q15</f>
        <v>8</v>
      </c>
      <c r="Q75" s="32">
        <f ca="1">IFERROR(O75/P75,0)</f>
        <v>8.4374999999999992E-2</v>
      </c>
    </row>
    <row r="76" spans="2:17">
      <c r="B76" s="850" t="s">
        <v>171</v>
      </c>
      <c r="C76" s="850" t="s">
        <v>248</v>
      </c>
      <c r="D76" s="850" t="s">
        <v>420</v>
      </c>
      <c r="G76" s="4"/>
      <c r="H76" s="816"/>
      <c r="I76" s="4"/>
      <c r="J76" s="10" t="str">
        <f>I16</f>
        <v>Subordinated Notes</v>
      </c>
      <c r="K76" s="4"/>
      <c r="L76" s="4"/>
      <c r="M76" s="595">
        <f ca="1">L16</f>
        <v>20</v>
      </c>
      <c r="N76" s="1071">
        <v>2.2499999999999999E-2</v>
      </c>
      <c r="O76" s="595">
        <f ca="1">IFERROR(M76*N76,0)</f>
        <v>0.44999999999999996</v>
      </c>
      <c r="P76" s="595">
        <f>Q16</f>
        <v>8</v>
      </c>
      <c r="Q76" s="32">
        <f ca="1">IFERROR(O76/P76,0)</f>
        <v>5.6249999999999994E-2</v>
      </c>
    </row>
    <row r="77" spans="2:17">
      <c r="B77" s="1115">
        <f>Inputs!K25</f>
        <v>0.1</v>
      </c>
      <c r="C77" s="1116">
        <f>Inputs!L25</f>
        <v>20</v>
      </c>
      <c r="D77" s="851">
        <f ca="1">IF($C77&lt;G$12,(G$12-$C77)*$B77/G$12,0)</f>
        <v>4.2857142857142858E-2</v>
      </c>
      <c r="G77" s="4"/>
      <c r="H77" s="816"/>
      <c r="I77" s="4"/>
      <c r="J77" s="323" t="s">
        <v>67</v>
      </c>
      <c r="K77" s="4"/>
      <c r="L77" s="4"/>
      <c r="M77" s="950">
        <f ca="1">SUM(M73:M76)</f>
        <v>370</v>
      </c>
      <c r="N77" s="1072">
        <f ca="1">O77/M77</f>
        <v>1.6013513513513513E-2</v>
      </c>
      <c r="O77" s="1068">
        <f ca="1">SUM(O73:O76)</f>
        <v>5.9249999999999998</v>
      </c>
      <c r="P77" s="32"/>
      <c r="Q77" s="1068">
        <f ca="1">SUM(Q73:Q76)</f>
        <v>1.100625</v>
      </c>
    </row>
    <row r="78" spans="2:17">
      <c r="B78" s="1117">
        <f>Inputs!K26</f>
        <v>0</v>
      </c>
      <c r="C78" s="682">
        <f>Inputs!L26</f>
        <v>0</v>
      </c>
      <c r="D78" s="854">
        <f t="shared" ref="D78:D82" ca="1" si="13">IF($C78&lt;G$12,(G$12-$C78)*$B78/G$12,0)</f>
        <v>0</v>
      </c>
      <c r="G78" s="4"/>
      <c r="H78" s="816"/>
      <c r="I78" s="4"/>
      <c r="J78" s="4"/>
      <c r="K78" s="4"/>
      <c r="L78" s="4"/>
      <c r="M78" s="4"/>
      <c r="N78" s="4"/>
      <c r="O78" s="4"/>
      <c r="P78" s="4"/>
      <c r="Q78" s="4"/>
    </row>
    <row r="79" spans="2:17" ht="13.5" thickBot="1">
      <c r="B79" s="1117">
        <f>Inputs!K27</f>
        <v>0</v>
      </c>
      <c r="C79" s="682">
        <f>Inputs!L27</f>
        <v>0</v>
      </c>
      <c r="D79" s="854">
        <f t="shared" ca="1" si="13"/>
        <v>0</v>
      </c>
      <c r="G79" s="4"/>
      <c r="H79" s="816"/>
      <c r="I79" s="4"/>
      <c r="J79" s="1066" t="s">
        <v>565</v>
      </c>
      <c r="K79" s="1061"/>
      <c r="L79" s="1061"/>
      <c r="M79" s="1061"/>
      <c r="N79" s="1061"/>
      <c r="O79" s="1061"/>
      <c r="P79" s="1061"/>
      <c r="Q79" s="1061"/>
    </row>
    <row r="80" spans="2:17">
      <c r="B80" s="1117">
        <f>Inputs!K28</f>
        <v>0</v>
      </c>
      <c r="C80" s="682">
        <f>Inputs!L28</f>
        <v>0</v>
      </c>
      <c r="D80" s="854">
        <f t="shared" ca="1" si="13"/>
        <v>0</v>
      </c>
      <c r="E80" s="4"/>
      <c r="F80" s="4"/>
      <c r="G80" s="4"/>
      <c r="H80" s="816"/>
      <c r="I80" s="4"/>
      <c r="J80" s="17"/>
      <c r="K80" s="4"/>
      <c r="L80" s="4"/>
      <c r="M80" s="4"/>
      <c r="N80" s="4"/>
      <c r="O80" s="4"/>
      <c r="P80" s="4"/>
      <c r="Q80" s="142" t="s">
        <v>308</v>
      </c>
    </row>
    <row r="81" spans="1:17">
      <c r="B81" s="1117">
        <f>Inputs!K29</f>
        <v>0</v>
      </c>
      <c r="C81" s="682">
        <f>Inputs!L29</f>
        <v>0</v>
      </c>
      <c r="D81" s="854">
        <f t="shared" ca="1" si="13"/>
        <v>0</v>
      </c>
      <c r="E81" s="858"/>
      <c r="F81" s="4"/>
      <c r="G81" s="4"/>
      <c r="H81" s="816"/>
      <c r="I81" s="4"/>
      <c r="J81" s="10"/>
      <c r="K81" s="4"/>
      <c r="L81" s="4"/>
      <c r="M81" s="142" t="s">
        <v>11</v>
      </c>
      <c r="N81" s="142" t="s">
        <v>480</v>
      </c>
      <c r="O81" s="142" t="s">
        <v>481</v>
      </c>
      <c r="P81" s="142" t="s">
        <v>326</v>
      </c>
      <c r="Q81" s="142" t="s">
        <v>331</v>
      </c>
    </row>
    <row r="82" spans="1:17">
      <c r="B82" s="1117">
        <f>Inputs!K30</f>
        <v>0</v>
      </c>
      <c r="C82" s="682">
        <f>Inputs!L30</f>
        <v>0</v>
      </c>
      <c r="D82" s="854">
        <f t="shared" ca="1" si="13"/>
        <v>0</v>
      </c>
      <c r="E82" s="858"/>
      <c r="F82" s="4"/>
      <c r="G82" s="4"/>
      <c r="H82" s="816"/>
      <c r="I82" s="4"/>
      <c r="J82" s="10" t="str">
        <f>+J74</f>
        <v>Term Loan</v>
      </c>
      <c r="K82" s="4"/>
      <c r="L82" s="4"/>
      <c r="M82" s="863">
        <f ca="1">+M74</f>
        <v>70</v>
      </c>
      <c r="N82" s="864">
        <f>+P14</f>
        <v>100</v>
      </c>
      <c r="O82" s="865">
        <f ca="1">IFERROR(M82*(1-N82/100),0)</f>
        <v>0</v>
      </c>
      <c r="P82" s="865">
        <f>+P74</f>
        <v>5</v>
      </c>
      <c r="Q82" s="866">
        <f ca="1">IFERROR(O82/P82,0)</f>
        <v>0</v>
      </c>
    </row>
    <row r="83" spans="1:17">
      <c r="B83" s="1117"/>
      <c r="C83" s="682"/>
      <c r="D83" s="854"/>
      <c r="E83" s="858"/>
      <c r="F83" s="4"/>
      <c r="G83" s="4"/>
      <c r="H83" s="816"/>
      <c r="I83" s="4"/>
      <c r="J83" s="10" t="str">
        <f>+J75</f>
        <v>Senior Notes</v>
      </c>
      <c r="K83" s="4"/>
      <c r="L83" s="4"/>
      <c r="M83" s="595">
        <f ca="1">+M75</f>
        <v>30</v>
      </c>
      <c r="N83" s="867">
        <f>+P15</f>
        <v>98</v>
      </c>
      <c r="O83" s="595">
        <f ca="1">IFERROR(M83*(1-N83/100),0)</f>
        <v>0.60000000000000053</v>
      </c>
      <c r="P83" s="595">
        <f>+P75</f>
        <v>8</v>
      </c>
      <c r="Q83" s="32">
        <f ca="1">IFERROR(O83/P83,0)</f>
        <v>7.5000000000000067E-2</v>
      </c>
    </row>
    <row r="84" spans="1:17">
      <c r="B84" s="1117"/>
      <c r="C84" s="682"/>
      <c r="D84" s="854"/>
      <c r="E84" s="858"/>
      <c r="F84" s="4"/>
      <c r="G84" s="4"/>
      <c r="H84" s="816"/>
      <c r="I84" s="4"/>
      <c r="J84" s="10" t="str">
        <f>+J76</f>
        <v>Subordinated Notes</v>
      </c>
      <c r="K84" s="4"/>
      <c r="L84" s="4"/>
      <c r="M84" s="595">
        <f ca="1">+M76</f>
        <v>20</v>
      </c>
      <c r="N84" s="867">
        <f>+P16</f>
        <v>97</v>
      </c>
      <c r="O84" s="595">
        <f ca="1">IFERROR(M84*(1-N84/100),0)</f>
        <v>0.60000000000000053</v>
      </c>
      <c r="P84" s="595">
        <f>+P76</f>
        <v>8</v>
      </c>
      <c r="Q84" s="32">
        <f ca="1">IFERROR(O84/P84,0)</f>
        <v>7.5000000000000067E-2</v>
      </c>
    </row>
    <row r="85" spans="1:17">
      <c r="B85" s="1117"/>
      <c r="C85" s="682"/>
      <c r="D85" s="854"/>
      <c r="E85" s="858"/>
      <c r="F85" s="4"/>
      <c r="G85" s="4"/>
      <c r="H85" s="816"/>
      <c r="I85" s="4"/>
      <c r="J85" s="323" t="s">
        <v>67</v>
      </c>
      <c r="K85" s="4"/>
      <c r="L85" s="4"/>
      <c r="M85" s="950">
        <f ca="1">SUM(M82:M84)</f>
        <v>120</v>
      </c>
      <c r="N85" s="1073"/>
      <c r="O85" s="1068">
        <f ca="1">SUM(O82:O84)</f>
        <v>1.2000000000000011</v>
      </c>
      <c r="P85" s="32"/>
      <c r="Q85" s="1068">
        <f ca="1">SUM(Q82:Q84)</f>
        <v>0.15000000000000013</v>
      </c>
    </row>
    <row r="86" spans="1:17">
      <c r="B86" s="861">
        <f>SUM(B77:B85)</f>
        <v>0.1</v>
      </c>
      <c r="C86" s="862">
        <f>SUMPRODUCT(B77:B85,C77:C85)/B86</f>
        <v>20</v>
      </c>
      <c r="D86" s="851">
        <f ca="1">SUM(D77:D85)</f>
        <v>4.2857142857142858E-2</v>
      </c>
      <c r="E86" s="858"/>
      <c r="F86" s="4"/>
      <c r="G86" s="4"/>
      <c r="H86" s="816"/>
      <c r="I86" s="4"/>
      <c r="J86" s="7"/>
      <c r="K86" s="7"/>
      <c r="L86" s="4"/>
      <c r="M86" s="54"/>
      <c r="N86" s="54"/>
      <c r="O86" s="4"/>
      <c r="P86" s="303"/>
      <c r="Q86" s="303"/>
    </row>
    <row r="87" spans="1:17">
      <c r="B87" s="4"/>
      <c r="C87" s="4"/>
      <c r="D87" s="4"/>
      <c r="E87" s="4"/>
      <c r="F87" s="4"/>
      <c r="G87" s="4"/>
      <c r="H87" s="816"/>
      <c r="I87" s="4"/>
      <c r="J87" s="323"/>
      <c r="K87" s="873"/>
      <c r="L87" s="1073"/>
      <c r="M87" s="873"/>
      <c r="N87" s="32"/>
      <c r="O87" s="873"/>
      <c r="P87" s="303"/>
      <c r="Q87" s="303"/>
    </row>
    <row r="88" spans="1:17" ht="15.95" customHeight="1" collapsed="1">
      <c r="A88" s="4" t="s">
        <v>167</v>
      </c>
      <c r="B88" s="170" t="s">
        <v>28</v>
      </c>
      <c r="C88" s="992"/>
      <c r="D88" s="992"/>
      <c r="E88" s="992"/>
      <c r="F88" s="992"/>
      <c r="G88" s="992"/>
      <c r="H88" s="992"/>
      <c r="I88" s="992"/>
      <c r="J88" s="992"/>
      <c r="K88" s="992"/>
      <c r="L88" s="992"/>
      <c r="M88" s="993"/>
      <c r="N88" s="993"/>
      <c r="O88" s="993"/>
      <c r="P88" s="993"/>
      <c r="Q88" s="993"/>
    </row>
    <row r="89" spans="1:17" ht="15" customHeight="1">
      <c r="P89" s="8" t="s">
        <v>29</v>
      </c>
    </row>
    <row r="90" spans="1:17">
      <c r="H90" s="457" t="str">
        <f>tar&amp;" Projected"</f>
        <v>SG ENTERPRISES Projected</v>
      </c>
      <c r="L90" s="8" t="s">
        <v>140</v>
      </c>
      <c r="N90" s="8" t="s">
        <v>33</v>
      </c>
      <c r="P90" s="8" t="s">
        <v>34</v>
      </c>
    </row>
    <row r="91" spans="1:17">
      <c r="H91" s="416" t="str">
        <f>"at "&amp;TEXT(edate,"m/d/y")</f>
        <v>at 12/31/19</v>
      </c>
      <c r="L91" s="363" t="s">
        <v>36</v>
      </c>
      <c r="N91" s="363" t="s">
        <v>36</v>
      </c>
      <c r="P91" s="363" t="s">
        <v>37</v>
      </c>
    </row>
    <row r="92" spans="1:17">
      <c r="B92" s="139" t="s">
        <v>35</v>
      </c>
      <c r="H92" s="109"/>
    </row>
    <row r="93" spans="1:17">
      <c r="B93" s="3" t="s">
        <v>38</v>
      </c>
      <c r="H93" s="113">
        <f ca="1">'Tar Proj'!L58</f>
        <v>49.568497115424755</v>
      </c>
      <c r="I93" s="620"/>
      <c r="J93" s="298"/>
      <c r="K93" s="298"/>
      <c r="L93" s="298"/>
      <c r="M93" s="298"/>
      <c r="N93" s="153">
        <f ca="1">-L21</f>
        <v>-39.568497115424755</v>
      </c>
      <c r="O93" s="298" t="s">
        <v>250</v>
      </c>
      <c r="P93" s="153">
        <f ca="1">H93+L93+N93</f>
        <v>10</v>
      </c>
    </row>
    <row r="94" spans="1:17">
      <c r="B94" s="3" t="s">
        <v>39</v>
      </c>
      <c r="H94" s="115">
        <f>'Tar Proj'!L59</f>
        <v>9.8895833333333343</v>
      </c>
      <c r="I94" s="161"/>
      <c r="J94" s="161"/>
      <c r="K94" s="161"/>
      <c r="L94" s="161"/>
      <c r="M94" s="161"/>
      <c r="N94" s="161"/>
      <c r="O94" s="161"/>
      <c r="P94" s="161">
        <f>H94+L94+N94</f>
        <v>9.8895833333333343</v>
      </c>
    </row>
    <row r="95" spans="1:17">
      <c r="B95" s="3" t="s">
        <v>40</v>
      </c>
      <c r="H95" s="115">
        <f>'Tar Proj'!L60</f>
        <v>4.403437499999999</v>
      </c>
      <c r="I95" s="161"/>
      <c r="J95" s="161"/>
      <c r="K95" s="161"/>
      <c r="L95" s="161"/>
      <c r="M95" s="161"/>
      <c r="N95" s="161"/>
      <c r="O95" s="161"/>
      <c r="P95" s="161">
        <f>H95+L95+N95</f>
        <v>4.403437499999999</v>
      </c>
    </row>
    <row r="96" spans="1:17">
      <c r="B96" s="3" t="s">
        <v>41</v>
      </c>
      <c r="H96" s="143">
        <f>'Tar Proj'!L61</f>
        <v>1.6625000000000001</v>
      </c>
      <c r="I96" s="161"/>
      <c r="J96" s="161"/>
      <c r="K96" s="161"/>
      <c r="L96" s="161"/>
      <c r="M96" s="161"/>
      <c r="N96" s="161"/>
      <c r="O96" s="161"/>
      <c r="P96" s="268">
        <f>H96+L96+N96</f>
        <v>1.6625000000000001</v>
      </c>
    </row>
    <row r="97" spans="2:18">
      <c r="B97" s="3" t="s">
        <v>141</v>
      </c>
      <c r="H97" s="161">
        <f ca="1">SUM(H93:H96)</f>
        <v>65.524017948758086</v>
      </c>
      <c r="I97" s="161"/>
      <c r="J97" s="161"/>
      <c r="K97" s="161"/>
      <c r="L97" s="161"/>
      <c r="M97" s="161"/>
      <c r="N97" s="161"/>
      <c r="O97" s="161"/>
      <c r="P97" s="161">
        <f ca="1">SUM(P93:P96)</f>
        <v>25.955520833333335</v>
      </c>
    </row>
    <row r="98" spans="2:18">
      <c r="B98" s="3" t="s">
        <v>43</v>
      </c>
      <c r="H98" s="115">
        <f>'Tar Proj'!L63</f>
        <v>3.2780000000000005</v>
      </c>
      <c r="I98" s="161"/>
      <c r="J98" s="161"/>
      <c r="K98" s="161"/>
      <c r="L98" s="161"/>
      <c r="M98" s="161"/>
      <c r="N98" s="161"/>
      <c r="O98" s="161"/>
      <c r="P98" s="161">
        <f t="shared" ref="P98:P103" si="14">H98+L98+N98</f>
        <v>3.2780000000000005</v>
      </c>
    </row>
    <row r="99" spans="2:18" s="17" customFormat="1">
      <c r="B99" s="10" t="s">
        <v>332</v>
      </c>
      <c r="C99" s="10"/>
      <c r="D99" s="10"/>
      <c r="E99" s="10"/>
      <c r="G99" s="10"/>
      <c r="H99" s="408">
        <f>'Tar Proj'!L64</f>
        <v>31.388000000000002</v>
      </c>
      <c r="I99" s="40"/>
      <c r="J99" s="40"/>
      <c r="K99" s="40"/>
      <c r="L99" s="40">
        <f>-H99</f>
        <v>-31.388000000000002</v>
      </c>
      <c r="M99" s="40" t="s">
        <v>208</v>
      </c>
      <c r="N99" s="40"/>
      <c r="O99" s="40"/>
      <c r="P99" s="40">
        <f t="shared" si="14"/>
        <v>0</v>
      </c>
      <c r="Q99" s="10"/>
      <c r="R99" s="1104"/>
    </row>
    <row r="100" spans="2:18" s="17" customFormat="1">
      <c r="B100" s="10" t="s">
        <v>348</v>
      </c>
      <c r="C100" s="10"/>
      <c r="D100" s="10"/>
      <c r="E100" s="10"/>
      <c r="G100" s="10"/>
      <c r="H100" s="408">
        <f>'Tar Proj'!L65</f>
        <v>0.443</v>
      </c>
      <c r="I100" s="40"/>
      <c r="J100" s="40"/>
      <c r="K100" s="40"/>
      <c r="L100" s="40">
        <f ca="1">F64</f>
        <v>25.53665043268629</v>
      </c>
      <c r="M100" s="40" t="s">
        <v>267</v>
      </c>
      <c r="N100" s="40"/>
      <c r="O100" s="40"/>
      <c r="P100" s="40">
        <f t="shared" ca="1" si="14"/>
        <v>25.979650432686292</v>
      </c>
      <c r="Q100" s="10"/>
      <c r="R100" s="1104"/>
    </row>
    <row r="101" spans="2:18" s="17" customFormat="1">
      <c r="B101" s="10" t="s">
        <v>45</v>
      </c>
      <c r="C101" s="10"/>
      <c r="D101" s="10"/>
      <c r="E101" s="10"/>
      <c r="G101" s="10"/>
      <c r="H101" s="453">
        <v>0</v>
      </c>
      <c r="I101" s="40"/>
      <c r="J101" s="40"/>
      <c r="K101" s="40"/>
      <c r="L101" s="40">
        <f ca="1">F72</f>
        <v>182.47984839339387</v>
      </c>
      <c r="M101" s="40" t="s">
        <v>267</v>
      </c>
      <c r="N101" s="40"/>
      <c r="O101" s="40"/>
      <c r="P101" s="40">
        <f t="shared" ca="1" si="14"/>
        <v>182.47984839339387</v>
      </c>
      <c r="Q101" s="10"/>
      <c r="R101" s="1104"/>
    </row>
    <row r="102" spans="2:18" s="17" customFormat="1">
      <c r="B102" s="10" t="s">
        <v>374</v>
      </c>
      <c r="C102" s="10"/>
      <c r="D102" s="10"/>
      <c r="E102" s="10"/>
      <c r="G102" s="10"/>
      <c r="H102" s="453">
        <v>0</v>
      </c>
      <c r="I102" s="40"/>
      <c r="J102" s="40"/>
      <c r="K102" s="40"/>
      <c r="L102" s="40"/>
      <c r="M102" s="40"/>
      <c r="N102" s="40">
        <f ca="1">G22</f>
        <v>5.9249999999999998</v>
      </c>
      <c r="O102" s="40"/>
      <c r="P102" s="40">
        <f t="shared" ca="1" si="14"/>
        <v>5.9249999999999998</v>
      </c>
      <c r="Q102" s="10"/>
      <c r="R102" s="1104"/>
    </row>
    <row r="103" spans="2:18">
      <c r="B103" s="3" t="s">
        <v>232</v>
      </c>
      <c r="H103" s="140">
        <f ca="1">'Tar Proj'!L66</f>
        <v>6.3160000000000007</v>
      </c>
      <c r="I103" s="161"/>
      <c r="J103" s="161"/>
      <c r="K103" s="161"/>
      <c r="L103" s="161"/>
      <c r="M103" s="161"/>
      <c r="N103" s="161"/>
      <c r="O103" s="161"/>
      <c r="P103" s="268">
        <f t="shared" ca="1" si="14"/>
        <v>6.3160000000000007</v>
      </c>
    </row>
    <row r="104" spans="2:18">
      <c r="B104" s="3" t="s">
        <v>149</v>
      </c>
      <c r="H104" s="344">
        <f ca="1">SUM(H97:H103)</f>
        <v>106.9490179487581</v>
      </c>
      <c r="I104" s="153"/>
      <c r="J104" s="153"/>
      <c r="K104" s="153"/>
      <c r="L104" s="153"/>
      <c r="M104" s="153"/>
      <c r="N104" s="153"/>
      <c r="O104" s="153"/>
      <c r="P104" s="344">
        <f ca="1">SUM(P97:P103)</f>
        <v>249.93401965941351</v>
      </c>
    </row>
    <row r="105" spans="2:18">
      <c r="H105" s="4"/>
      <c r="P105" s="4"/>
    </row>
    <row r="106" spans="2:18">
      <c r="B106" s="139" t="s">
        <v>47</v>
      </c>
    </row>
    <row r="107" spans="2:18">
      <c r="B107" s="3" t="s">
        <v>48</v>
      </c>
      <c r="H107" s="113">
        <f>'Tar Proj'!L71</f>
        <v>4.3603124999999991</v>
      </c>
      <c r="I107" s="153"/>
      <c r="J107" s="153"/>
      <c r="K107" s="153"/>
      <c r="L107" s="153"/>
      <c r="M107" s="153"/>
      <c r="N107" s="153"/>
      <c r="O107" s="153"/>
      <c r="P107" s="153">
        <f>H107+L107+N107</f>
        <v>4.3603124999999991</v>
      </c>
    </row>
    <row r="108" spans="2:18">
      <c r="B108" s="3" t="s">
        <v>49</v>
      </c>
      <c r="H108" s="143">
        <f>'Tar Proj'!L72</f>
        <v>6.0822916666666673</v>
      </c>
      <c r="I108" s="161"/>
      <c r="J108" s="161"/>
      <c r="K108" s="161"/>
      <c r="L108" s="161"/>
      <c r="M108" s="161"/>
      <c r="N108" s="161"/>
      <c r="O108" s="161"/>
      <c r="P108" s="268">
        <f>H108+L108+N108</f>
        <v>6.0822916666666673</v>
      </c>
    </row>
    <row r="109" spans="2:18">
      <c r="B109" s="3" t="s">
        <v>142</v>
      </c>
      <c r="H109" s="161">
        <f>SUM(H107:H108)</f>
        <v>10.442604166666666</v>
      </c>
      <c r="I109" s="161"/>
      <c r="J109" s="161"/>
      <c r="K109" s="161"/>
      <c r="L109" s="161"/>
      <c r="M109" s="161"/>
      <c r="N109" s="161"/>
      <c r="O109" s="161"/>
      <c r="P109" s="161">
        <f>SUM(P107:P108)</f>
        <v>10.442604166666666</v>
      </c>
    </row>
    <row r="110" spans="2:18">
      <c r="B110" s="3" t="s">
        <v>51</v>
      </c>
      <c r="H110" s="115">
        <f ca="1">'Tar Proj'!L70+'Tar Proj'!L74</f>
        <v>0</v>
      </c>
      <c r="I110" s="161"/>
      <c r="J110" s="161"/>
      <c r="K110" s="161"/>
      <c r="L110" s="161"/>
      <c r="M110" s="161"/>
      <c r="N110" s="161">
        <f ca="1">L17-H110</f>
        <v>120</v>
      </c>
      <c r="O110" s="161" t="s">
        <v>251</v>
      </c>
      <c r="P110" s="161">
        <f t="shared" ref="P110:P116" ca="1" si="15">H110+L110+N110</f>
        <v>120</v>
      </c>
    </row>
    <row r="111" spans="2:18">
      <c r="B111" s="3" t="s">
        <v>233</v>
      </c>
      <c r="F111" s="4"/>
      <c r="H111" s="115">
        <f>'Tar Proj'!L75</f>
        <v>3.6030000000000002</v>
      </c>
      <c r="I111" s="161"/>
      <c r="J111" s="161"/>
      <c r="K111" s="161"/>
      <c r="L111" s="161"/>
      <c r="M111" s="161"/>
      <c r="N111" s="161"/>
      <c r="O111" s="161"/>
      <c r="P111" s="161">
        <f t="shared" si="15"/>
        <v>3.6030000000000002</v>
      </c>
    </row>
    <row r="112" spans="2:18">
      <c r="B112" s="3" t="s">
        <v>475</v>
      </c>
      <c r="F112" s="4"/>
      <c r="H112" s="201">
        <v>0</v>
      </c>
      <c r="I112" s="161"/>
      <c r="J112" s="161"/>
      <c r="K112" s="161"/>
      <c r="L112" s="161"/>
      <c r="M112" s="161"/>
      <c r="N112" s="161">
        <f ca="1">-G21</f>
        <v>-1.2000000000000011</v>
      </c>
      <c r="O112" s="161"/>
      <c r="P112" s="161">
        <f t="shared" ca="1" si="15"/>
        <v>-1.2000000000000011</v>
      </c>
    </row>
    <row r="113" spans="2:18">
      <c r="B113" s="3" t="s">
        <v>518</v>
      </c>
      <c r="F113" s="4"/>
      <c r="H113" s="201">
        <v>0</v>
      </c>
      <c r="I113" s="161"/>
      <c r="J113" s="161"/>
      <c r="K113" s="161"/>
      <c r="L113" s="161">
        <f ca="1">+F71</f>
        <v>6.3841626081715726</v>
      </c>
      <c r="M113" s="161"/>
      <c r="N113" s="161"/>
      <c r="O113" s="161"/>
      <c r="P113" s="161">
        <f t="shared" ca="1" si="15"/>
        <v>6.3841626081715726</v>
      </c>
    </row>
    <row r="114" spans="2:18">
      <c r="B114" s="3" t="s">
        <v>52</v>
      </c>
      <c r="F114" s="4"/>
      <c r="H114" s="115">
        <f>'Tar Proj'!L76</f>
        <v>0.2</v>
      </c>
      <c r="I114" s="161"/>
      <c r="J114" s="161"/>
      <c r="K114" s="161"/>
      <c r="L114" s="161"/>
      <c r="M114" s="161"/>
      <c r="N114" s="161"/>
      <c r="O114" s="161"/>
      <c r="P114" s="161">
        <f t="shared" si="15"/>
        <v>0.2</v>
      </c>
    </row>
    <row r="115" spans="2:18">
      <c r="B115" s="3" t="s">
        <v>53</v>
      </c>
      <c r="F115" s="4"/>
      <c r="H115" s="115">
        <f>'Tar Proj'!L77</f>
        <v>0</v>
      </c>
      <c r="I115" s="161"/>
      <c r="J115" s="161"/>
      <c r="K115" s="161"/>
      <c r="L115" s="161"/>
      <c r="M115" s="161"/>
      <c r="N115" s="161"/>
      <c r="O115" s="161"/>
      <c r="P115" s="161">
        <f t="shared" si="15"/>
        <v>0</v>
      </c>
    </row>
    <row r="116" spans="2:18">
      <c r="B116" s="3" t="s">
        <v>150</v>
      </c>
      <c r="F116" s="4"/>
      <c r="H116" s="143">
        <f ca="1">'Tar Proj'!L78</f>
        <v>79.498413782091419</v>
      </c>
      <c r="I116" s="161"/>
      <c r="J116" s="161"/>
      <c r="K116" s="161"/>
      <c r="L116" s="161">
        <f ca="1">-H116</f>
        <v>-79.498413782091419</v>
      </c>
      <c r="M116" s="161" t="s">
        <v>249</v>
      </c>
      <c r="N116" s="161">
        <f ca="1">L20-G23</f>
        <v>97.299252884575267</v>
      </c>
      <c r="O116" s="161" t="s">
        <v>252</v>
      </c>
      <c r="P116" s="268">
        <f t="shared" ca="1" si="15"/>
        <v>97.299252884575267</v>
      </c>
    </row>
    <row r="117" spans="2:18">
      <c r="B117" s="3" t="s">
        <v>152</v>
      </c>
      <c r="F117" s="4"/>
      <c r="H117" s="344">
        <f ca="1">SUM(H109:H116)</f>
        <v>93.744017948758085</v>
      </c>
      <c r="I117" s="298"/>
      <c r="J117" s="298"/>
      <c r="K117" s="298"/>
      <c r="L117" s="298"/>
      <c r="M117" s="298"/>
      <c r="N117" s="298"/>
      <c r="O117" s="298"/>
      <c r="P117" s="344">
        <f ca="1">SUM(P109:P116)</f>
        <v>236.7290196594135</v>
      </c>
    </row>
    <row r="118" spans="2:18" ht="12.75" customHeight="1">
      <c r="F118" s="4"/>
      <c r="H118" s="294"/>
      <c r="P118" s="294"/>
    </row>
    <row r="119" spans="2:18" ht="12.75" customHeight="1">
      <c r="B119" s="3" t="s">
        <v>34</v>
      </c>
      <c r="F119" s="4"/>
      <c r="H119" s="68">
        <f ca="1">H104-H117</f>
        <v>13.205000000000013</v>
      </c>
      <c r="P119" s="68">
        <f ca="1">P104-P117</f>
        <v>13.205000000000013</v>
      </c>
    </row>
    <row r="120" spans="2:18" ht="12.7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</row>
    <row r="121" spans="2:18" ht="12.75" customHeight="1">
      <c r="B121" s="892" t="s">
        <v>271</v>
      </c>
      <c r="C121" s="892"/>
      <c r="D121" s="892"/>
      <c r="E121" s="892"/>
      <c r="F121" s="892"/>
      <c r="G121" s="892"/>
      <c r="H121" s="892"/>
      <c r="I121" s="892"/>
      <c r="J121" s="892" t="s">
        <v>269</v>
      </c>
      <c r="K121" s="156"/>
      <c r="L121" s="156"/>
      <c r="M121" s="156"/>
      <c r="N121" s="156"/>
      <c r="O121" s="156"/>
      <c r="P121" s="156"/>
      <c r="Q121" s="156"/>
    </row>
    <row r="122" spans="2:18" ht="12.75" customHeight="1">
      <c r="B122" s="894" t="s">
        <v>430</v>
      </c>
      <c r="C122" s="894"/>
      <c r="D122" s="894"/>
      <c r="E122" s="894"/>
      <c r="F122" s="894"/>
      <c r="G122" s="894"/>
      <c r="H122" s="894"/>
      <c r="I122" s="894"/>
      <c r="J122" s="894" t="s">
        <v>273</v>
      </c>
    </row>
    <row r="123" spans="2:18" ht="13.5">
      <c r="B123" s="894" t="s">
        <v>272</v>
      </c>
      <c r="C123" s="894"/>
      <c r="D123" s="894"/>
      <c r="E123" s="894"/>
      <c r="F123" s="894"/>
      <c r="G123" s="894"/>
      <c r="H123" s="894"/>
      <c r="I123" s="894"/>
      <c r="J123" s="894" t="s">
        <v>270</v>
      </c>
    </row>
    <row r="125" spans="2:18" ht="15.95" customHeight="1" collapsed="1" thickBot="1">
      <c r="B125" s="459" t="s">
        <v>123</v>
      </c>
      <c r="C125" s="666"/>
      <c r="D125" s="666"/>
      <c r="E125" s="666"/>
      <c r="F125" s="666"/>
      <c r="G125" s="666"/>
      <c r="H125" s="666"/>
      <c r="I125" s="666"/>
      <c r="J125" s="666"/>
      <c r="K125" s="666"/>
      <c r="L125" s="666"/>
      <c r="M125" s="667"/>
      <c r="N125" s="667"/>
      <c r="O125" s="667"/>
      <c r="P125" s="667"/>
      <c r="Q125" s="667"/>
      <c r="R125" s="1118"/>
    </row>
    <row r="126" spans="2:18">
      <c r="B126" s="895" t="str">
        <f>'Tar Proj'!B7</f>
        <v>Fiscal Year Ended December 31,</v>
      </c>
      <c r="C126" s="896"/>
      <c r="D126" s="896"/>
      <c r="E126" s="896"/>
      <c r="F126" s="896"/>
      <c r="G126" s="896"/>
      <c r="H126" s="896"/>
      <c r="I126" s="896"/>
      <c r="J126" s="896"/>
      <c r="K126" s="896"/>
      <c r="L126" s="899">
        <f>'Tar Proj'!L7</f>
        <v>2019</v>
      </c>
      <c r="M126" s="463">
        <f>'Tar Proj'!M7</f>
        <v>2020</v>
      </c>
      <c r="N126" s="463">
        <f>'Tar Proj'!N7</f>
        <v>2021</v>
      </c>
      <c r="O126" s="463">
        <f>'Tar Proj'!O7</f>
        <v>2022</v>
      </c>
      <c r="P126" s="463">
        <f>'Tar Proj'!P7</f>
        <v>2023</v>
      </c>
      <c r="Q126" s="463">
        <f>'Tar Proj'!Q7</f>
        <v>2024</v>
      </c>
      <c r="R126" s="1119"/>
    </row>
    <row r="127" spans="2:18" ht="15" customHeight="1">
      <c r="B127" s="3" t="s">
        <v>254</v>
      </c>
      <c r="I127" s="620"/>
      <c r="K127" s="620"/>
      <c r="L127" s="113">
        <f>'Tar Proj'!L8</f>
        <v>50</v>
      </c>
      <c r="M127" s="113">
        <f>'Tar Proj'!M8</f>
        <v>55.000000000000007</v>
      </c>
      <c r="N127" s="113">
        <f>'Tar Proj'!N8</f>
        <v>60.500000000000014</v>
      </c>
      <c r="O127" s="113">
        <f>'Tar Proj'!O8</f>
        <v>66.550000000000026</v>
      </c>
      <c r="P127" s="113">
        <f>'Tar Proj'!P8</f>
        <v>73.205000000000041</v>
      </c>
      <c r="Q127" s="113">
        <f>'Tar Proj'!Q8</f>
        <v>80.525500000000051</v>
      </c>
      <c r="R127" s="1120"/>
    </row>
    <row r="128" spans="2:18" ht="12.75" customHeight="1" outlineLevel="1">
      <c r="B128" s="3" t="s">
        <v>306</v>
      </c>
      <c r="E128" s="1077">
        <f>'Tar Proj'!E186</f>
        <v>8</v>
      </c>
      <c r="F128" s="3" t="s">
        <v>575</v>
      </c>
      <c r="I128" s="217"/>
      <c r="K128" s="217"/>
      <c r="L128" s="115">
        <f>'Tar Proj'!L38</f>
        <v>21.354166666666671</v>
      </c>
      <c r="M128" s="115">
        <f>'Tar Proj'!M38</f>
        <v>22.989583333333339</v>
      </c>
      <c r="N128" s="115">
        <f>'Tar Proj'!N38</f>
        <v>25.288541666666674</v>
      </c>
      <c r="O128" s="115">
        <f>'Tar Proj'!O38</f>
        <v>27.81739583333335</v>
      </c>
      <c r="P128" s="115">
        <f>'Tar Proj'!P38</f>
        <v>30.599135416666687</v>
      </c>
      <c r="Q128" s="115">
        <f>'Tar Proj'!Q38</f>
        <v>33.659048958333358</v>
      </c>
      <c r="R128" s="1120"/>
    </row>
    <row r="129" spans="2:20" ht="12.75" customHeight="1" outlineLevel="1">
      <c r="B129" s="3" t="s">
        <v>305</v>
      </c>
      <c r="I129" s="217"/>
      <c r="K129" s="217"/>
      <c r="L129" s="115">
        <f>'Tar Proj'!L37</f>
        <v>1.3541666666666667</v>
      </c>
      <c r="M129" s="115">
        <f>'Tar Proj'!M37</f>
        <v>1.4895833333333335</v>
      </c>
      <c r="N129" s="115">
        <f>'Tar Proj'!N37</f>
        <v>1.638541666666667</v>
      </c>
      <c r="O129" s="115">
        <f>'Tar Proj'!O37</f>
        <v>1.8023958333333341</v>
      </c>
      <c r="P129" s="115">
        <f>'Tar Proj'!P37</f>
        <v>1.9826354166666678</v>
      </c>
      <c r="Q129" s="115">
        <f>'Tar Proj'!Q37</f>
        <v>2.1808989583333349</v>
      </c>
      <c r="R129" s="1120"/>
    </row>
    <row r="130" spans="2:20" ht="12.75" customHeight="1">
      <c r="B130" s="3" t="s">
        <v>63</v>
      </c>
      <c r="I130" s="217"/>
      <c r="K130" s="217"/>
      <c r="L130" s="115">
        <f>'Tar Proj'!L36</f>
        <v>20.000000000000004</v>
      </c>
      <c r="M130" s="115">
        <f>'Tar Proj'!M36</f>
        <v>21.500000000000007</v>
      </c>
      <c r="N130" s="115">
        <f>'Tar Proj'!N36</f>
        <v>23.650000000000006</v>
      </c>
      <c r="O130" s="115">
        <f>'Tar Proj'!O36</f>
        <v>26.015000000000015</v>
      </c>
      <c r="P130" s="115">
        <f>'Tar Proj'!P36</f>
        <v>28.61650000000002</v>
      </c>
      <c r="Q130" s="115">
        <f>'Tar Proj'!Q36</f>
        <v>31.478150000000021</v>
      </c>
      <c r="R130" s="1120"/>
    </row>
    <row r="131" spans="2:20" ht="12.75" customHeight="1">
      <c r="B131" s="3" t="s">
        <v>154</v>
      </c>
      <c r="L131" s="115">
        <f>'Tar Proj'!L89</f>
        <v>5</v>
      </c>
      <c r="M131" s="115">
        <f>'Tar Proj'!M89</f>
        <v>5.0000000000000009</v>
      </c>
      <c r="N131" s="115">
        <f>'Tar Proj'!N89</f>
        <v>5.5000000000000018</v>
      </c>
      <c r="O131" s="115">
        <f>'Tar Proj'!O89</f>
        <v>6.0500000000000025</v>
      </c>
      <c r="P131" s="115">
        <f>'Tar Proj'!P89</f>
        <v>6.6550000000000038</v>
      </c>
      <c r="Q131" s="115">
        <f>'Tar Proj'!Q89</f>
        <v>7.3205000000000044</v>
      </c>
      <c r="R131" s="1120"/>
    </row>
    <row r="132" spans="2:20" ht="12.75" customHeight="1">
      <c r="B132" s="3" t="s">
        <v>355</v>
      </c>
      <c r="L132" s="115">
        <f>'Tar Proj'!L90</f>
        <v>0</v>
      </c>
      <c r="M132" s="115">
        <f>'Tar Proj'!M90</f>
        <v>0</v>
      </c>
      <c r="N132" s="115">
        <f>'Tar Proj'!N90</f>
        <v>0</v>
      </c>
      <c r="O132" s="115">
        <f>'Tar Proj'!O90</f>
        <v>0</v>
      </c>
      <c r="P132" s="115">
        <f>'Tar Proj'!P90</f>
        <v>0</v>
      </c>
      <c r="Q132" s="115">
        <f>'Tar Proj'!Q90</f>
        <v>0</v>
      </c>
      <c r="R132" s="1120"/>
    </row>
    <row r="133" spans="2:20" ht="12.75" customHeight="1">
      <c r="B133" s="3" t="s">
        <v>277</v>
      </c>
      <c r="L133" s="268">
        <f ca="1">+M133</f>
        <v>2.5536650432686292</v>
      </c>
      <c r="M133" s="268">
        <f ca="1">$F$66</f>
        <v>2.5536650432686292</v>
      </c>
      <c r="N133" s="268">
        <f ca="1">$F$66</f>
        <v>2.5536650432686292</v>
      </c>
      <c r="O133" s="268">
        <f ca="1">$F$66</f>
        <v>2.5536650432686292</v>
      </c>
      <c r="P133" s="268">
        <f ca="1">$F$66</f>
        <v>2.5536650432686292</v>
      </c>
      <c r="Q133" s="268">
        <f ca="1">$F$66</f>
        <v>2.5536650432686292</v>
      </c>
      <c r="R133" s="1120"/>
    </row>
    <row r="134" spans="2:20" ht="12.75" customHeight="1">
      <c r="B134" s="3" t="s">
        <v>64</v>
      </c>
      <c r="L134" s="1121">
        <f t="shared" ref="L134:Q134" ca="1" si="16">L130-L131-L132-L133</f>
        <v>12.446334956731373</v>
      </c>
      <c r="M134" s="1121">
        <f t="shared" ca="1" si="16"/>
        <v>13.946334956731377</v>
      </c>
      <c r="N134" s="1121">
        <f t="shared" ca="1" si="16"/>
        <v>15.596334956731376</v>
      </c>
      <c r="O134" s="1121">
        <f t="shared" ca="1" si="16"/>
        <v>17.41133495673138</v>
      </c>
      <c r="P134" s="1121">
        <f t="shared" ca="1" si="16"/>
        <v>19.407834956731385</v>
      </c>
      <c r="Q134" s="1121">
        <f t="shared" ca="1" si="16"/>
        <v>21.603984956731388</v>
      </c>
      <c r="R134" s="1120"/>
    </row>
    <row r="135" spans="2:20" ht="12.75" customHeight="1">
      <c r="B135" s="3" t="s">
        <v>192</v>
      </c>
      <c r="L135" s="147">
        <f>'Tar Proj'!L14</f>
        <v>0</v>
      </c>
      <c r="M135" s="190">
        <v>0</v>
      </c>
      <c r="N135" s="190">
        <v>0</v>
      </c>
      <c r="O135" s="190">
        <v>0</v>
      </c>
      <c r="P135" s="190">
        <v>0</v>
      </c>
      <c r="Q135" s="190">
        <v>0</v>
      </c>
      <c r="R135" s="1120"/>
    </row>
    <row r="136" spans="2:20" ht="12.75" customHeight="1">
      <c r="B136" s="3" t="s">
        <v>75</v>
      </c>
      <c r="L136" s="755">
        <f t="shared" ref="L136:Q136" ca="1" si="17">L280</f>
        <v>10.770624999999999</v>
      </c>
      <c r="M136" s="755">
        <f t="shared" ca="1" si="17"/>
        <v>10.641415537430722</v>
      </c>
      <c r="N136" s="755">
        <f t="shared" ca="1" si="17"/>
        <v>10.326496397952781</v>
      </c>
      <c r="O136" s="755">
        <f t="shared" ca="1" si="17"/>
        <v>9.8930033248689888</v>
      </c>
      <c r="P136" s="755">
        <f t="shared" ca="1" si="17"/>
        <v>9.3204723468387112</v>
      </c>
      <c r="Q136" s="755">
        <f t="shared" ca="1" si="17"/>
        <v>8.585437610126391</v>
      </c>
      <c r="R136" s="1120"/>
    </row>
    <row r="137" spans="2:20" ht="12.75" customHeight="1">
      <c r="B137" s="3" t="s">
        <v>76</v>
      </c>
      <c r="L137" s="1079">
        <f t="shared" ref="L137:Q137" ca="1" si="18">L134-SUM(L135:L136)</f>
        <v>1.6757099567313745</v>
      </c>
      <c r="M137" s="1079">
        <f t="shared" ca="1" si="18"/>
        <v>3.3049194193006546</v>
      </c>
      <c r="N137" s="1079">
        <f t="shared" ca="1" si="18"/>
        <v>5.269838558778595</v>
      </c>
      <c r="O137" s="1079">
        <f t="shared" ca="1" si="18"/>
        <v>7.5183316318623916</v>
      </c>
      <c r="P137" s="1079">
        <f t="shared" ca="1" si="18"/>
        <v>10.087362609892674</v>
      </c>
      <c r="Q137" s="1079">
        <f t="shared" ca="1" si="18"/>
        <v>13.018547346604997</v>
      </c>
      <c r="R137" s="1120"/>
    </row>
    <row r="138" spans="2:20" ht="12.75" customHeight="1">
      <c r="B138" s="3" t="s">
        <v>130</v>
      </c>
      <c r="C138" s="4"/>
      <c r="D138" s="1122"/>
      <c r="L138" s="755">
        <f t="shared" ref="L138:Q138" ca="1" si="19">L137*L142</f>
        <v>0.41892748918284362</v>
      </c>
      <c r="M138" s="755">
        <f t="shared" ca="1" si="19"/>
        <v>0.82622985482516365</v>
      </c>
      <c r="N138" s="755">
        <f t="shared" ca="1" si="19"/>
        <v>1.3174596396946487</v>
      </c>
      <c r="O138" s="755">
        <f t="shared" ca="1" si="19"/>
        <v>1.8795829079655979</v>
      </c>
      <c r="P138" s="755">
        <f t="shared" ca="1" si="19"/>
        <v>2.5218406524731685</v>
      </c>
      <c r="Q138" s="755">
        <f t="shared" ca="1" si="19"/>
        <v>3.2546368366512493</v>
      </c>
      <c r="R138" s="1120"/>
    </row>
    <row r="139" spans="2:20" ht="12.75" customHeight="1">
      <c r="B139" s="3" t="s">
        <v>65</v>
      </c>
      <c r="L139" s="909">
        <f t="shared" ref="L139:Q139" ca="1" si="20">L137-L138</f>
        <v>1.2567824675485308</v>
      </c>
      <c r="M139" s="910">
        <f t="shared" ca="1" si="20"/>
        <v>2.4786895644754909</v>
      </c>
      <c r="N139" s="910">
        <f t="shared" ca="1" si="20"/>
        <v>3.9523789190839462</v>
      </c>
      <c r="O139" s="910">
        <f t="shared" ca="1" si="20"/>
        <v>5.6387487238967937</v>
      </c>
      <c r="P139" s="910">
        <f t="shared" ca="1" si="20"/>
        <v>7.5655219574195058</v>
      </c>
      <c r="Q139" s="827">
        <f t="shared" ca="1" si="20"/>
        <v>9.7639105099537478</v>
      </c>
      <c r="R139" s="1120"/>
    </row>
    <row r="140" spans="2:20" ht="12.75" customHeight="1">
      <c r="L140" s="146"/>
      <c r="M140" s="146"/>
      <c r="N140" s="146"/>
      <c r="O140" s="146"/>
      <c r="P140" s="146"/>
      <c r="Q140" s="146"/>
      <c r="R140" s="1120"/>
    </row>
    <row r="141" spans="2:20" ht="12.75" customHeight="1" outlineLevel="1">
      <c r="B141" s="139" t="s">
        <v>503</v>
      </c>
      <c r="G141" s="4"/>
      <c r="I141" s="253"/>
      <c r="J141" s="253"/>
      <c r="K141" s="253"/>
      <c r="L141" s="253"/>
      <c r="M141" s="253"/>
      <c r="N141" s="253"/>
      <c r="O141" s="253"/>
      <c r="P141" s="253"/>
      <c r="Q141" s="249"/>
    </row>
    <row r="142" spans="2:20" ht="12.75" customHeight="1" outlineLevel="1">
      <c r="B142" s="3" t="s">
        <v>504</v>
      </c>
      <c r="G142" s="649"/>
      <c r="H142" s="200"/>
      <c r="I142" s="934"/>
      <c r="J142" s="934"/>
      <c r="K142" s="934"/>
      <c r="L142" s="906">
        <f>'Tar Proj'!L31</f>
        <v>0.25</v>
      </c>
      <c r="M142" s="906">
        <f>'Tar Proj'!M31</f>
        <v>0.25</v>
      </c>
      <c r="N142" s="906">
        <f>'Tar Proj'!N31</f>
        <v>0.25</v>
      </c>
      <c r="O142" s="906">
        <f>'Tar Proj'!O31</f>
        <v>0.25</v>
      </c>
      <c r="P142" s="906">
        <f>'Tar Proj'!P31</f>
        <v>0.25</v>
      </c>
      <c r="Q142" s="906">
        <f>'Tar Proj'!Q31</f>
        <v>0.25</v>
      </c>
      <c r="T142" s="150"/>
    </row>
    <row r="143" spans="2:20" ht="12.75" customHeight="1" outlineLevel="1">
      <c r="G143" s="649"/>
      <c r="H143" s="200"/>
      <c r="I143" s="934"/>
      <c r="J143" s="934"/>
      <c r="K143" s="934"/>
      <c r="L143" s="934"/>
      <c r="M143" s="934"/>
      <c r="N143" s="934"/>
      <c r="O143" s="934"/>
      <c r="P143" s="934"/>
      <c r="Q143" s="934"/>
      <c r="T143" s="150"/>
    </row>
    <row r="144" spans="2:20" ht="12.75" customHeight="1" outlineLevel="1">
      <c r="B144" s="570" t="str">
        <f>'Tar Proj'!B177</f>
        <v>Additional EBITDA Adjustments for Leverage Ratios</v>
      </c>
      <c r="G144" s="649"/>
      <c r="H144" s="200"/>
      <c r="I144" s="934"/>
      <c r="J144" s="934"/>
      <c r="K144" s="934"/>
      <c r="L144" s="934"/>
      <c r="M144" s="934"/>
      <c r="N144" s="934"/>
      <c r="O144" s="934"/>
      <c r="P144" s="934"/>
      <c r="Q144" s="934"/>
      <c r="T144" s="150"/>
    </row>
    <row r="145" spans="2:20" ht="12.75" customHeight="1" outlineLevel="1">
      <c r="B145" s="109" t="str">
        <f>'Tar Proj'!B179</f>
        <v>Total Adjustments</v>
      </c>
      <c r="G145" s="649"/>
      <c r="H145" s="200"/>
      <c r="I145" s="934"/>
      <c r="J145" s="934"/>
      <c r="K145" s="934"/>
      <c r="L145" s="352">
        <f>'Tar Proj'!L179</f>
        <v>0</v>
      </c>
      <c r="M145" s="352">
        <f>'Tar Proj'!M179</f>
        <v>0</v>
      </c>
      <c r="N145" s="352">
        <f>'Tar Proj'!N179</f>
        <v>0</v>
      </c>
      <c r="O145" s="352">
        <f>'Tar Proj'!O179</f>
        <v>0</v>
      </c>
      <c r="P145" s="352">
        <f>'Tar Proj'!P179</f>
        <v>0</v>
      </c>
      <c r="Q145" s="352">
        <f>'Tar Proj'!Q179</f>
        <v>0</v>
      </c>
      <c r="T145" s="150"/>
    </row>
    <row r="146" spans="2:20" ht="12.75" customHeight="1" outlineLevel="1">
      <c r="B146" s="109"/>
      <c r="G146" s="649"/>
      <c r="H146" s="200"/>
      <c r="I146" s="934"/>
      <c r="J146" s="934"/>
      <c r="K146" s="934"/>
      <c r="L146" s="934"/>
      <c r="M146" s="934"/>
      <c r="N146" s="934"/>
      <c r="O146" s="934"/>
      <c r="P146" s="934"/>
      <c r="Q146" s="934"/>
      <c r="T146" s="150"/>
    </row>
    <row r="147" spans="2:20" ht="12.75" customHeight="1" outlineLevel="1">
      <c r="B147" s="109" t="str">
        <f>'Tar Proj'!B180</f>
        <v>Adjusted EBITDA</v>
      </c>
      <c r="G147" s="649"/>
      <c r="H147" s="200"/>
      <c r="I147" s="934"/>
      <c r="J147" s="934"/>
      <c r="K147" s="934"/>
      <c r="L147" s="353">
        <f t="shared" ref="L147:Q147" si="21">+L130+L$145</f>
        <v>20.000000000000004</v>
      </c>
      <c r="M147" s="353">
        <f t="shared" si="21"/>
        <v>21.500000000000007</v>
      </c>
      <c r="N147" s="353">
        <f t="shared" si="21"/>
        <v>23.650000000000006</v>
      </c>
      <c r="O147" s="353">
        <f t="shared" si="21"/>
        <v>26.015000000000015</v>
      </c>
      <c r="P147" s="353">
        <f t="shared" si="21"/>
        <v>28.61650000000002</v>
      </c>
      <c r="Q147" s="353">
        <f t="shared" si="21"/>
        <v>31.478150000000021</v>
      </c>
      <c r="T147" s="150"/>
    </row>
    <row r="148" spans="2:20" ht="12.75" customHeight="1" outlineLevel="1">
      <c r="B148" s="109" t="str">
        <f>'Tar Proj'!B184</f>
        <v>Adjusted EBITDAR</v>
      </c>
      <c r="G148" s="649"/>
      <c r="H148" s="200"/>
      <c r="I148" s="934"/>
      <c r="J148" s="934"/>
      <c r="K148" s="934"/>
      <c r="L148" s="343">
        <f t="shared" ref="L148:Q148" si="22">+L128+L$145</f>
        <v>21.354166666666671</v>
      </c>
      <c r="M148" s="343">
        <f t="shared" si="22"/>
        <v>22.989583333333339</v>
      </c>
      <c r="N148" s="343">
        <f t="shared" si="22"/>
        <v>25.288541666666674</v>
      </c>
      <c r="O148" s="343">
        <f t="shared" si="22"/>
        <v>27.81739583333335</v>
      </c>
      <c r="P148" s="343">
        <f t="shared" si="22"/>
        <v>30.599135416666687</v>
      </c>
      <c r="Q148" s="343">
        <f t="shared" si="22"/>
        <v>33.659048958333358</v>
      </c>
      <c r="T148" s="150"/>
    </row>
    <row r="149" spans="2:20" ht="12.75" customHeight="1" outlineLevel="1">
      <c r="G149" s="649"/>
      <c r="H149" s="200"/>
      <c r="I149" s="934"/>
      <c r="J149" s="934"/>
      <c r="K149" s="934"/>
      <c r="L149" s="934"/>
      <c r="M149" s="934"/>
      <c r="N149" s="934"/>
      <c r="O149" s="934"/>
      <c r="P149" s="934"/>
      <c r="Q149" s="934"/>
      <c r="T149" s="150"/>
    </row>
    <row r="150" spans="2:20" ht="12.75" customHeight="1">
      <c r="B150" s="139" t="s">
        <v>184</v>
      </c>
      <c r="R150" s="1120"/>
    </row>
    <row r="151" spans="2:20" ht="12.75" customHeight="1">
      <c r="B151" s="3" t="s">
        <v>63</v>
      </c>
      <c r="L151" s="200">
        <f t="shared" ref="L151:Q151" si="23">L130/L127</f>
        <v>0.40000000000000008</v>
      </c>
      <c r="M151" s="200">
        <f t="shared" si="23"/>
        <v>0.39090909090909098</v>
      </c>
      <c r="N151" s="200">
        <f t="shared" si="23"/>
        <v>0.39090909090909093</v>
      </c>
      <c r="O151" s="200">
        <f t="shared" si="23"/>
        <v>0.39090909090909098</v>
      </c>
      <c r="P151" s="200">
        <f t="shared" si="23"/>
        <v>0.39090909090909098</v>
      </c>
      <c r="Q151" s="200">
        <f t="shared" si="23"/>
        <v>0.39090909090909093</v>
      </c>
      <c r="R151" s="1120"/>
    </row>
    <row r="152" spans="2:20" ht="12.75" customHeight="1">
      <c r="B152" s="3" t="s">
        <v>64</v>
      </c>
      <c r="L152" s="200">
        <f t="shared" ref="L152:Q152" ca="1" si="24">L134/L127</f>
        <v>0.24892669913462748</v>
      </c>
      <c r="M152" s="200">
        <f t="shared" ca="1" si="24"/>
        <v>0.25356972648602499</v>
      </c>
      <c r="N152" s="200">
        <f t="shared" ca="1" si="24"/>
        <v>0.25779066044184085</v>
      </c>
      <c r="O152" s="200">
        <f t="shared" ca="1" si="24"/>
        <v>0.26162787312894625</v>
      </c>
      <c r="P152" s="200">
        <f t="shared" ca="1" si="24"/>
        <v>0.26511624829904207</v>
      </c>
      <c r="Q152" s="200">
        <f t="shared" ca="1" si="24"/>
        <v>0.26828749845367461</v>
      </c>
      <c r="R152" s="1120"/>
    </row>
    <row r="153" spans="2:20" ht="12.75" customHeight="1">
      <c r="B153" s="3" t="s">
        <v>65</v>
      </c>
      <c r="L153" s="200">
        <f t="shared" ref="L153:Q153" ca="1" si="25">L139/L127</f>
        <v>2.5135649350970617E-2</v>
      </c>
      <c r="M153" s="200">
        <f t="shared" ca="1" si="25"/>
        <v>4.5067082990463463E-2</v>
      </c>
      <c r="N153" s="200">
        <f t="shared" ca="1" si="25"/>
        <v>6.5328577174941241E-2</v>
      </c>
      <c r="O153" s="200">
        <f t="shared" ca="1" si="25"/>
        <v>8.4729507496570877E-2</v>
      </c>
      <c r="P153" s="200">
        <f t="shared" ca="1" si="25"/>
        <v>0.10334706587554814</v>
      </c>
      <c r="Q153" s="200">
        <f t="shared" ca="1" si="25"/>
        <v>0.12125240464143336</v>
      </c>
      <c r="R153" s="1120"/>
    </row>
    <row r="154" spans="2:20" ht="12.75" customHeight="1">
      <c r="L154" s="200"/>
      <c r="M154" s="200"/>
      <c r="N154" s="200"/>
      <c r="O154" s="200"/>
      <c r="P154" s="200"/>
      <c r="Q154" s="200"/>
      <c r="R154" s="1120"/>
    </row>
    <row r="155" spans="2:20" ht="12.75" customHeight="1">
      <c r="B155" s="139" t="s">
        <v>79</v>
      </c>
      <c r="L155" s="687"/>
      <c r="M155" s="687"/>
      <c r="N155" s="687"/>
      <c r="O155" s="687"/>
      <c r="P155" s="687"/>
      <c r="Q155" s="687"/>
      <c r="R155" s="1120"/>
    </row>
    <row r="156" spans="2:20" ht="12.75" customHeight="1">
      <c r="B156" s="3" t="str">
        <f>B127</f>
        <v>Net Sales</v>
      </c>
      <c r="L156" s="1123">
        <f>'Tar Proj'!L49</f>
        <v>4.1666666666666741E-2</v>
      </c>
      <c r="M156" s="200">
        <f>(M127/L127)-1</f>
        <v>0.10000000000000009</v>
      </c>
      <c r="N156" s="200">
        <f>(N127/M127)-1</f>
        <v>0.10000000000000009</v>
      </c>
      <c r="O156" s="200">
        <f>(O127/N127)-1</f>
        <v>0.10000000000000009</v>
      </c>
      <c r="P156" s="200">
        <f>(P127/O127)-1</f>
        <v>0.10000000000000009</v>
      </c>
      <c r="Q156" s="200">
        <f>(Q127/P127)-1</f>
        <v>0.10000000000000009</v>
      </c>
      <c r="R156" s="1120"/>
    </row>
    <row r="157" spans="2:20" ht="12.75" customHeight="1">
      <c r="B157" s="3" t="s">
        <v>63</v>
      </c>
      <c r="L157" s="1123">
        <f>'Tar Proj'!L50</f>
        <v>0.43884892086330951</v>
      </c>
      <c r="M157" s="200">
        <f>IF(AND(M130&gt;=0,L130&gt;0),(M130/L130)-1,"NM")</f>
        <v>7.5000000000000178E-2</v>
      </c>
      <c r="N157" s="200">
        <f>IF(AND(N130&gt;=0,M130&gt;0),(N130/M130)-1,"NM")</f>
        <v>9.9999999999999867E-2</v>
      </c>
      <c r="O157" s="200">
        <f>IF(AND(O130&gt;=0,N130&gt;0),(O130/N130)-1,"NM")</f>
        <v>0.10000000000000031</v>
      </c>
      <c r="P157" s="200">
        <f>IF(AND(P130&gt;=0,O130&gt;0),(P130/O130)-1,"NM")</f>
        <v>0.10000000000000009</v>
      </c>
      <c r="Q157" s="200">
        <f>IF(AND(Q130&gt;=0,P130&gt;0),(Q130/P130)-1,"NM")</f>
        <v>9.9999999999999867E-2</v>
      </c>
      <c r="R157" s="1120"/>
    </row>
    <row r="158" spans="2:20" ht="12.75" customHeight="1">
      <c r="B158" s="3" t="s">
        <v>64</v>
      </c>
      <c r="L158" s="1123">
        <f>'Tar Proj'!L51</f>
        <v>0.25000000000000022</v>
      </c>
      <c r="M158" s="200">
        <f ca="1">IF(AND(M134&gt;=0,L134&gt;0),(M134/L134)-1,"NM")</f>
        <v>0.12051740574350811</v>
      </c>
      <c r="N158" s="200">
        <f ca="1">IF(AND(N134&gt;=0,M134&gt;0),(N134/M134)-1,"NM")</f>
        <v>0.11831065330921264</v>
      </c>
      <c r="O158" s="200">
        <f ca="1">IF(AND(O134&gt;=0,N134&gt;0),(O134/N134)-1,"NM")</f>
        <v>0.11637349448029455</v>
      </c>
      <c r="P158" s="200">
        <f ca="1">IF(AND(P134&gt;=0,O134&gt;0),(P134/O134)-1,"NM")</f>
        <v>0.11466668150153181</v>
      </c>
      <c r="Q158" s="200">
        <f ca="1">IF(AND(Q134&gt;=0,P134&gt;0),(Q134/P134)-1,"NM")</f>
        <v>0.11315790787051672</v>
      </c>
      <c r="R158" s="1120"/>
    </row>
    <row r="159" spans="2:20" ht="12.75" customHeight="1">
      <c r="B159" s="3" t="s">
        <v>65</v>
      </c>
      <c r="L159" s="1123">
        <f ca="1">'Tar Proj'!L52</f>
        <v>0.38252852548673522</v>
      </c>
      <c r="M159" s="200">
        <f ca="1">IF(AND(M139&gt;=0,L139&gt;0),(M139/L139)-1,"NM")</f>
        <v>0.97225027280210363</v>
      </c>
      <c r="N159" s="200">
        <f ca="1">IF(AND(N139&gt;=0,M139&gt;0),(N139/M139)-1,"NM")</f>
        <v>0.59454373622632284</v>
      </c>
      <c r="O159" s="200">
        <f ca="1">IF(AND(O139&gt;=0,N139&gt;0),(O139/N139)-1,"NM")</f>
        <v>0.42667209782702264</v>
      </c>
      <c r="P159" s="200">
        <f ca="1">IF(AND(P139&gt;=0,O139&gt;0),(P139/O139)-1,"NM")</f>
        <v>0.34170226904368395</v>
      </c>
      <c r="Q159" s="200">
        <f ca="1">IF(AND(Q139&gt;=0,P139&gt;0),(Q139/P139)-1,"NM")</f>
        <v>0.29057989189738365</v>
      </c>
      <c r="R159" s="1120"/>
    </row>
    <row r="160" spans="2:20">
      <c r="L160" s="1082"/>
      <c r="M160" s="1075"/>
      <c r="N160" s="1075"/>
      <c r="O160" s="1075"/>
      <c r="P160" s="1075"/>
      <c r="Q160" s="1075"/>
      <c r="R160" s="1120"/>
    </row>
    <row r="161" spans="2:18" ht="15.95" customHeight="1" collapsed="1" thickBot="1">
      <c r="B161" s="459" t="s">
        <v>124</v>
      </c>
      <c r="C161" s="666"/>
      <c r="D161" s="666"/>
      <c r="E161" s="666"/>
      <c r="F161" s="666"/>
      <c r="G161" s="666"/>
      <c r="H161" s="666"/>
      <c r="I161" s="666"/>
      <c r="J161" s="666"/>
      <c r="K161" s="666"/>
      <c r="L161" s="666"/>
      <c r="M161" s="666"/>
      <c r="N161" s="666"/>
      <c r="O161" s="667"/>
      <c r="P161" s="667"/>
      <c r="Q161" s="667"/>
      <c r="R161" s="1118"/>
    </row>
    <row r="162" spans="2:18">
      <c r="B162" s="895" t="str">
        <f>$B$126</f>
        <v>Fiscal Year Ended December 31,</v>
      </c>
      <c r="C162" s="896"/>
      <c r="D162" s="896"/>
      <c r="E162" s="896"/>
      <c r="F162" s="896"/>
      <c r="G162" s="896"/>
      <c r="H162" s="896"/>
      <c r="I162" s="896"/>
      <c r="J162" s="896"/>
      <c r="K162" s="896"/>
      <c r="L162" s="899">
        <f>L126</f>
        <v>2019</v>
      </c>
      <c r="M162" s="463">
        <f>M$126</f>
        <v>2020</v>
      </c>
      <c r="N162" s="463">
        <f>N$126</f>
        <v>2021</v>
      </c>
      <c r="O162" s="463">
        <f>O$126</f>
        <v>2022</v>
      </c>
      <c r="P162" s="463">
        <f>P$126</f>
        <v>2023</v>
      </c>
      <c r="Q162" s="463">
        <f>Q$126</f>
        <v>2024</v>
      </c>
      <c r="R162" s="1119"/>
    </row>
    <row r="163" spans="2:18" ht="18" customHeight="1">
      <c r="B163" s="139" t="s">
        <v>35</v>
      </c>
      <c r="R163" s="1120"/>
    </row>
    <row r="164" spans="2:18">
      <c r="B164" s="3" t="s">
        <v>38</v>
      </c>
      <c r="L164" s="353">
        <f ca="1">P93</f>
        <v>10</v>
      </c>
      <c r="M164" s="353">
        <f ca="1">M228</f>
        <v>10.000000000000657</v>
      </c>
      <c r="N164" s="353">
        <f ca="1">N228</f>
        <v>9.9999999998514326</v>
      </c>
      <c r="O164" s="353">
        <f ca="1">O228</f>
        <v>10.000000015285124</v>
      </c>
      <c r="P164" s="353">
        <f ca="1">P228</f>
        <v>9.9999990526119955</v>
      </c>
      <c r="Q164" s="353">
        <f ca="1">Q228</f>
        <v>10.000039127413633</v>
      </c>
      <c r="R164" s="1120"/>
    </row>
    <row r="165" spans="2:18">
      <c r="B165" s="3" t="s">
        <v>39</v>
      </c>
      <c r="L165" s="343">
        <f>P94</f>
        <v>9.8895833333333343</v>
      </c>
      <c r="M165" s="103">
        <f>'Tar Proj'!M59</f>
        <v>10.878541666666669</v>
      </c>
      <c r="N165" s="103">
        <f>'Tar Proj'!N59</f>
        <v>11.966395833333337</v>
      </c>
      <c r="O165" s="103">
        <f>'Tar Proj'!O59</f>
        <v>13.163035416666673</v>
      </c>
      <c r="P165" s="103">
        <f>'Tar Proj'!P59</f>
        <v>14.479338958333342</v>
      </c>
      <c r="Q165" s="103">
        <f>'Tar Proj'!Q59</f>
        <v>15.927272854166677</v>
      </c>
      <c r="R165" s="1120"/>
    </row>
    <row r="166" spans="2:18">
      <c r="B166" s="3" t="s">
        <v>40</v>
      </c>
      <c r="L166" s="343">
        <f>P95</f>
        <v>4.403437499999999</v>
      </c>
      <c r="M166" s="103">
        <f>'Tar Proj'!M60</f>
        <v>4.8437812500000001</v>
      </c>
      <c r="N166" s="103">
        <f>'Tar Proj'!N60</f>
        <v>5.3281593750000011</v>
      </c>
      <c r="O166" s="103">
        <f>'Tar Proj'!O60</f>
        <v>5.8609753125000017</v>
      </c>
      <c r="P166" s="103">
        <f>'Tar Proj'!P60</f>
        <v>6.4470728437500036</v>
      </c>
      <c r="Q166" s="103">
        <f>'Tar Proj'!Q60</f>
        <v>7.0917801281250039</v>
      </c>
      <c r="R166" s="1120"/>
    </row>
    <row r="167" spans="2:18">
      <c r="B167" s="3" t="s">
        <v>41</v>
      </c>
      <c r="L167" s="917">
        <f>P96</f>
        <v>1.6625000000000001</v>
      </c>
      <c r="M167" s="916">
        <f>'Tar Proj'!M61</f>
        <v>1.8287500000000003</v>
      </c>
      <c r="N167" s="916">
        <f>'Tar Proj'!N61</f>
        <v>2.0116250000000004</v>
      </c>
      <c r="O167" s="916">
        <f>'Tar Proj'!O61</f>
        <v>2.212787500000001</v>
      </c>
      <c r="P167" s="916">
        <f>'Tar Proj'!P61</f>
        <v>2.4340662500000017</v>
      </c>
      <c r="Q167" s="916">
        <f>'Tar Proj'!Q61</f>
        <v>2.6774728750000016</v>
      </c>
      <c r="R167" s="1120"/>
    </row>
    <row r="168" spans="2:18">
      <c r="B168" s="151" t="s">
        <v>42</v>
      </c>
      <c r="L168" s="918">
        <f t="shared" ref="L168:Q168" ca="1" si="26">SUM(L164:L167)</f>
        <v>25.955520833333335</v>
      </c>
      <c r="M168" s="919">
        <f t="shared" ca="1" si="26"/>
        <v>27.551072916667323</v>
      </c>
      <c r="N168" s="919">
        <f t="shared" ca="1" si="26"/>
        <v>29.30618020818477</v>
      </c>
      <c r="O168" s="919">
        <f t="shared" ca="1" si="26"/>
        <v>31.236798244451801</v>
      </c>
      <c r="P168" s="919">
        <f t="shared" ca="1" si="26"/>
        <v>33.360477104695342</v>
      </c>
      <c r="Q168" s="857">
        <f t="shared" ca="1" si="26"/>
        <v>35.696564984705311</v>
      </c>
      <c r="R168" s="1120"/>
    </row>
    <row r="169" spans="2:18">
      <c r="B169" s="3" t="s">
        <v>43</v>
      </c>
      <c r="L169" s="343">
        <f>P98</f>
        <v>3.2780000000000005</v>
      </c>
      <c r="M169" s="343">
        <f>L169-M217-M203</f>
        <v>3.7780000000000014</v>
      </c>
      <c r="N169" s="343">
        <f>M169-N217-N203</f>
        <v>4.3280000000000012</v>
      </c>
      <c r="O169" s="343">
        <f>N169-O217-O203</f>
        <v>4.9330000000000016</v>
      </c>
      <c r="P169" s="343">
        <f>O169-P217-P203</f>
        <v>5.5985000000000023</v>
      </c>
      <c r="Q169" s="343">
        <f>P169-Q217-Q203</f>
        <v>6.3305500000000041</v>
      </c>
      <c r="R169" s="1120"/>
    </row>
    <row r="170" spans="2:18">
      <c r="B170" s="3" t="s">
        <v>332</v>
      </c>
      <c r="L170" s="343">
        <f ca="1">P99+P101</f>
        <v>182.47984839339387</v>
      </c>
      <c r="M170" s="343">
        <f ca="1">L170</f>
        <v>182.47984839339387</v>
      </c>
      <c r="N170" s="343">
        <f ca="1">M170</f>
        <v>182.47984839339387</v>
      </c>
      <c r="O170" s="343">
        <f ca="1">N170</f>
        <v>182.47984839339387</v>
      </c>
      <c r="P170" s="343">
        <f ca="1">O170</f>
        <v>182.47984839339387</v>
      </c>
      <c r="Q170" s="343">
        <f ca="1">P170</f>
        <v>182.47984839339387</v>
      </c>
      <c r="R170" s="1120"/>
    </row>
    <row r="171" spans="2:18">
      <c r="B171" s="3" t="s">
        <v>356</v>
      </c>
      <c r="L171" s="343">
        <f ca="1">P100</f>
        <v>25.979650432686292</v>
      </c>
      <c r="M171" s="595">
        <f ca="1">L171-SUM(M204:M205)</f>
        <v>23.425985389417662</v>
      </c>
      <c r="N171" s="595">
        <f ca="1">M171-SUM(N204:N205)</f>
        <v>20.872320346149031</v>
      </c>
      <c r="O171" s="595">
        <f ca="1">N171-SUM(O204:O205)</f>
        <v>18.318655302880401</v>
      </c>
      <c r="P171" s="595">
        <f ca="1">O171-SUM(P204:P205)</f>
        <v>15.764990259611771</v>
      </c>
      <c r="Q171" s="595">
        <f ca="1">P171-SUM(Q204:Q205)</f>
        <v>13.211325216343141</v>
      </c>
      <c r="R171" s="1124"/>
    </row>
    <row r="172" spans="2:18">
      <c r="B172" s="3" t="s">
        <v>374</v>
      </c>
      <c r="L172" s="343">
        <f ca="1">P102</f>
        <v>5.9249999999999998</v>
      </c>
      <c r="M172" s="595">
        <f ca="1">L172-M206</f>
        <v>4.8243749999999999</v>
      </c>
      <c r="N172" s="595">
        <f ca="1">M172-N206</f>
        <v>3.7237499999999999</v>
      </c>
      <c r="O172" s="595">
        <f ca="1">N172-O206</f>
        <v>2.6231249999999999</v>
      </c>
      <c r="P172" s="595">
        <f ca="1">O172-P206</f>
        <v>1.5225</v>
      </c>
      <c r="Q172" s="595">
        <f ca="1">P172-Q206</f>
        <v>0.421875</v>
      </c>
      <c r="R172" s="1124"/>
    </row>
    <row r="173" spans="2:18">
      <c r="B173" s="3" t="s">
        <v>232</v>
      </c>
      <c r="L173" s="917">
        <f ca="1">P103</f>
        <v>6.3160000000000007</v>
      </c>
      <c r="M173" s="916">
        <f>'Tar Proj'!M66</f>
        <v>6.3160000000000007</v>
      </c>
      <c r="N173" s="916">
        <f>'Tar Proj'!N66</f>
        <v>6.3160000000000007</v>
      </c>
      <c r="O173" s="916">
        <f>'Tar Proj'!O66</f>
        <v>6.3160000000000007</v>
      </c>
      <c r="P173" s="916">
        <f>'Tar Proj'!P66</f>
        <v>6.3160000000000007</v>
      </c>
      <c r="Q173" s="916">
        <f>'Tar Proj'!Q66</f>
        <v>6.3160000000000007</v>
      </c>
      <c r="R173" s="1120"/>
    </row>
    <row r="174" spans="2:18">
      <c r="B174" s="151" t="s">
        <v>46</v>
      </c>
      <c r="L174" s="757">
        <f t="shared" ref="L174:Q174" ca="1" si="27">SUM(L168:L173)</f>
        <v>249.93401965941351</v>
      </c>
      <c r="M174" s="758">
        <f t="shared" ca="1" si="27"/>
        <v>248.37528169947885</v>
      </c>
      <c r="N174" s="758">
        <f t="shared" ca="1" si="27"/>
        <v>247.02609894772766</v>
      </c>
      <c r="O174" s="758">
        <f t="shared" ca="1" si="27"/>
        <v>245.90742694072605</v>
      </c>
      <c r="P174" s="758">
        <f t="shared" ca="1" si="27"/>
        <v>245.042315757701</v>
      </c>
      <c r="Q174" s="759">
        <f t="shared" ca="1" si="27"/>
        <v>244.45616359444233</v>
      </c>
      <c r="R174" s="1120"/>
    </row>
    <row r="175" spans="2:18">
      <c r="L175" s="954"/>
      <c r="M175" s="954"/>
      <c r="N175" s="954"/>
      <c r="O175" s="954"/>
      <c r="P175" s="954"/>
      <c r="Q175" s="954"/>
      <c r="R175" s="1120"/>
    </row>
    <row r="176" spans="2:18">
      <c r="B176" s="139" t="s">
        <v>47</v>
      </c>
      <c r="L176" s="954"/>
      <c r="M176" s="954"/>
      <c r="N176" s="954"/>
      <c r="O176" s="954"/>
      <c r="P176" s="954"/>
      <c r="Q176" s="954"/>
      <c r="R176" s="1120"/>
    </row>
    <row r="177" spans="2:18">
      <c r="B177" s="3" t="s">
        <v>48</v>
      </c>
      <c r="L177" s="343">
        <f>P107</f>
        <v>4.3603124999999991</v>
      </c>
      <c r="M177" s="103">
        <f>'Tar Proj'!M71</f>
        <v>4.7963437500000001</v>
      </c>
      <c r="N177" s="103">
        <f>'Tar Proj'!N71</f>
        <v>5.2759781250000009</v>
      </c>
      <c r="O177" s="103">
        <f>'Tar Proj'!O71</f>
        <v>5.8035759375000016</v>
      </c>
      <c r="P177" s="103">
        <f>'Tar Proj'!P71</f>
        <v>6.383933531250003</v>
      </c>
      <c r="Q177" s="103">
        <f>'Tar Proj'!Q71</f>
        <v>7.022326884375004</v>
      </c>
      <c r="R177" s="1120"/>
    </row>
    <row r="178" spans="2:18">
      <c r="B178" s="3" t="s">
        <v>49</v>
      </c>
      <c r="L178" s="917">
        <f>P108</f>
        <v>6.0822916666666673</v>
      </c>
      <c r="M178" s="916">
        <f>'Tar Proj'!M72</f>
        <v>6.690520833333335</v>
      </c>
      <c r="N178" s="916">
        <f>'Tar Proj'!N72</f>
        <v>7.3595729166666688</v>
      </c>
      <c r="O178" s="916">
        <f>'Tar Proj'!O72</f>
        <v>8.0955302083333365</v>
      </c>
      <c r="P178" s="916">
        <f>'Tar Proj'!P72</f>
        <v>8.9050832291666726</v>
      </c>
      <c r="Q178" s="916">
        <f>'Tar Proj'!Q72</f>
        <v>9.7955915520833408</v>
      </c>
      <c r="R178" s="1120"/>
    </row>
    <row r="179" spans="2:18">
      <c r="B179" s="151" t="s">
        <v>50</v>
      </c>
      <c r="L179" s="918">
        <f t="shared" ref="L179:Q179" si="28">SUM(L177:L178)</f>
        <v>10.442604166666666</v>
      </c>
      <c r="M179" s="919">
        <f t="shared" si="28"/>
        <v>11.486864583333336</v>
      </c>
      <c r="N179" s="919">
        <f t="shared" si="28"/>
        <v>12.63555104166667</v>
      </c>
      <c r="O179" s="919">
        <f t="shared" si="28"/>
        <v>13.899106145833338</v>
      </c>
      <c r="P179" s="919">
        <f t="shared" si="28"/>
        <v>15.289016760416676</v>
      </c>
      <c r="Q179" s="857">
        <f t="shared" si="28"/>
        <v>16.817918436458346</v>
      </c>
      <c r="R179" s="1120"/>
    </row>
    <row r="180" spans="2:18">
      <c r="B180" s="3" t="s">
        <v>51</v>
      </c>
      <c r="L180" s="343">
        <f t="shared" ref="L180:L186" ca="1" si="29">P110</f>
        <v>120</v>
      </c>
      <c r="M180" s="343">
        <f ca="1">M248</f>
        <v>115.40672831974022</v>
      </c>
      <c r="N180" s="343">
        <f ca="1">N248</f>
        <v>109.44489645141974</v>
      </c>
      <c r="O180" s="343">
        <f ca="1">O248</f>
        <v>101.91233687380009</v>
      </c>
      <c r="P180" s="343">
        <f ca="1">P248</f>
        <v>92.580209602284185</v>
      </c>
      <c r="Q180" s="343">
        <f ca="1">Q248</f>
        <v>81.189651627822784</v>
      </c>
      <c r="R180" s="1120"/>
    </row>
    <row r="181" spans="2:18">
      <c r="B181" s="3" t="s">
        <v>233</v>
      </c>
      <c r="L181" s="343">
        <f t="shared" si="29"/>
        <v>3.6030000000000002</v>
      </c>
      <c r="M181" s="103">
        <f>'Tar Proj'!M75</f>
        <v>3.6030000000000002</v>
      </c>
      <c r="N181" s="103">
        <f>'Tar Proj'!N75</f>
        <v>3.6030000000000002</v>
      </c>
      <c r="O181" s="103">
        <f>'Tar Proj'!O75</f>
        <v>3.6030000000000002</v>
      </c>
      <c r="P181" s="103">
        <f>'Tar Proj'!P75</f>
        <v>3.6030000000000002</v>
      </c>
      <c r="Q181" s="103">
        <f>'Tar Proj'!Q75</f>
        <v>3.6030000000000002</v>
      </c>
      <c r="R181" s="1120"/>
    </row>
    <row r="182" spans="2:18">
      <c r="B182" s="3" t="s">
        <v>475</v>
      </c>
      <c r="L182" s="343">
        <f t="shared" ca="1" si="29"/>
        <v>-1.2000000000000011</v>
      </c>
      <c r="M182" s="343">
        <f t="shared" ref="M182:Q183" ca="1" si="30">+L182+M207</f>
        <v>-1.0500000000000009</v>
      </c>
      <c r="N182" s="343">
        <f t="shared" ca="1" si="30"/>
        <v>-0.9000000000000008</v>
      </c>
      <c r="O182" s="343">
        <f t="shared" ca="1" si="30"/>
        <v>-0.75000000000000067</v>
      </c>
      <c r="P182" s="343">
        <f t="shared" ca="1" si="30"/>
        <v>-0.60000000000000053</v>
      </c>
      <c r="Q182" s="343">
        <f t="shared" ca="1" si="30"/>
        <v>-0.4500000000000004</v>
      </c>
      <c r="R182" s="1120"/>
    </row>
    <row r="183" spans="2:18">
      <c r="B183" s="3" t="s">
        <v>518</v>
      </c>
      <c r="L183" s="343">
        <f t="shared" ca="1" si="29"/>
        <v>6.3841626081715726</v>
      </c>
      <c r="M183" s="343">
        <f t="shared" ca="1" si="30"/>
        <v>5.745746347354415</v>
      </c>
      <c r="N183" s="343">
        <f t="shared" ca="1" si="30"/>
        <v>5.1073300865372575</v>
      </c>
      <c r="O183" s="343">
        <f t="shared" ca="1" si="30"/>
        <v>4.4689138257201009</v>
      </c>
      <c r="P183" s="343">
        <f t="shared" ca="1" si="30"/>
        <v>3.8304975649029438</v>
      </c>
      <c r="Q183" s="343">
        <f t="shared" ca="1" si="30"/>
        <v>3.1920813040857863</v>
      </c>
      <c r="R183" s="1120"/>
    </row>
    <row r="184" spans="2:18">
      <c r="B184" s="3" t="s">
        <v>52</v>
      </c>
      <c r="L184" s="343">
        <f t="shared" si="29"/>
        <v>0.2</v>
      </c>
      <c r="M184" s="103">
        <f>'Tar Proj'!M76</f>
        <v>0.2</v>
      </c>
      <c r="N184" s="103">
        <f>'Tar Proj'!N76</f>
        <v>0.2</v>
      </c>
      <c r="O184" s="103">
        <f>'Tar Proj'!O76</f>
        <v>0.2</v>
      </c>
      <c r="P184" s="103">
        <f>'Tar Proj'!P76</f>
        <v>0.2</v>
      </c>
      <c r="Q184" s="103">
        <f>'Tar Proj'!Q76</f>
        <v>0.2</v>
      </c>
      <c r="R184" s="1120"/>
    </row>
    <row r="185" spans="2:18">
      <c r="B185" s="3" t="s">
        <v>53</v>
      </c>
      <c r="L185" s="343">
        <f t="shared" si="29"/>
        <v>0</v>
      </c>
      <c r="M185" s="103">
        <f>'Tar Proj'!M77</f>
        <v>0</v>
      </c>
      <c r="N185" s="103">
        <f>'Tar Proj'!N77</f>
        <v>0</v>
      </c>
      <c r="O185" s="103">
        <f>'Tar Proj'!O77</f>
        <v>0</v>
      </c>
      <c r="P185" s="103">
        <f>'Tar Proj'!P77</f>
        <v>0</v>
      </c>
      <c r="Q185" s="103">
        <f>'Tar Proj'!Q77</f>
        <v>0</v>
      </c>
      <c r="R185" s="1120"/>
    </row>
    <row r="186" spans="2:18">
      <c r="B186" s="3" t="s">
        <v>150</v>
      </c>
      <c r="L186" s="917">
        <f t="shared" ca="1" si="29"/>
        <v>97.299252884575267</v>
      </c>
      <c r="M186" s="917">
        <f ca="1">L186+M139+M209+M220</f>
        <v>99.777942449050755</v>
      </c>
      <c r="N186" s="917">
        <f ca="1">M186+N139+N209+N220</f>
        <v>103.7303213681347</v>
      </c>
      <c r="O186" s="917">
        <f ca="1">N186+O139+O209+O220</f>
        <v>109.36907009203149</v>
      </c>
      <c r="P186" s="917">
        <f ca="1">O186+P139+P209+P220</f>
        <v>116.934592049451</v>
      </c>
      <c r="Q186" s="917">
        <f ca="1">P186+Q139+Q209+Q220</f>
        <v>126.69850255940474</v>
      </c>
      <c r="R186" s="1120"/>
    </row>
    <row r="187" spans="2:18">
      <c r="B187" s="151" t="s">
        <v>325</v>
      </c>
      <c r="L187" s="757">
        <f t="shared" ref="L187:Q187" ca="1" si="31">SUM(L179:L186)</f>
        <v>236.7290196594135</v>
      </c>
      <c r="M187" s="758">
        <f t="shared" ca="1" si="31"/>
        <v>235.17028169947872</v>
      </c>
      <c r="N187" s="758">
        <f t="shared" ca="1" si="31"/>
        <v>233.82109894775834</v>
      </c>
      <c r="O187" s="758">
        <f t="shared" ca="1" si="31"/>
        <v>232.70242693738501</v>
      </c>
      <c r="P187" s="758">
        <f t="shared" ca="1" si="31"/>
        <v>231.8373159770548</v>
      </c>
      <c r="Q187" s="759">
        <f t="shared" ca="1" si="31"/>
        <v>231.25115392777167</v>
      </c>
      <c r="R187" s="1120"/>
    </row>
    <row r="188" spans="2:18">
      <c r="B188" s="151"/>
      <c r="L188" s="840"/>
      <c r="M188" s="840"/>
      <c r="N188" s="840"/>
      <c r="O188" s="840"/>
      <c r="P188" s="840"/>
      <c r="Q188" s="840"/>
      <c r="R188" s="1120"/>
    </row>
    <row r="189" spans="2:18">
      <c r="B189" s="3" t="s">
        <v>34</v>
      </c>
      <c r="L189" s="822">
        <f t="shared" ref="L189:Q189" ca="1" si="32">L174-L187</f>
        <v>13.205000000000013</v>
      </c>
      <c r="M189" s="822">
        <f t="shared" ca="1" si="32"/>
        <v>13.205000000000126</v>
      </c>
      <c r="N189" s="822">
        <f t="shared" ca="1" si="32"/>
        <v>13.204999999969317</v>
      </c>
      <c r="O189" s="822">
        <f t="shared" ca="1" si="32"/>
        <v>13.205000003341041</v>
      </c>
      <c r="P189" s="822">
        <f t="shared" ca="1" si="32"/>
        <v>13.204999780646204</v>
      </c>
      <c r="Q189" s="822">
        <f t="shared" ca="1" si="32"/>
        <v>13.205009666670662</v>
      </c>
      <c r="R189" s="1120"/>
    </row>
    <row r="190" spans="2:18">
      <c r="B190" s="151"/>
      <c r="L190" s="840"/>
      <c r="M190" s="840"/>
      <c r="N190" s="840"/>
      <c r="O190" s="840"/>
      <c r="P190" s="840"/>
      <c r="Q190" s="840"/>
      <c r="R190" s="1120"/>
    </row>
    <row r="191" spans="2:18" s="17" customFormat="1" ht="12.75" customHeight="1">
      <c r="B191" s="10" t="s">
        <v>55</v>
      </c>
      <c r="C191" s="10"/>
      <c r="D191" s="10"/>
      <c r="E191" s="10"/>
      <c r="F191" s="10"/>
      <c r="G191" s="10"/>
      <c r="H191" s="10"/>
      <c r="I191" s="10"/>
      <c r="J191" s="10"/>
      <c r="K191" s="10"/>
      <c r="L191" s="875">
        <f t="shared" ref="L191:Q191" si="33">SUM(L165:L167)-SUM(L177:L178)</f>
        <v>5.5129166666666674</v>
      </c>
      <c r="M191" s="875">
        <f t="shared" si="33"/>
        <v>6.0642083333333332</v>
      </c>
      <c r="N191" s="875">
        <f t="shared" si="33"/>
        <v>6.6706291666666679</v>
      </c>
      <c r="O191" s="875">
        <f t="shared" si="33"/>
        <v>7.337692083333339</v>
      </c>
      <c r="P191" s="875">
        <f t="shared" si="33"/>
        <v>8.0714612916666688</v>
      </c>
      <c r="Q191" s="875">
        <f t="shared" si="33"/>
        <v>8.8786074208333403</v>
      </c>
      <c r="R191" s="1120"/>
    </row>
    <row r="192" spans="2:18" ht="12.75" customHeight="1">
      <c r="B192" s="3" t="s">
        <v>256</v>
      </c>
      <c r="L192" s="200">
        <f t="shared" ref="L192:Q192" si="34">L191/L127</f>
        <v>0.11025833333333335</v>
      </c>
      <c r="M192" s="200">
        <f t="shared" si="34"/>
        <v>0.11025833333333332</v>
      </c>
      <c r="N192" s="200">
        <f t="shared" si="34"/>
        <v>0.11025833333333333</v>
      </c>
      <c r="O192" s="200">
        <f t="shared" si="34"/>
        <v>0.11025833333333337</v>
      </c>
      <c r="P192" s="200">
        <f t="shared" si="34"/>
        <v>0.11025833333333331</v>
      </c>
      <c r="Q192" s="200">
        <f t="shared" si="34"/>
        <v>0.11025833333333335</v>
      </c>
      <c r="R192" s="1120"/>
    </row>
    <row r="193" spans="1:18" ht="12.75" customHeight="1">
      <c r="L193" s="232"/>
      <c r="M193" s="232"/>
      <c r="N193" s="232"/>
      <c r="O193" s="232"/>
      <c r="P193" s="232"/>
      <c r="Q193" s="232"/>
      <c r="R193" s="1120"/>
    </row>
    <row r="194" spans="1:18" ht="12.75" customHeight="1">
      <c r="B194" s="3" t="s">
        <v>61</v>
      </c>
      <c r="L194" s="200">
        <f t="shared" ref="L194:Q194" ca="1" si="35">IF((L180+SUM(L184:L186))&gt;0,L180/(L180+SUM(L184:L186)),"NM")</f>
        <v>0.55172603311737733</v>
      </c>
      <c r="M194" s="200">
        <f t="shared" ca="1" si="35"/>
        <v>0.53581681513270696</v>
      </c>
      <c r="N194" s="200">
        <f t="shared" ca="1" si="35"/>
        <v>0.51292224828083954</v>
      </c>
      <c r="O194" s="200">
        <f t="shared" ca="1" si="35"/>
        <v>0.48189738443657015</v>
      </c>
      <c r="P194" s="200">
        <f t="shared" ca="1" si="35"/>
        <v>0.44145767906277006</v>
      </c>
      <c r="Q194" s="200">
        <f t="shared" ca="1" si="35"/>
        <v>0.39016950265593836</v>
      </c>
      <c r="R194" s="1120"/>
    </row>
    <row r="195" spans="1:18" ht="12.75" customHeight="1">
      <c r="B195" s="3" t="s">
        <v>62</v>
      </c>
      <c r="L195" s="200">
        <f t="shared" ref="L195:Q195" ca="1" si="36">IF((L180+SUM(L184:L186)-L164)&gt;0,(L180-L164)/(L180+SUM(L184:L186)-L164),"NM")</f>
        <v>0.5301223906632051</v>
      </c>
      <c r="M195" s="200">
        <f t="shared" ca="1" si="36"/>
        <v>0.51321614181420627</v>
      </c>
      <c r="N195" s="200">
        <f t="shared" ca="1" si="36"/>
        <v>0.48897253813750591</v>
      </c>
      <c r="O195" s="200">
        <f t="shared" ca="1" si="36"/>
        <v>0.45618272300964635</v>
      </c>
      <c r="P195" s="200">
        <f t="shared" ca="1" si="36"/>
        <v>0.41349068509173564</v>
      </c>
      <c r="Q195" s="200">
        <f t="shared" ca="1" si="36"/>
        <v>0.35938356260754473</v>
      </c>
      <c r="R195" s="1120"/>
    </row>
    <row r="196" spans="1:18" ht="12.75" customHeight="1">
      <c r="L196" s="200"/>
      <c r="M196" s="200"/>
      <c r="N196" s="200"/>
      <c r="O196" s="200"/>
      <c r="P196" s="200"/>
      <c r="Q196" s="200"/>
      <c r="R196" s="1120"/>
    </row>
    <row r="197" spans="1:18" ht="12.75" customHeight="1">
      <c r="B197" s="3" t="s">
        <v>402</v>
      </c>
      <c r="D197" s="1087">
        <v>8</v>
      </c>
      <c r="L197" s="343">
        <f t="shared" ref="L197:Q197" ca="1" si="37">L180+($D$197*L129)</f>
        <v>130.83333333333334</v>
      </c>
      <c r="M197" s="343">
        <f t="shared" ca="1" si="37"/>
        <v>127.3233949864069</v>
      </c>
      <c r="N197" s="343">
        <f t="shared" ca="1" si="37"/>
        <v>122.55322978475307</v>
      </c>
      <c r="O197" s="343">
        <f t="shared" ca="1" si="37"/>
        <v>116.33150354046676</v>
      </c>
      <c r="P197" s="343">
        <f t="shared" ca="1" si="37"/>
        <v>108.44129293561753</v>
      </c>
      <c r="Q197" s="343">
        <f t="shared" ca="1" si="37"/>
        <v>98.636843294489466</v>
      </c>
      <c r="R197" s="1120"/>
    </row>
    <row r="198" spans="1:18" ht="12.75" customHeight="1">
      <c r="B198" s="3" t="s">
        <v>403</v>
      </c>
      <c r="L198" s="144">
        <f t="shared" ref="L198:Q198" ca="1" si="38">L197/L128</f>
        <v>6.1268292682926822</v>
      </c>
      <c r="M198" s="144">
        <f t="shared" ca="1" si="38"/>
        <v>5.5383080737177428</v>
      </c>
      <c r="N198" s="144">
        <f t="shared" ca="1" si="38"/>
        <v>4.8461960124135155</v>
      </c>
      <c r="O198" s="144">
        <f t="shared" ca="1" si="38"/>
        <v>4.1819695933243217</v>
      </c>
      <c r="P198" s="144">
        <f t="shared" ca="1" si="38"/>
        <v>3.5439332340269947</v>
      </c>
      <c r="Q198" s="144">
        <f t="shared" ca="1" si="38"/>
        <v>2.9304702998766343</v>
      </c>
      <c r="R198" s="1120"/>
    </row>
    <row r="199" spans="1:18">
      <c r="R199" s="1120"/>
    </row>
    <row r="200" spans="1:18" ht="15.95" customHeight="1" collapsed="1" thickBot="1">
      <c r="A200" s="4" t="s">
        <v>167</v>
      </c>
      <c r="B200" s="459" t="s">
        <v>125</v>
      </c>
      <c r="C200" s="666"/>
      <c r="D200" s="666"/>
      <c r="E200" s="666"/>
      <c r="F200" s="666"/>
      <c r="G200" s="666"/>
      <c r="H200" s="666"/>
      <c r="I200" s="666"/>
      <c r="J200" s="666"/>
      <c r="K200" s="666"/>
      <c r="L200" s="666"/>
      <c r="M200" s="666"/>
      <c r="N200" s="666"/>
      <c r="O200" s="667"/>
      <c r="P200" s="667"/>
      <c r="Q200" s="667"/>
      <c r="R200" s="1118"/>
    </row>
    <row r="201" spans="1:18">
      <c r="B201" s="895" t="str">
        <f>$B$126</f>
        <v>Fiscal Year Ended December 31,</v>
      </c>
      <c r="C201" s="896"/>
      <c r="D201" s="896"/>
      <c r="E201" s="896"/>
      <c r="F201" s="896"/>
      <c r="G201" s="896"/>
      <c r="H201" s="896"/>
      <c r="I201" s="896"/>
      <c r="J201" s="896"/>
      <c r="K201" s="896"/>
      <c r="L201" s="899"/>
      <c r="M201" s="463">
        <f>M$126</f>
        <v>2020</v>
      </c>
      <c r="N201" s="463">
        <f>N$126</f>
        <v>2021</v>
      </c>
      <c r="O201" s="463">
        <f>O$126</f>
        <v>2022</v>
      </c>
      <c r="P201" s="463">
        <f>P$126</f>
        <v>2023</v>
      </c>
      <c r="Q201" s="463">
        <f>Q$126</f>
        <v>2024</v>
      </c>
      <c r="R201" s="1119"/>
    </row>
    <row r="202" spans="1:18" ht="15" customHeight="1">
      <c r="B202" s="3" t="s">
        <v>65</v>
      </c>
      <c r="M202" s="153">
        <f ca="1">M139</f>
        <v>2.4786895644754909</v>
      </c>
      <c r="N202" s="153">
        <f ca="1">N139</f>
        <v>3.9523789190839462</v>
      </c>
      <c r="O202" s="153">
        <f ca="1">O139</f>
        <v>5.6387487238967937</v>
      </c>
      <c r="P202" s="153">
        <f ca="1">P139</f>
        <v>7.5655219574195058</v>
      </c>
      <c r="Q202" s="153">
        <f ca="1">Q139</f>
        <v>9.7639105099537478</v>
      </c>
    </row>
    <row r="203" spans="1:18" ht="12.75" customHeight="1">
      <c r="B203" s="3" t="s">
        <v>568</v>
      </c>
      <c r="M203" s="161">
        <f t="shared" ref="M203:Q205" si="39">M131</f>
        <v>5.0000000000000009</v>
      </c>
      <c r="N203" s="161">
        <f t="shared" si="39"/>
        <v>5.5000000000000018</v>
      </c>
      <c r="O203" s="161">
        <f t="shared" si="39"/>
        <v>6.0500000000000025</v>
      </c>
      <c r="P203" s="161">
        <f t="shared" si="39"/>
        <v>6.6550000000000038</v>
      </c>
      <c r="Q203" s="161">
        <f t="shared" si="39"/>
        <v>7.3205000000000044</v>
      </c>
      <c r="R203" s="1120"/>
    </row>
    <row r="204" spans="1:18" ht="12.75" customHeight="1">
      <c r="B204" s="3" t="s">
        <v>571</v>
      </c>
      <c r="M204" s="161">
        <f t="shared" si="39"/>
        <v>0</v>
      </c>
      <c r="N204" s="161">
        <f t="shared" si="39"/>
        <v>0</v>
      </c>
      <c r="O204" s="161">
        <f t="shared" si="39"/>
        <v>0</v>
      </c>
      <c r="P204" s="161">
        <f t="shared" si="39"/>
        <v>0</v>
      </c>
      <c r="Q204" s="161">
        <f t="shared" si="39"/>
        <v>0</v>
      </c>
      <c r="R204" s="1120"/>
    </row>
    <row r="205" spans="1:18" ht="12.75" customHeight="1">
      <c r="B205" s="3" t="s">
        <v>572</v>
      </c>
      <c r="M205" s="161">
        <f t="shared" ca="1" si="39"/>
        <v>2.5536650432686292</v>
      </c>
      <c r="N205" s="161">
        <f t="shared" ca="1" si="39"/>
        <v>2.5536650432686292</v>
      </c>
      <c r="O205" s="161">
        <f t="shared" ca="1" si="39"/>
        <v>2.5536650432686292</v>
      </c>
      <c r="P205" s="161">
        <f t="shared" ca="1" si="39"/>
        <v>2.5536650432686292</v>
      </c>
      <c r="Q205" s="161">
        <f t="shared" ca="1" si="39"/>
        <v>2.5536650432686292</v>
      </c>
      <c r="R205" s="1120"/>
    </row>
    <row r="206" spans="1:18" ht="12.75" customHeight="1">
      <c r="B206" s="3" t="s">
        <v>375</v>
      </c>
      <c r="M206" s="161">
        <f ca="1">$Q$77</f>
        <v>1.100625</v>
      </c>
      <c r="N206" s="161">
        <f ca="1">$Q$77</f>
        <v>1.100625</v>
      </c>
      <c r="O206" s="161">
        <f ca="1">$Q$77</f>
        <v>1.100625</v>
      </c>
      <c r="P206" s="161">
        <f ca="1">$Q$77</f>
        <v>1.100625</v>
      </c>
      <c r="Q206" s="161">
        <f ca="1">$Q$77</f>
        <v>1.100625</v>
      </c>
      <c r="R206" s="1120"/>
    </row>
    <row r="207" spans="1:18" ht="12.75" customHeight="1">
      <c r="B207" s="3" t="s">
        <v>570</v>
      </c>
      <c r="M207" s="161">
        <f ca="1">+$Q$85</f>
        <v>0.15000000000000013</v>
      </c>
      <c r="N207" s="161">
        <f ca="1">+$Q$85</f>
        <v>0.15000000000000013</v>
      </c>
      <c r="O207" s="161">
        <f ca="1">+$Q$85</f>
        <v>0.15000000000000013</v>
      </c>
      <c r="P207" s="161">
        <f ca="1">+$Q$85</f>
        <v>0.15000000000000013</v>
      </c>
      <c r="Q207" s="161">
        <f ca="1">+$Q$85</f>
        <v>0.15000000000000013</v>
      </c>
      <c r="R207" s="1120"/>
    </row>
    <row r="208" spans="1:18" ht="12.75" customHeight="1">
      <c r="B208" s="3" t="s">
        <v>526</v>
      </c>
      <c r="M208" s="161">
        <f ca="1">+M307</f>
        <v>-0.6384162608171573</v>
      </c>
      <c r="N208" s="161">
        <f ca="1">+N307</f>
        <v>-0.6384162608171573</v>
      </c>
      <c r="O208" s="161">
        <f ca="1">+O307</f>
        <v>-0.63841626081715752</v>
      </c>
      <c r="P208" s="161">
        <f ca="1">+P307</f>
        <v>-0.63841626081715708</v>
      </c>
      <c r="Q208" s="161">
        <f ca="1">+Q307</f>
        <v>-0.63841626081715752</v>
      </c>
      <c r="R208" s="1120"/>
    </row>
    <row r="209" spans="2:18" ht="12.75" customHeight="1">
      <c r="B209" s="3" t="s">
        <v>49</v>
      </c>
      <c r="M209" s="115">
        <f>'Tar Proj'!M91</f>
        <v>0</v>
      </c>
      <c r="N209" s="115">
        <f>'Tar Proj'!N91</f>
        <v>0</v>
      </c>
      <c r="O209" s="115">
        <f>'Tar Proj'!O91</f>
        <v>0</v>
      </c>
      <c r="P209" s="115">
        <f>'Tar Proj'!P91</f>
        <v>0</v>
      </c>
      <c r="Q209" s="115">
        <f>'Tar Proj'!Q91</f>
        <v>0</v>
      </c>
      <c r="R209" s="1120"/>
    </row>
    <row r="210" spans="2:18" ht="12.75" customHeight="1">
      <c r="B210" s="3" t="s">
        <v>234</v>
      </c>
      <c r="M210" s="161">
        <f ca="1">L173-M173</f>
        <v>0</v>
      </c>
      <c r="N210" s="161">
        <f>M173-N173</f>
        <v>0</v>
      </c>
      <c r="O210" s="161">
        <f>N173-O173</f>
        <v>0</v>
      </c>
      <c r="P210" s="161">
        <f>O173-P173</f>
        <v>0</v>
      </c>
      <c r="Q210" s="161">
        <f>P173-Q173</f>
        <v>0</v>
      </c>
      <c r="R210" s="1120"/>
    </row>
    <row r="211" spans="2:18" ht="12.75" customHeight="1">
      <c r="B211" s="3" t="s">
        <v>235</v>
      </c>
      <c r="M211" s="68">
        <f>M181-L181</f>
        <v>0</v>
      </c>
      <c r="N211" s="68">
        <f>N181-M181</f>
        <v>0</v>
      </c>
      <c r="O211" s="68">
        <f>O181-N181</f>
        <v>0</v>
      </c>
      <c r="P211" s="68">
        <f>P181-O181</f>
        <v>0</v>
      </c>
      <c r="Q211" s="68">
        <f>Q181-P181</f>
        <v>0</v>
      </c>
      <c r="R211" s="1120"/>
    </row>
    <row r="212" spans="2:18" ht="12.75" customHeight="1">
      <c r="B212" s="1074" t="s">
        <v>80</v>
      </c>
      <c r="M212" s="68">
        <f>L191-M191</f>
        <v>-0.55129166666666585</v>
      </c>
      <c r="N212" s="68">
        <f>M191-N191</f>
        <v>-0.60642083333333474</v>
      </c>
      <c r="O212" s="68">
        <f>N191-O191</f>
        <v>-0.66706291666667106</v>
      </c>
      <c r="P212" s="68">
        <f>O191-P191</f>
        <v>-0.73376920833332981</v>
      </c>
      <c r="Q212" s="68">
        <f>P191-Q191</f>
        <v>-0.8071461291666715</v>
      </c>
      <c r="R212" s="1120"/>
    </row>
    <row r="213" spans="2:18" ht="12.75" customHeight="1">
      <c r="B213" s="942" t="s">
        <v>322</v>
      </c>
      <c r="M213" s="1088">
        <f ca="1">SUM(M202:M212)</f>
        <v>10.093271680260299</v>
      </c>
      <c r="N213" s="1089">
        <f ca="1">SUM(N202:N212)</f>
        <v>12.011831868202087</v>
      </c>
      <c r="O213" s="1089">
        <f ca="1">SUM(O202:O212)</f>
        <v>14.1875595896816</v>
      </c>
      <c r="P213" s="1089">
        <f ca="1">SUM(P202:P212)</f>
        <v>16.652626531537656</v>
      </c>
      <c r="Q213" s="407">
        <f ca="1">SUM(Q202:Q212)</f>
        <v>19.443138163238554</v>
      </c>
      <c r="R213" s="1120"/>
    </row>
    <row r="214" spans="2:18" ht="12.75" customHeight="1">
      <c r="M214" s="310"/>
      <c r="N214" s="310"/>
      <c r="O214" s="310"/>
      <c r="P214" s="310"/>
      <c r="Q214" s="310"/>
      <c r="R214" s="1120"/>
    </row>
    <row r="215" spans="2:18" ht="12.75" customHeight="1">
      <c r="B215" s="3" t="s">
        <v>122</v>
      </c>
      <c r="L215" s="115">
        <f>'Tar Proj'!L98</f>
        <v>-5</v>
      </c>
      <c r="M215" s="115">
        <f>'Tar Proj'!M98</f>
        <v>-5.5000000000000009</v>
      </c>
      <c r="N215" s="115">
        <f>'Tar Proj'!N98</f>
        <v>-6.0500000000000016</v>
      </c>
      <c r="O215" s="115">
        <f>'Tar Proj'!O98</f>
        <v>-6.6550000000000029</v>
      </c>
      <c r="P215" s="115">
        <f>'Tar Proj'!P98</f>
        <v>-7.3205000000000044</v>
      </c>
      <c r="Q215" s="115">
        <f>'Tar Proj'!Q98</f>
        <v>-8.0525500000000054</v>
      </c>
      <c r="R215" s="1120"/>
    </row>
    <row r="216" spans="2:18" ht="12.75" customHeight="1">
      <c r="B216" s="3" t="s">
        <v>567</v>
      </c>
      <c r="M216" s="143">
        <f>'Tar Proj'!M99</f>
        <v>0</v>
      </c>
      <c r="N216" s="143">
        <f>'Tar Proj'!N99</f>
        <v>0</v>
      </c>
      <c r="O216" s="143">
        <f>'Tar Proj'!O99</f>
        <v>0</v>
      </c>
      <c r="P216" s="143">
        <f>'Tar Proj'!P99</f>
        <v>0</v>
      </c>
      <c r="Q216" s="143">
        <f>'Tar Proj'!Q99</f>
        <v>0</v>
      </c>
      <c r="R216" s="1120"/>
    </row>
    <row r="217" spans="2:18" ht="12.75" customHeight="1">
      <c r="B217" s="942" t="s">
        <v>157</v>
      </c>
      <c r="M217" s="1088">
        <f>SUM(M215:M216)</f>
        <v>-5.5000000000000009</v>
      </c>
      <c r="N217" s="1089">
        <f>SUM(N215:N216)</f>
        <v>-6.0500000000000016</v>
      </c>
      <c r="O217" s="1089">
        <f>SUM(O215:O216)</f>
        <v>-6.6550000000000029</v>
      </c>
      <c r="P217" s="1089">
        <f>SUM(P215:P216)</f>
        <v>-7.3205000000000044</v>
      </c>
      <c r="Q217" s="407">
        <f>SUM(Q215:Q216)</f>
        <v>-8.0525500000000054</v>
      </c>
      <c r="R217" s="1120"/>
    </row>
    <row r="218" spans="2:18" ht="12.75" customHeight="1">
      <c r="M218" s="310"/>
      <c r="N218" s="310"/>
      <c r="O218" s="310"/>
      <c r="P218" s="310"/>
      <c r="Q218" s="310"/>
      <c r="R218" s="1120"/>
    </row>
    <row r="219" spans="2:18" ht="12.75" customHeight="1">
      <c r="B219" s="3" t="s">
        <v>175</v>
      </c>
      <c r="M219" s="68">
        <f ca="1">-M262</f>
        <v>-0.70000000000000007</v>
      </c>
      <c r="N219" s="68">
        <f ca="1">-N262</f>
        <v>-0.70000000000000007</v>
      </c>
      <c r="O219" s="68">
        <f ca="1">-O262</f>
        <v>-0.70000000000000007</v>
      </c>
      <c r="P219" s="68">
        <f ca="1">-P262</f>
        <v>-0.70000000000000007</v>
      </c>
      <c r="Q219" s="68">
        <f ca="1">-Q262</f>
        <v>-0.70000000000000007</v>
      </c>
      <c r="R219" s="1120"/>
    </row>
    <row r="220" spans="2:18" ht="12.75" customHeight="1">
      <c r="B220" s="3" t="s">
        <v>49</v>
      </c>
      <c r="M220" s="140">
        <f>'Tar Proj'!M105</f>
        <v>0</v>
      </c>
      <c r="N220" s="140">
        <f>'Tar Proj'!N105</f>
        <v>0</v>
      </c>
      <c r="O220" s="140">
        <f>'Tar Proj'!O105</f>
        <v>0</v>
      </c>
      <c r="P220" s="140">
        <f>'Tar Proj'!P105</f>
        <v>0</v>
      </c>
      <c r="Q220" s="140">
        <f>'Tar Proj'!Q105</f>
        <v>0</v>
      </c>
      <c r="R220" s="1120"/>
    </row>
    <row r="221" spans="2:18" ht="12.75" customHeight="1">
      <c r="B221" s="3" t="s">
        <v>82</v>
      </c>
      <c r="F221" s="298">
        <f>Q59</f>
        <v>10</v>
      </c>
      <c r="G221" s="253" t="s">
        <v>173</v>
      </c>
      <c r="I221" s="4"/>
      <c r="K221" s="4"/>
      <c r="L221" s="4"/>
      <c r="M221" s="68">
        <f ca="1">M240</f>
        <v>0</v>
      </c>
      <c r="N221" s="68">
        <f ca="1">N240</f>
        <v>0</v>
      </c>
      <c r="O221" s="68">
        <f ca="1">O240</f>
        <v>0</v>
      </c>
      <c r="P221" s="68">
        <f ca="1">P240</f>
        <v>0</v>
      </c>
      <c r="Q221" s="68">
        <f ca="1">Q240</f>
        <v>0</v>
      </c>
      <c r="R221" s="1120"/>
    </row>
    <row r="222" spans="2:18" ht="12.75" customHeight="1">
      <c r="B222" s="3" t="s">
        <v>358</v>
      </c>
      <c r="F222" s="1094"/>
      <c r="G222" s="253"/>
      <c r="I222" s="4"/>
      <c r="K222" s="4"/>
      <c r="L222" s="4"/>
      <c r="M222" s="68">
        <f ca="1">-M268</f>
        <v>-3.8932716802604261</v>
      </c>
      <c r="N222" s="68">
        <f ca="1">-N268</f>
        <v>-5.2618318681719121</v>
      </c>
      <c r="O222" s="68">
        <f ca="1">-O268</f>
        <v>-6.8325595929047722</v>
      </c>
      <c r="P222" s="68">
        <f ca="1">-P268</f>
        <v>-8.6321263241279098</v>
      </c>
      <c r="Q222" s="68">
        <f ca="1">-Q268</f>
        <v>-10.690597101875021</v>
      </c>
      <c r="R222" s="1120"/>
    </row>
    <row r="223" spans="2:18" ht="12.75" customHeight="1">
      <c r="B223" s="942" t="s">
        <v>316</v>
      </c>
      <c r="H223" s="253"/>
      <c r="I223" s="1094"/>
      <c r="J223" s="253"/>
      <c r="K223" s="1094"/>
      <c r="M223" s="1088">
        <f ca="1">SUM(M219:M222)</f>
        <v>-4.5932716802604263</v>
      </c>
      <c r="N223" s="1088">
        <f ca="1">SUM(N219:N222)</f>
        <v>-5.9618318681719122</v>
      </c>
      <c r="O223" s="1088">
        <f ca="1">SUM(O219:O222)</f>
        <v>-7.5325595929047724</v>
      </c>
      <c r="P223" s="1088">
        <f ca="1">SUM(P219:P222)</f>
        <v>-9.3321263241279091</v>
      </c>
      <c r="Q223" s="1088">
        <f ca="1">SUM(Q219:Q222)</f>
        <v>-11.39059710187502</v>
      </c>
      <c r="R223" s="1120"/>
    </row>
    <row r="224" spans="2:18" ht="12.75" customHeight="1">
      <c r="H224" s="253"/>
      <c r="I224" s="1094"/>
      <c r="J224" s="253"/>
      <c r="K224" s="1094"/>
      <c r="M224" s="68"/>
      <c r="N224" s="351"/>
      <c r="O224" s="351"/>
      <c r="P224" s="351"/>
      <c r="Q224" s="351"/>
      <c r="R224" s="1120"/>
    </row>
    <row r="225" spans="1:18" ht="12.75" customHeight="1">
      <c r="B225" s="3" t="s">
        <v>431</v>
      </c>
      <c r="M225" s="161">
        <f ca="1">M213+M217+M223</f>
        <v>-1.2789769243681803E-13</v>
      </c>
      <c r="N225" s="161">
        <f ca="1">N213+N217+N223</f>
        <v>3.0173197274052654E-11</v>
      </c>
      <c r="O225" s="161">
        <f ca="1">O213+O217+O223</f>
        <v>-3.2231755042744226E-9</v>
      </c>
      <c r="P225" s="161">
        <f ca="1">P213+P217+P223</f>
        <v>2.0740974271404866E-7</v>
      </c>
      <c r="Q225" s="161">
        <f ca="1">Q213+Q217+Q223</f>
        <v>-8.9386364710009047E-6</v>
      </c>
      <c r="R225" s="1120"/>
    </row>
    <row r="226" spans="1:18" ht="12.75" customHeight="1">
      <c r="M226" s="305"/>
      <c r="N226" s="310"/>
      <c r="O226" s="310"/>
      <c r="P226" s="310"/>
      <c r="Q226" s="310"/>
      <c r="R226" s="1120"/>
    </row>
    <row r="227" spans="1:18" ht="12.75" customHeight="1">
      <c r="B227" s="3" t="s">
        <v>158</v>
      </c>
      <c r="M227" s="268">
        <f ca="1">L164</f>
        <v>10</v>
      </c>
      <c r="N227" s="268">
        <f ca="1">M228</f>
        <v>10.000000000000657</v>
      </c>
      <c r="O227" s="268">
        <f ca="1">N228</f>
        <v>9.9999999998514326</v>
      </c>
      <c r="P227" s="268">
        <f ca="1">O228</f>
        <v>10.000000015285124</v>
      </c>
      <c r="Q227" s="268">
        <f ca="1">P228</f>
        <v>9.9999990526119955</v>
      </c>
      <c r="R227" s="1120"/>
    </row>
    <row r="228" spans="1:18" ht="12.75" customHeight="1">
      <c r="B228" s="3" t="s">
        <v>83</v>
      </c>
      <c r="M228" s="1079">
        <f ca="1">M227+M225</f>
        <v>9.9999999999998721</v>
      </c>
      <c r="N228" s="1079">
        <f ca="1">N227+N225</f>
        <v>10.00000000003083</v>
      </c>
      <c r="O228" s="1079">
        <f ca="1">O227+O225</f>
        <v>9.999999996628258</v>
      </c>
      <c r="P228" s="1079">
        <f ca="1">P227+P225</f>
        <v>10.000000222694867</v>
      </c>
      <c r="Q228" s="1079">
        <f ca="1">Q227+Q225</f>
        <v>9.9999901139755245</v>
      </c>
      <c r="R228" s="1120"/>
    </row>
    <row r="229" spans="1:18" ht="12.75" customHeight="1">
      <c r="M229" s="299"/>
      <c r="N229" s="299"/>
      <c r="O229" s="299"/>
      <c r="P229" s="299"/>
      <c r="Q229" s="299"/>
      <c r="R229" s="1120"/>
    </row>
    <row r="230" spans="1:18" ht="12.75" customHeight="1">
      <c r="B230" s="3" t="s">
        <v>84</v>
      </c>
      <c r="M230" s="161">
        <f ca="1">M236</f>
        <v>0</v>
      </c>
      <c r="N230" s="161">
        <f ca="1">N236</f>
        <v>0</v>
      </c>
      <c r="O230" s="161">
        <f ca="1">O236</f>
        <v>0</v>
      </c>
      <c r="P230" s="161">
        <f ca="1">P236</f>
        <v>0</v>
      </c>
      <c r="Q230" s="161">
        <f ca="1">Q236</f>
        <v>0</v>
      </c>
      <c r="R230" s="1120"/>
    </row>
    <row r="231" spans="1:18" ht="12.75" customHeight="1">
      <c r="B231" s="3" t="s">
        <v>85</v>
      </c>
      <c r="M231" s="161">
        <f ca="1">M241</f>
        <v>0</v>
      </c>
      <c r="N231" s="161">
        <f ca="1">N241</f>
        <v>0</v>
      </c>
      <c r="O231" s="161">
        <f ca="1">O241</f>
        <v>0</v>
      </c>
      <c r="P231" s="161">
        <f ca="1">P241</f>
        <v>0</v>
      </c>
      <c r="Q231" s="161">
        <f ca="1">Q241</f>
        <v>0</v>
      </c>
      <c r="R231" s="1120"/>
    </row>
    <row r="232" spans="1:18" ht="12.75" customHeight="1">
      <c r="M232" s="218"/>
      <c r="N232" s="218"/>
      <c r="O232" s="218"/>
      <c r="P232" s="218"/>
      <c r="Q232" s="218"/>
      <c r="R232" s="1120"/>
    </row>
    <row r="233" spans="1:18" ht="15.95" customHeight="1" collapsed="1" thickBot="1">
      <c r="A233" s="4" t="s">
        <v>167</v>
      </c>
      <c r="B233" s="459" t="s">
        <v>226</v>
      </c>
      <c r="C233" s="666"/>
      <c r="D233" s="666"/>
      <c r="E233" s="666"/>
      <c r="F233" s="666"/>
      <c r="G233" s="666"/>
      <c r="H233" s="666"/>
      <c r="I233" s="666"/>
      <c r="J233" s="666"/>
      <c r="K233" s="666"/>
      <c r="L233" s="666"/>
      <c r="M233" s="666"/>
      <c r="N233" s="666"/>
      <c r="O233" s="667"/>
      <c r="P233" s="667"/>
      <c r="Q233" s="667"/>
      <c r="R233" s="1118"/>
    </row>
    <row r="234" spans="1:18">
      <c r="B234" s="895" t="str">
        <f>$B$126</f>
        <v>Fiscal Year Ended December 31,</v>
      </c>
      <c r="C234" s="461"/>
      <c r="D234" s="461"/>
      <c r="E234" s="461"/>
      <c r="F234" s="461"/>
      <c r="G234" s="461"/>
      <c r="H234" s="461"/>
      <c r="I234" s="461"/>
      <c r="J234" s="461"/>
      <c r="K234" s="461"/>
      <c r="L234" s="899">
        <f t="shared" ref="L234:Q234" si="40">L$126</f>
        <v>2019</v>
      </c>
      <c r="M234" s="463">
        <f t="shared" si="40"/>
        <v>2020</v>
      </c>
      <c r="N234" s="463">
        <f t="shared" si="40"/>
        <v>2021</v>
      </c>
      <c r="O234" s="463">
        <f t="shared" si="40"/>
        <v>2022</v>
      </c>
      <c r="P234" s="463">
        <f t="shared" si="40"/>
        <v>2023</v>
      </c>
      <c r="Q234" s="463">
        <f t="shared" si="40"/>
        <v>2024</v>
      </c>
      <c r="R234" s="1119"/>
    </row>
    <row r="235" spans="1:18" s="17" customFormat="1" ht="15" customHeight="1">
      <c r="B235" s="274" t="s">
        <v>342</v>
      </c>
      <c r="C235" s="274"/>
      <c r="D235" s="10"/>
      <c r="E235" s="10"/>
      <c r="F235" s="10"/>
      <c r="G235" s="10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1125"/>
    </row>
    <row r="236" spans="1:18" s="17" customFormat="1" ht="12.75" customHeight="1">
      <c r="B236" s="10" t="s">
        <v>336</v>
      </c>
      <c r="C236" s="274"/>
      <c r="D236" s="10"/>
      <c r="E236" s="10"/>
      <c r="F236" s="10"/>
      <c r="G236" s="10"/>
      <c r="H236" s="27"/>
      <c r="I236" s="27"/>
      <c r="J236" s="27"/>
      <c r="K236" s="27"/>
      <c r="M236" s="595">
        <f ca="1">L244</f>
        <v>0</v>
      </c>
      <c r="N236" s="595">
        <f ca="1">M241</f>
        <v>0</v>
      </c>
      <c r="O236" s="595">
        <f ca="1">N241</f>
        <v>0</v>
      </c>
      <c r="P236" s="595">
        <f ca="1">O241</f>
        <v>0</v>
      </c>
      <c r="Q236" s="595">
        <f ca="1">P241</f>
        <v>0</v>
      </c>
      <c r="R236" s="1126"/>
    </row>
    <row r="237" spans="1:18" s="17" customFormat="1" ht="12.75" customHeight="1">
      <c r="B237" s="10" t="s">
        <v>337</v>
      </c>
      <c r="C237" s="274"/>
      <c r="D237" s="10"/>
      <c r="E237" s="10"/>
      <c r="F237" s="10"/>
      <c r="G237" s="10"/>
      <c r="H237" s="27"/>
      <c r="I237" s="27"/>
      <c r="J237" s="27"/>
      <c r="K237" s="27"/>
      <c r="L237" s="27"/>
      <c r="M237" s="32">
        <f ca="1">M227</f>
        <v>10</v>
      </c>
      <c r="N237" s="32">
        <f ca="1">N227</f>
        <v>10.000000000000657</v>
      </c>
      <c r="O237" s="32">
        <f ca="1">O227</f>
        <v>9.9999999998514326</v>
      </c>
      <c r="P237" s="32">
        <f ca="1">P227</f>
        <v>10.000000015285124</v>
      </c>
      <c r="Q237" s="32">
        <f ca="1">Q227</f>
        <v>9.9999990526119955</v>
      </c>
      <c r="R237" s="1126"/>
    </row>
    <row r="238" spans="1:18" s="17" customFormat="1" ht="12.75" customHeight="1">
      <c r="B238" s="10" t="s">
        <v>338</v>
      </c>
      <c r="C238" s="274"/>
      <c r="D238" s="10"/>
      <c r="E238" s="10"/>
      <c r="F238" s="10"/>
      <c r="G238" s="10"/>
      <c r="H238" s="27"/>
      <c r="I238" s="27"/>
      <c r="J238" s="27"/>
      <c r="K238" s="27"/>
      <c r="L238" s="27"/>
      <c r="M238" s="32">
        <f ca="1">M213+M217+SUM(M219:M220)</f>
        <v>3.8932716802602982</v>
      </c>
      <c r="N238" s="32">
        <f ca="1">N213+N217+SUM(N219:N220)</f>
        <v>5.2618318682020853</v>
      </c>
      <c r="O238" s="32">
        <f ca="1">O213+O217+SUM(O219:O220)</f>
        <v>6.8325595896815967</v>
      </c>
      <c r="P238" s="32">
        <f ca="1">P213+P217+SUM(P219:P220)</f>
        <v>8.6321265315376525</v>
      </c>
      <c r="Q238" s="32">
        <f ca="1">Q213+Q217+SUM(Q219:Q220)</f>
        <v>10.69058816323855</v>
      </c>
      <c r="R238" s="1126"/>
    </row>
    <row r="239" spans="1:18" s="17" customFormat="1" ht="12.75" customHeight="1">
      <c r="B239" s="10" t="s">
        <v>339</v>
      </c>
      <c r="C239" s="274"/>
      <c r="D239" s="10"/>
      <c r="E239" s="10"/>
      <c r="F239" s="10"/>
      <c r="G239" s="10"/>
      <c r="H239" s="27"/>
      <c r="I239" s="27"/>
      <c r="J239" s="27"/>
      <c r="K239" s="27"/>
      <c r="L239" s="27"/>
      <c r="M239" s="32">
        <f>-F221</f>
        <v>-10</v>
      </c>
      <c r="N239" s="32">
        <f>M239</f>
        <v>-10</v>
      </c>
      <c r="O239" s="32">
        <f>N239</f>
        <v>-10</v>
      </c>
      <c r="P239" s="32">
        <f>O239</f>
        <v>-10</v>
      </c>
      <c r="Q239" s="32">
        <f>P239</f>
        <v>-10</v>
      </c>
      <c r="R239" s="1126"/>
    </row>
    <row r="240" spans="1:18" s="17" customFormat="1" ht="12.75" customHeight="1">
      <c r="B240" s="10" t="s">
        <v>341</v>
      </c>
      <c r="C240" s="274"/>
      <c r="D240" s="10"/>
      <c r="E240" s="10"/>
      <c r="F240" s="10"/>
      <c r="G240" s="10"/>
      <c r="H240" s="27"/>
      <c r="I240" s="27"/>
      <c r="J240" s="27"/>
      <c r="K240" s="27"/>
      <c r="L240" s="27"/>
      <c r="M240" s="32">
        <f ca="1">-MIN(SUM(M237:M239),M236)</f>
        <v>0</v>
      </c>
      <c r="N240" s="32">
        <f ca="1">-MIN(SUM(N237:N239),N236)</f>
        <v>0</v>
      </c>
      <c r="O240" s="32">
        <f ca="1">-MIN(SUM(O237:O239),O236)</f>
        <v>0</v>
      </c>
      <c r="P240" s="32">
        <f ca="1">-MIN(SUM(P237:P239),P236)</f>
        <v>0</v>
      </c>
      <c r="Q240" s="32">
        <f ca="1">-MIN(SUM(Q237:Q239),Q236)</f>
        <v>0</v>
      </c>
      <c r="R240" s="1126"/>
    </row>
    <row r="241" spans="2:18" s="17" customFormat="1" ht="12.75" customHeight="1">
      <c r="B241" s="10" t="s">
        <v>340</v>
      </c>
      <c r="C241" s="274"/>
      <c r="D241" s="10"/>
      <c r="E241" s="10"/>
      <c r="F241" s="10"/>
      <c r="G241" s="10"/>
      <c r="H241" s="27"/>
      <c r="I241" s="27"/>
      <c r="J241" s="27"/>
      <c r="K241" s="27"/>
      <c r="L241" s="27"/>
      <c r="M241" s="951">
        <f ca="1">M236+M240</f>
        <v>0</v>
      </c>
      <c r="N241" s="951">
        <f ca="1">N236+N240</f>
        <v>0</v>
      </c>
      <c r="O241" s="951">
        <f ca="1">O236+O240</f>
        <v>0</v>
      </c>
      <c r="P241" s="951">
        <f ca="1">P236+P240</f>
        <v>0</v>
      </c>
      <c r="Q241" s="951">
        <f ca="1">Q236+Q240</f>
        <v>0</v>
      </c>
      <c r="R241" s="1127"/>
    </row>
    <row r="242" spans="2:18" ht="12.75" customHeight="1">
      <c r="B242" s="139"/>
      <c r="L242" s="7"/>
      <c r="M242" s="249"/>
      <c r="N242" s="249"/>
      <c r="O242" s="249"/>
      <c r="P242" s="249"/>
      <c r="Q242" s="249"/>
      <c r="R242" s="1120"/>
    </row>
    <row r="243" spans="2:18" ht="12.75" customHeight="1">
      <c r="B243" s="139" t="s">
        <v>143</v>
      </c>
      <c r="L243" s="7"/>
      <c r="M243" s="249"/>
      <c r="N243" s="249"/>
      <c r="O243" s="249"/>
      <c r="P243" s="249"/>
      <c r="Q243" s="249"/>
      <c r="R243" s="1120"/>
    </row>
    <row r="244" spans="2:18" ht="12.75" customHeight="1">
      <c r="B244" s="3" t="str">
        <f>I13</f>
        <v>$250mm Revolver</v>
      </c>
      <c r="L244" s="353">
        <f ca="1">L13</f>
        <v>0</v>
      </c>
      <c r="M244" s="353">
        <f ca="1">M231</f>
        <v>0</v>
      </c>
      <c r="N244" s="353">
        <f ca="1">N231</f>
        <v>0</v>
      </c>
      <c r="O244" s="353">
        <f ca="1">O231</f>
        <v>0</v>
      </c>
      <c r="P244" s="353">
        <f ca="1">P231</f>
        <v>0</v>
      </c>
      <c r="Q244" s="353">
        <f ca="1">Q231</f>
        <v>0</v>
      </c>
      <c r="R244" s="1120"/>
    </row>
    <row r="245" spans="2:18" ht="12.75" customHeight="1">
      <c r="B245" s="3" t="str">
        <f>I14</f>
        <v>Term Loan</v>
      </c>
      <c r="L245" s="822">
        <f ca="1">L14</f>
        <v>70</v>
      </c>
      <c r="M245" s="822">
        <f ca="1">L245-M259-M268</f>
        <v>65.406728319739571</v>
      </c>
      <c r="N245" s="822">
        <f ca="1">M245-N259-N268</f>
        <v>59.444896451567658</v>
      </c>
      <c r="O245" s="822">
        <f ca="1">N245-O259-O268</f>
        <v>51.912336858662883</v>
      </c>
      <c r="P245" s="822">
        <f ca="1">O245-P259-P268</f>
        <v>42.58021053453497</v>
      </c>
      <c r="Q245" s="822">
        <f ca="1">P245-Q259-Q268</f>
        <v>31.189613432659947</v>
      </c>
      <c r="R245" s="1120"/>
    </row>
    <row r="246" spans="2:18" ht="12.75" customHeight="1">
      <c r="B246" s="3" t="str">
        <f>I15</f>
        <v>Senior Notes</v>
      </c>
      <c r="L246" s="822">
        <f ca="1">L15</f>
        <v>30</v>
      </c>
      <c r="M246" s="822">
        <f t="shared" ref="M246:Q247" ca="1" si="41">L246-M260</f>
        <v>30</v>
      </c>
      <c r="N246" s="822">
        <f t="shared" ca="1" si="41"/>
        <v>30</v>
      </c>
      <c r="O246" s="822">
        <f t="shared" ca="1" si="41"/>
        <v>30</v>
      </c>
      <c r="P246" s="822">
        <f t="shared" ca="1" si="41"/>
        <v>30</v>
      </c>
      <c r="Q246" s="822">
        <f t="shared" ca="1" si="41"/>
        <v>30</v>
      </c>
      <c r="R246" s="1120"/>
    </row>
    <row r="247" spans="2:18" ht="12.75" customHeight="1">
      <c r="B247" s="3" t="str">
        <f>I16</f>
        <v>Subordinated Notes</v>
      </c>
      <c r="L247" s="822">
        <f ca="1">L16</f>
        <v>20</v>
      </c>
      <c r="M247" s="1095">
        <f t="shared" ca="1" si="41"/>
        <v>20</v>
      </c>
      <c r="N247" s="822">
        <f t="shared" ca="1" si="41"/>
        <v>20</v>
      </c>
      <c r="O247" s="822">
        <f t="shared" ca="1" si="41"/>
        <v>20</v>
      </c>
      <c r="P247" s="822">
        <f t="shared" ca="1" si="41"/>
        <v>20</v>
      </c>
      <c r="Q247" s="822">
        <f t="shared" ca="1" si="41"/>
        <v>20</v>
      </c>
      <c r="R247" s="1120"/>
    </row>
    <row r="248" spans="2:18" ht="12.75" customHeight="1">
      <c r="B248" s="151" t="s">
        <v>87</v>
      </c>
      <c r="L248" s="918">
        <f t="shared" ref="L248:Q248" ca="1" si="42">SUM(L244:L247)</f>
        <v>120</v>
      </c>
      <c r="M248" s="918">
        <f t="shared" ca="1" si="42"/>
        <v>115.40672831973957</v>
      </c>
      <c r="N248" s="918">
        <f t="shared" ca="1" si="42"/>
        <v>109.44489645156766</v>
      </c>
      <c r="O248" s="918">
        <f t="shared" ca="1" si="42"/>
        <v>101.91233685866288</v>
      </c>
      <c r="P248" s="918">
        <f t="shared" ca="1" si="42"/>
        <v>92.58021053453497</v>
      </c>
      <c r="Q248" s="918">
        <f t="shared" ca="1" si="42"/>
        <v>81.189613432659939</v>
      </c>
      <c r="R248" s="1120"/>
    </row>
    <row r="249" spans="2:18" ht="12.75" customHeight="1">
      <c r="B249" s="3" t="s">
        <v>52</v>
      </c>
      <c r="L249" s="343">
        <f t="shared" ref="L249:Q249" si="43">L184</f>
        <v>0.2</v>
      </c>
      <c r="M249" s="343">
        <f t="shared" si="43"/>
        <v>0.2</v>
      </c>
      <c r="N249" s="343">
        <f t="shared" si="43"/>
        <v>0.2</v>
      </c>
      <c r="O249" s="343">
        <f t="shared" si="43"/>
        <v>0.2</v>
      </c>
      <c r="P249" s="343">
        <f t="shared" si="43"/>
        <v>0.2</v>
      </c>
      <c r="Q249" s="343">
        <f t="shared" si="43"/>
        <v>0.2</v>
      </c>
      <c r="R249" s="1120"/>
    </row>
    <row r="250" spans="2:18" ht="12.75" customHeight="1">
      <c r="B250" s="3" t="s">
        <v>53</v>
      </c>
      <c r="L250" s="343">
        <f t="shared" ref="L250:Q250" si="44">L185</f>
        <v>0</v>
      </c>
      <c r="M250" s="343">
        <f t="shared" si="44"/>
        <v>0</v>
      </c>
      <c r="N250" s="343">
        <f t="shared" si="44"/>
        <v>0</v>
      </c>
      <c r="O250" s="343">
        <f t="shared" si="44"/>
        <v>0</v>
      </c>
      <c r="P250" s="343">
        <f t="shared" si="44"/>
        <v>0</v>
      </c>
      <c r="Q250" s="343">
        <f t="shared" si="44"/>
        <v>0</v>
      </c>
      <c r="R250" s="1120"/>
    </row>
    <row r="251" spans="2:18" ht="12.75" customHeight="1">
      <c r="B251" s="3" t="s">
        <v>150</v>
      </c>
      <c r="L251" s="917">
        <f t="shared" ref="L251:Q251" ca="1" si="45">L186</f>
        <v>97.299252884575267</v>
      </c>
      <c r="M251" s="917">
        <f t="shared" ca="1" si="45"/>
        <v>99.777942449050755</v>
      </c>
      <c r="N251" s="917">
        <f t="shared" ca="1" si="45"/>
        <v>103.7303213681347</v>
      </c>
      <c r="O251" s="917">
        <f t="shared" ca="1" si="45"/>
        <v>109.36907009203149</v>
      </c>
      <c r="P251" s="917">
        <f t="shared" ca="1" si="45"/>
        <v>116.934592049451</v>
      </c>
      <c r="Q251" s="917">
        <f t="shared" ca="1" si="45"/>
        <v>126.69850255940474</v>
      </c>
      <c r="R251" s="1120"/>
    </row>
    <row r="252" spans="2:18" ht="12.75" customHeight="1">
      <c r="B252" s="151" t="s">
        <v>88</v>
      </c>
      <c r="L252" s="757">
        <f t="shared" ref="L252:Q252" ca="1" si="46">SUM(L248:L251)</f>
        <v>217.49925288457527</v>
      </c>
      <c r="M252" s="757">
        <f t="shared" ca="1" si="46"/>
        <v>215.38467076879033</v>
      </c>
      <c r="N252" s="757">
        <f t="shared" ca="1" si="46"/>
        <v>213.37521781970236</v>
      </c>
      <c r="O252" s="757">
        <f t="shared" ca="1" si="46"/>
        <v>211.48140695069438</v>
      </c>
      <c r="P252" s="757">
        <f t="shared" ca="1" si="46"/>
        <v>209.71480258398597</v>
      </c>
      <c r="Q252" s="757">
        <f t="shared" ca="1" si="46"/>
        <v>208.08811599206467</v>
      </c>
      <c r="R252" s="1120"/>
    </row>
    <row r="253" spans="2:18" ht="12.75" customHeight="1">
      <c r="L253" s="948"/>
      <c r="M253" s="948"/>
      <c r="N253" s="948"/>
      <c r="O253" s="948"/>
      <c r="P253" s="948"/>
      <c r="Q253" s="948"/>
      <c r="R253" s="1120"/>
    </row>
    <row r="254" spans="2:18" ht="12.75" customHeight="1">
      <c r="B254" s="3" t="str">
        <f>"Mandatory Amortization on "&amp;B245</f>
        <v>Mandatory Amortization on Term Loan</v>
      </c>
      <c r="L254" s="948"/>
      <c r="M254" s="193">
        <f t="shared" ref="M254:Q256" si="47">M63</f>
        <v>0.01</v>
      </c>
      <c r="N254" s="193">
        <f t="shared" si="47"/>
        <v>0.01</v>
      </c>
      <c r="O254" s="193">
        <f t="shared" si="47"/>
        <v>0.01</v>
      </c>
      <c r="P254" s="193">
        <f t="shared" si="47"/>
        <v>0.01</v>
      </c>
      <c r="Q254" s="193">
        <f t="shared" si="47"/>
        <v>0.01</v>
      </c>
      <c r="R254" s="1120"/>
    </row>
    <row r="255" spans="2:18" ht="12.75" customHeight="1">
      <c r="B255" s="3" t="str">
        <f>"Mandatory Amortization on "&amp;B246</f>
        <v>Mandatory Amortization on Senior Notes</v>
      </c>
      <c r="L255" s="948"/>
      <c r="M255" s="193">
        <f t="shared" si="47"/>
        <v>0</v>
      </c>
      <c r="N255" s="193">
        <f t="shared" si="47"/>
        <v>0</v>
      </c>
      <c r="O255" s="193">
        <f t="shared" si="47"/>
        <v>0</v>
      </c>
      <c r="P255" s="193">
        <f t="shared" si="47"/>
        <v>0</v>
      </c>
      <c r="Q255" s="193">
        <f t="shared" si="47"/>
        <v>0</v>
      </c>
      <c r="R255" s="1120"/>
    </row>
    <row r="256" spans="2:18" ht="12.75" customHeight="1">
      <c r="B256" s="3" t="str">
        <f>"Mandatory Amortization on "&amp;B247</f>
        <v>Mandatory Amortization on Subordinated Notes</v>
      </c>
      <c r="L256" s="948"/>
      <c r="M256" s="193">
        <f t="shared" si="47"/>
        <v>0</v>
      </c>
      <c r="N256" s="193">
        <f t="shared" si="47"/>
        <v>0</v>
      </c>
      <c r="O256" s="193">
        <f t="shared" si="47"/>
        <v>0</v>
      </c>
      <c r="P256" s="193">
        <f t="shared" si="47"/>
        <v>0</v>
      </c>
      <c r="Q256" s="193">
        <f t="shared" si="47"/>
        <v>0</v>
      </c>
      <c r="R256" s="1120"/>
    </row>
    <row r="257" spans="2:18" ht="12.75" customHeight="1">
      <c r="L257" s="948"/>
      <c r="M257" s="948"/>
      <c r="N257" s="948"/>
      <c r="O257" s="948"/>
      <c r="P257" s="948"/>
      <c r="Q257" s="948"/>
      <c r="R257" s="1120"/>
    </row>
    <row r="258" spans="2:18" ht="12.75" customHeight="1">
      <c r="B258" s="139" t="s">
        <v>89</v>
      </c>
      <c r="L258" s="253"/>
      <c r="M258" s="253"/>
      <c r="N258" s="253"/>
      <c r="O258" s="253"/>
      <c r="P258" s="253"/>
      <c r="Q258" s="253"/>
      <c r="R258" s="1120"/>
    </row>
    <row r="259" spans="2:18" s="17" customFormat="1" ht="12.75" customHeight="1">
      <c r="B259" s="10" t="str">
        <f>B245</f>
        <v>Term Loan</v>
      </c>
      <c r="C259" s="10"/>
      <c r="D259" s="10"/>
      <c r="E259" s="10"/>
      <c r="F259" s="10"/>
      <c r="G259" s="1096"/>
      <c r="H259" s="1096"/>
      <c r="I259" s="10"/>
      <c r="J259" s="1096"/>
      <c r="K259" s="10"/>
      <c r="L259" s="882"/>
      <c r="M259" s="32">
        <f t="shared" ref="M259:Q261" ca="1" si="48">MIN(M254*$L245,L245)</f>
        <v>0.70000000000000007</v>
      </c>
      <c r="N259" s="32">
        <f t="shared" ca="1" si="48"/>
        <v>0.70000000000000007</v>
      </c>
      <c r="O259" s="32">
        <f t="shared" ca="1" si="48"/>
        <v>0.70000000000000007</v>
      </c>
      <c r="P259" s="32">
        <f t="shared" ca="1" si="48"/>
        <v>0.70000000000000007</v>
      </c>
      <c r="Q259" s="32">
        <f t="shared" ca="1" si="48"/>
        <v>0.70000000000000007</v>
      </c>
      <c r="R259" s="1120"/>
    </row>
    <row r="260" spans="2:18" ht="12.75" customHeight="1">
      <c r="B260" s="3" t="str">
        <f>B246</f>
        <v>Senior Notes</v>
      </c>
      <c r="L260" s="253"/>
      <c r="M260" s="822">
        <f t="shared" ca="1" si="48"/>
        <v>0</v>
      </c>
      <c r="N260" s="822">
        <f t="shared" ca="1" si="48"/>
        <v>0</v>
      </c>
      <c r="O260" s="822">
        <f t="shared" ca="1" si="48"/>
        <v>0</v>
      </c>
      <c r="P260" s="822">
        <f t="shared" ca="1" si="48"/>
        <v>0</v>
      </c>
      <c r="Q260" s="822">
        <f t="shared" ca="1" si="48"/>
        <v>0</v>
      </c>
      <c r="R260" s="1120"/>
    </row>
    <row r="261" spans="2:18" ht="12.75" customHeight="1">
      <c r="B261" s="3" t="str">
        <f>B247</f>
        <v>Subordinated Notes</v>
      </c>
      <c r="L261" s="253"/>
      <c r="M261" s="917">
        <f t="shared" ca="1" si="48"/>
        <v>0</v>
      </c>
      <c r="N261" s="917">
        <f t="shared" ca="1" si="48"/>
        <v>0</v>
      </c>
      <c r="O261" s="917">
        <f t="shared" ca="1" si="48"/>
        <v>0</v>
      </c>
      <c r="P261" s="917">
        <f t="shared" ca="1" si="48"/>
        <v>0</v>
      </c>
      <c r="Q261" s="917">
        <f t="shared" ca="1" si="48"/>
        <v>0</v>
      </c>
      <c r="R261" s="1120"/>
    </row>
    <row r="262" spans="2:18" ht="12.75" customHeight="1">
      <c r="B262" s="151" t="s">
        <v>90</v>
      </c>
      <c r="L262" s="253"/>
      <c r="M262" s="918">
        <f ca="1">SUM(M259:M261)</f>
        <v>0.70000000000000007</v>
      </c>
      <c r="N262" s="918">
        <f ca="1">SUM(N259:N261)</f>
        <v>0.70000000000000007</v>
      </c>
      <c r="O262" s="918">
        <f ca="1">SUM(O259:O261)</f>
        <v>0.70000000000000007</v>
      </c>
      <c r="P262" s="918">
        <f ca="1">SUM(P259:P261)</f>
        <v>0.70000000000000007</v>
      </c>
      <c r="Q262" s="918">
        <f ca="1">SUM(Q259:Q261)</f>
        <v>0.70000000000000007</v>
      </c>
      <c r="R262" s="1120"/>
    </row>
    <row r="263" spans="2:18" ht="12.75" customHeight="1">
      <c r="L263" s="253"/>
      <c r="M263" s="948"/>
      <c r="N263" s="948"/>
      <c r="O263" s="948"/>
      <c r="P263" s="948"/>
      <c r="Q263" s="948"/>
      <c r="R263" s="1120"/>
    </row>
    <row r="264" spans="2:18" ht="12.75" customHeight="1">
      <c r="B264" s="139" t="str">
        <f>"Optional Repayment on "&amp;B259</f>
        <v>Optional Repayment on Term Loan</v>
      </c>
      <c r="L264" s="253"/>
      <c r="M264" s="948"/>
      <c r="N264" s="948"/>
      <c r="O264" s="948"/>
      <c r="P264" s="948"/>
      <c r="Q264" s="948"/>
      <c r="R264" s="1120"/>
    </row>
    <row r="265" spans="2:18" ht="12.75" customHeight="1">
      <c r="B265" s="3" t="s">
        <v>337</v>
      </c>
      <c r="L265" s="253"/>
      <c r="M265" s="822">
        <f ca="1">M227</f>
        <v>10</v>
      </c>
      <c r="N265" s="822">
        <f ca="1">N227</f>
        <v>10.000000000000657</v>
      </c>
      <c r="O265" s="822">
        <f ca="1">O227</f>
        <v>9.9999999998514326</v>
      </c>
      <c r="P265" s="822">
        <f ca="1">P227</f>
        <v>10.000000015285124</v>
      </c>
      <c r="Q265" s="822">
        <f ca="1">Q227</f>
        <v>9.9999990526119955</v>
      </c>
      <c r="R265" s="1120"/>
    </row>
    <row r="266" spans="2:18" ht="12.75" customHeight="1">
      <c r="B266" s="3" t="s">
        <v>359</v>
      </c>
      <c r="L266" s="253"/>
      <c r="M266" s="822">
        <f ca="1">M213+M217+SUM(M219:M221)</f>
        <v>3.8932716802602982</v>
      </c>
      <c r="N266" s="822">
        <f ca="1">N213+N217+SUM(N219:N221)</f>
        <v>5.2618318682020853</v>
      </c>
      <c r="O266" s="822">
        <f ca="1">O213+O217+SUM(O219:O221)</f>
        <v>6.8325595896815967</v>
      </c>
      <c r="P266" s="822">
        <f ca="1">P213+P217+SUM(P219:P221)</f>
        <v>8.6321265315376525</v>
      </c>
      <c r="Q266" s="822">
        <f ca="1">Q213+Q217+SUM(Q219:Q221)</f>
        <v>10.69058816323855</v>
      </c>
      <c r="R266" s="1120"/>
    </row>
    <row r="267" spans="2:18" ht="12.75" customHeight="1">
      <c r="B267" s="3" t="s">
        <v>339</v>
      </c>
      <c r="L267" s="253"/>
      <c r="M267" s="822">
        <f>M239</f>
        <v>-10</v>
      </c>
      <c r="N267" s="822">
        <f>N239</f>
        <v>-10</v>
      </c>
      <c r="O267" s="822">
        <f>O239</f>
        <v>-10</v>
      </c>
      <c r="P267" s="822">
        <f>P239</f>
        <v>-10</v>
      </c>
      <c r="Q267" s="822">
        <f>Q239</f>
        <v>-10</v>
      </c>
      <c r="R267" s="1120"/>
    </row>
    <row r="268" spans="2:18" ht="12.75" customHeight="1">
      <c r="B268" s="151" t="str">
        <f>B264</f>
        <v>Optional Repayment on Term Loan</v>
      </c>
      <c r="L268" s="253"/>
      <c r="M268" s="918">
        <f ca="1">MIN(SUM(M265:M267),L245-M259)</f>
        <v>3.8932716802602982</v>
      </c>
      <c r="N268" s="918">
        <f ca="1">MIN(SUM(N265:N267),M245-N259)</f>
        <v>5.2618318682027425</v>
      </c>
      <c r="O268" s="918">
        <f ca="1">MIN(SUM(O265:O267),N245-O259)</f>
        <v>6.8325595895330302</v>
      </c>
      <c r="P268" s="918">
        <f ca="1">MIN(SUM(P265:P267),O245-P259)</f>
        <v>8.632126546822775</v>
      </c>
      <c r="Q268" s="918">
        <f ca="1">MIN(SUM(Q265:Q267),P245-Q259)</f>
        <v>10.690587215850545</v>
      </c>
      <c r="R268" s="1120"/>
    </row>
    <row r="269" spans="2:18" ht="12.75" customHeight="1">
      <c r="L269" s="253"/>
      <c r="M269" s="948"/>
      <c r="N269" s="948"/>
      <c r="O269" s="948"/>
      <c r="P269" s="948"/>
      <c r="Q269" s="948"/>
      <c r="R269" s="1120"/>
    </row>
    <row r="270" spans="2:18" ht="12.75" customHeight="1">
      <c r="B270" s="139" t="s">
        <v>75</v>
      </c>
      <c r="F270" s="142"/>
      <c r="G270" s="721"/>
      <c r="L270" s="253"/>
      <c r="M270" s="253"/>
      <c r="N270" s="253"/>
      <c r="O270" s="253"/>
      <c r="P270" s="253"/>
      <c r="Q270" s="253"/>
      <c r="R270" s="1120"/>
    </row>
    <row r="271" spans="2:18" ht="12.75" customHeight="1">
      <c r="B271" s="3" t="str">
        <f>B244</f>
        <v>$250mm Revolver</v>
      </c>
      <c r="D271" s="4"/>
      <c r="E271" s="4"/>
      <c r="F271" s="956" t="s">
        <v>373</v>
      </c>
      <c r="L271" s="353">
        <f ca="1">L244*L292</f>
        <v>0</v>
      </c>
      <c r="M271" s="353">
        <f ca="1">AVERAGE(L244:M244)*M292</f>
        <v>0</v>
      </c>
      <c r="N271" s="353">
        <f ca="1">AVERAGE(M244:N244)*N292</f>
        <v>0</v>
      </c>
      <c r="O271" s="353">
        <f ca="1">AVERAGE(N244:O244)*O292</f>
        <v>0</v>
      </c>
      <c r="P271" s="353">
        <f ca="1">AVERAGE(O244:P244)*P292</f>
        <v>0</v>
      </c>
      <c r="Q271" s="353">
        <f ca="1">AVERAGE(P244:Q244)*Q292</f>
        <v>0</v>
      </c>
      <c r="R271" s="1120"/>
    </row>
    <row r="272" spans="2:18" ht="12.75" customHeight="1">
      <c r="B272" s="109" t="str">
        <f>'Tar Proj'!B146</f>
        <v>Undrawn Revolver Fee</v>
      </c>
      <c r="D272" s="4"/>
      <c r="E272" s="4"/>
      <c r="F272" s="957">
        <f>+Q58</f>
        <v>250</v>
      </c>
      <c r="L272" s="343">
        <f ca="1">($F272-L244)*L293</f>
        <v>0</v>
      </c>
      <c r="M272" s="343">
        <f ca="1">($F272-AVERAGE(L244:M244))*M293</f>
        <v>0</v>
      </c>
      <c r="N272" s="343">
        <f ca="1">($F272-AVERAGE(M244:N244))*N293</f>
        <v>0</v>
      </c>
      <c r="O272" s="343">
        <f ca="1">($F272-AVERAGE(N244:O244))*O293</f>
        <v>0</v>
      </c>
      <c r="P272" s="343">
        <f ca="1">($F272-AVERAGE(O244:P244))*P293</f>
        <v>0</v>
      </c>
      <c r="Q272" s="343">
        <f ca="1">($F272-AVERAGE(P244:Q244))*Q293</f>
        <v>0</v>
      </c>
      <c r="R272" s="1120"/>
    </row>
    <row r="273" spans="1:18" ht="12.75" customHeight="1">
      <c r="B273" s="3" t="str">
        <f>B245</f>
        <v>Term Loan</v>
      </c>
      <c r="D273" s="4"/>
      <c r="E273" s="4"/>
      <c r="F273" s="1006"/>
      <c r="L273" s="343">
        <f ca="1">L245*L294</f>
        <v>4.97</v>
      </c>
      <c r="M273" s="343">
        <f ca="1">AVERAGE(L245:M245)*M294</f>
        <v>4.8407905374306885</v>
      </c>
      <c r="N273" s="343">
        <f t="shared" ref="N273:Q275" ca="1" si="49">AVERAGE(M245:N245)*N294</f>
        <v>4.5258713979598868</v>
      </c>
      <c r="O273" s="343">
        <f t="shared" ca="1" si="49"/>
        <v>4.0923783241509719</v>
      </c>
      <c r="P273" s="343">
        <f t="shared" ca="1" si="49"/>
        <v>3.5198473903966199</v>
      </c>
      <c r="Q273" s="343">
        <f t="shared" ca="1" si="49"/>
        <v>2.7848108547616084</v>
      </c>
      <c r="R273" s="1120"/>
    </row>
    <row r="274" spans="1:18" ht="12.75" customHeight="1">
      <c r="B274" s="3" t="str">
        <f>B246</f>
        <v>Senior Notes</v>
      </c>
      <c r="D274" s="4"/>
      <c r="E274" s="4"/>
      <c r="F274" s="1006"/>
      <c r="L274" s="343">
        <f ca="1">L246*L295</f>
        <v>2.4</v>
      </c>
      <c r="M274" s="343">
        <f ca="1">AVERAGE(L246:M246)*M295</f>
        <v>2.4</v>
      </c>
      <c r="N274" s="343">
        <f t="shared" ca="1" si="49"/>
        <v>2.4</v>
      </c>
      <c r="O274" s="343">
        <f t="shared" ca="1" si="49"/>
        <v>2.4</v>
      </c>
      <c r="P274" s="343">
        <f t="shared" ca="1" si="49"/>
        <v>2.4</v>
      </c>
      <c r="Q274" s="343">
        <f t="shared" ca="1" si="49"/>
        <v>2.4</v>
      </c>
      <c r="R274" s="1120"/>
    </row>
    <row r="275" spans="1:18" ht="12.75" customHeight="1">
      <c r="B275" s="3" t="str">
        <f>B247</f>
        <v>Subordinated Notes</v>
      </c>
      <c r="D275" s="4"/>
      <c r="E275" s="4"/>
      <c r="F275" s="1006"/>
      <c r="L275" s="343">
        <f ca="1">L247*L296</f>
        <v>2.2000000000000002</v>
      </c>
      <c r="M275" s="343">
        <f ca="1">AVERAGE(L247:M247)*M296</f>
        <v>2.2000000000000002</v>
      </c>
      <c r="N275" s="343">
        <f t="shared" ca="1" si="49"/>
        <v>2.2000000000000002</v>
      </c>
      <c r="O275" s="343">
        <f t="shared" ca="1" si="49"/>
        <v>2.2000000000000002</v>
      </c>
      <c r="P275" s="343">
        <f t="shared" ca="1" si="49"/>
        <v>2.2000000000000002</v>
      </c>
      <c r="Q275" s="343">
        <f t="shared" ca="1" si="49"/>
        <v>2.2000000000000002</v>
      </c>
      <c r="R275" s="1120"/>
    </row>
    <row r="276" spans="1:18" ht="12.75" customHeight="1">
      <c r="B276" s="3" t="s">
        <v>527</v>
      </c>
      <c r="D276" s="4"/>
      <c r="E276" s="4"/>
      <c r="F276" s="751"/>
      <c r="L276" s="822">
        <f ca="1">+M276</f>
        <v>1.2506250000000001</v>
      </c>
      <c r="M276" s="822">
        <f ca="1">SUM(M206:M207)</f>
        <v>1.2506250000000001</v>
      </c>
      <c r="N276" s="822">
        <f ca="1">SUM(N206:N207)</f>
        <v>1.2506250000000001</v>
      </c>
      <c r="O276" s="822">
        <f ca="1">SUM(O206:O207)</f>
        <v>1.2506250000000001</v>
      </c>
      <c r="P276" s="822">
        <f ca="1">SUM(P206:P207)</f>
        <v>1.2506250000000001</v>
      </c>
      <c r="Q276" s="822">
        <f ca="1">SUM(Q206:Q207)</f>
        <v>1.2506250000000001</v>
      </c>
      <c r="R276" s="1120"/>
    </row>
    <row r="277" spans="1:18" ht="12.75" customHeight="1">
      <c r="B277" s="109" t="str">
        <f>'Tar Proj'!B150</f>
        <v>Other</v>
      </c>
      <c r="D277" s="4"/>
      <c r="E277" s="4"/>
      <c r="F277" s="751"/>
      <c r="L277" s="920">
        <v>0</v>
      </c>
      <c r="M277" s="920">
        <v>0</v>
      </c>
      <c r="N277" s="920">
        <v>0</v>
      </c>
      <c r="O277" s="920">
        <v>0</v>
      </c>
      <c r="P277" s="920">
        <v>0</v>
      </c>
      <c r="Q277" s="920">
        <v>0</v>
      </c>
      <c r="R277" s="1120"/>
    </row>
    <row r="278" spans="1:18" ht="12.75" customHeight="1">
      <c r="B278" s="151" t="s">
        <v>92</v>
      </c>
      <c r="D278" s="4"/>
      <c r="E278" s="4"/>
      <c r="F278" s="1097"/>
      <c r="L278" s="1098">
        <f t="shared" ref="L278:Q278" ca="1" si="50">SUM(L271:L277)</f>
        <v>10.820625</v>
      </c>
      <c r="M278" s="1098">
        <f t="shared" ca="1" si="50"/>
        <v>10.691415537430689</v>
      </c>
      <c r="N278" s="1098">
        <f t="shared" ca="1" si="50"/>
        <v>10.376496397959887</v>
      </c>
      <c r="O278" s="1098">
        <f t="shared" ca="1" si="50"/>
        <v>9.9430033241509719</v>
      </c>
      <c r="P278" s="1098">
        <f t="shared" ca="1" si="50"/>
        <v>9.3704723903966194</v>
      </c>
      <c r="Q278" s="1098">
        <f t="shared" ca="1" si="50"/>
        <v>8.6354358547616084</v>
      </c>
      <c r="R278" s="1120"/>
    </row>
    <row r="279" spans="1:18" ht="12.75" customHeight="1">
      <c r="B279" s="109" t="str">
        <f>'Tar Proj'!B152</f>
        <v>Interest Income</v>
      </c>
      <c r="D279" s="4"/>
      <c r="E279" s="4"/>
      <c r="F279" s="1099"/>
      <c r="L279" s="917">
        <f ca="1">-L164*L297</f>
        <v>-0.05</v>
      </c>
      <c r="M279" s="917">
        <f ca="1">-AVERAGE(L164:M164)*M297</f>
        <v>-5.0000000000001647E-2</v>
      </c>
      <c r="N279" s="917">
        <f ca="1">-AVERAGE(M164:N164)*N297</f>
        <v>-4.9999999999630229E-2</v>
      </c>
      <c r="O279" s="917">
        <f ca="1">-AVERAGE(N164:O164)*O297</f>
        <v>-5.0000000037841393E-2</v>
      </c>
      <c r="P279" s="917">
        <f ca="1">-AVERAGE(O164:P164)*P297</f>
        <v>-4.9999997669742807E-2</v>
      </c>
      <c r="Q279" s="917">
        <f ca="1">-AVERAGE(P164:Q164)*Q297</f>
        <v>-5.0000095450064064E-2</v>
      </c>
      <c r="R279" s="1120"/>
    </row>
    <row r="280" spans="1:18" ht="12.75" customHeight="1">
      <c r="B280" s="151" t="s">
        <v>75</v>
      </c>
      <c r="L280" s="1098">
        <f t="shared" ref="L280:Q280" ca="1" si="51">SUM(L278:L279)</f>
        <v>10.770624999999999</v>
      </c>
      <c r="M280" s="1098">
        <f t="shared" ca="1" si="51"/>
        <v>10.641415537430687</v>
      </c>
      <c r="N280" s="1098">
        <f t="shared" ca="1" si="51"/>
        <v>10.326496397960257</v>
      </c>
      <c r="O280" s="1098">
        <f t="shared" ca="1" si="51"/>
        <v>9.8930033241131312</v>
      </c>
      <c r="P280" s="1098">
        <f t="shared" ca="1" si="51"/>
        <v>9.3204723927268773</v>
      </c>
      <c r="Q280" s="1098">
        <f t="shared" ca="1" si="51"/>
        <v>8.5854357593115438</v>
      </c>
      <c r="R280" s="1120"/>
    </row>
    <row r="281" spans="1:18" ht="12.75" customHeight="1">
      <c r="M281" s="294"/>
      <c r="N281" s="294"/>
      <c r="O281" s="294"/>
      <c r="P281" s="294"/>
      <c r="Q281" s="294"/>
      <c r="R281" s="1120"/>
    </row>
    <row r="282" spans="1:18" ht="15.95" customHeight="1" collapsed="1" thickBot="1">
      <c r="A282" s="4" t="s">
        <v>167</v>
      </c>
      <c r="B282" s="459" t="s">
        <v>468</v>
      </c>
      <c r="C282" s="459"/>
      <c r="D282" s="666"/>
      <c r="E282" s="666"/>
      <c r="F282" s="666"/>
      <c r="G282" s="666"/>
      <c r="H282" s="666"/>
      <c r="I282" s="666"/>
      <c r="J282" s="666"/>
      <c r="K282" s="666"/>
      <c r="L282" s="666"/>
      <c r="M282" s="666"/>
      <c r="N282" s="666"/>
      <c r="O282" s="667"/>
      <c r="P282" s="667"/>
      <c r="Q282" s="667"/>
      <c r="R282" s="1118"/>
    </row>
    <row r="283" spans="1:18" ht="15" customHeight="1">
      <c r="B283" s="640" t="str">
        <f>B$126</f>
        <v>Fiscal Year Ended December 31,</v>
      </c>
      <c r="C283" s="640"/>
      <c r="D283" s="640"/>
      <c r="E283" s="640"/>
      <c r="F283" s="640"/>
      <c r="G283" s="640"/>
      <c r="H283" s="640"/>
      <c r="I283" s="959"/>
      <c r="J283" s="959"/>
      <c r="K283" s="959"/>
      <c r="L283" s="899">
        <f t="shared" ref="L283:Q283" si="52">L$126</f>
        <v>2019</v>
      </c>
      <c r="M283" s="463">
        <f t="shared" si="52"/>
        <v>2020</v>
      </c>
      <c r="N283" s="463">
        <f t="shared" si="52"/>
        <v>2021</v>
      </c>
      <c r="O283" s="463">
        <f t="shared" si="52"/>
        <v>2022</v>
      </c>
      <c r="P283" s="463">
        <f t="shared" si="52"/>
        <v>2023</v>
      </c>
      <c r="Q283" s="463">
        <f t="shared" si="52"/>
        <v>2024</v>
      </c>
    </row>
    <row r="284" spans="1:18" ht="15" customHeight="1">
      <c r="B284" s="139" t="s">
        <v>453</v>
      </c>
      <c r="J284" s="200"/>
      <c r="K284" s="200"/>
      <c r="L284" s="200"/>
      <c r="M284" s="200"/>
      <c r="N284" s="200"/>
      <c r="O284" s="200"/>
      <c r="P284" s="200"/>
      <c r="Q284" s="200"/>
    </row>
    <row r="285" spans="1:18" ht="12.75" customHeight="1">
      <c r="B285" s="3" t="s">
        <v>454</v>
      </c>
      <c r="J285" s="200"/>
      <c r="K285" s="200"/>
      <c r="L285" s="961">
        <f>'Tar Proj'!L158</f>
        <v>260</v>
      </c>
      <c r="M285" s="961">
        <f>'Tar Proj'!M158</f>
        <v>260</v>
      </c>
      <c r="N285" s="961">
        <f>'Tar Proj'!N158</f>
        <v>270</v>
      </c>
      <c r="O285" s="961">
        <f>'Tar Proj'!O158</f>
        <v>280</v>
      </c>
      <c r="P285" s="961">
        <f>'Tar Proj'!P158</f>
        <v>290</v>
      </c>
      <c r="Q285" s="961">
        <f>'Tar Proj'!Q158</f>
        <v>300</v>
      </c>
    </row>
    <row r="286" spans="1:18" ht="12.75" customHeight="1">
      <c r="B286" s="3" t="s">
        <v>455</v>
      </c>
      <c r="J286" s="200"/>
      <c r="K286" s="200"/>
      <c r="L286" s="961">
        <f>'Tar Proj'!L159</f>
        <v>260</v>
      </c>
      <c r="M286" s="961">
        <f>'Tar Proj'!M159</f>
        <v>265</v>
      </c>
      <c r="N286" s="961">
        <f>'Tar Proj'!N159</f>
        <v>275</v>
      </c>
      <c r="O286" s="961">
        <f>'Tar Proj'!O159</f>
        <v>285</v>
      </c>
      <c r="P286" s="961">
        <f>'Tar Proj'!P159</f>
        <v>295</v>
      </c>
      <c r="Q286" s="961">
        <f>'Tar Proj'!Q159</f>
        <v>305</v>
      </c>
    </row>
    <row r="287" spans="1:18" ht="12.75" customHeight="1">
      <c r="B287" s="3" t="s">
        <v>456</v>
      </c>
      <c r="J287" s="200"/>
      <c r="K287" s="200"/>
      <c r="L287" s="961">
        <f>'Tar Proj'!L160</f>
        <v>260</v>
      </c>
      <c r="M287" s="961">
        <f>'Tar Proj'!M160</f>
        <v>270</v>
      </c>
      <c r="N287" s="961">
        <f>'Tar Proj'!N160</f>
        <v>280</v>
      </c>
      <c r="O287" s="961">
        <f>'Tar Proj'!O160</f>
        <v>290</v>
      </c>
      <c r="P287" s="961">
        <f>'Tar Proj'!P160</f>
        <v>300</v>
      </c>
      <c r="Q287" s="961">
        <f>'Tar Proj'!Q160</f>
        <v>310</v>
      </c>
    </row>
    <row r="288" spans="1:18" ht="12.75" customHeight="1">
      <c r="B288" s="151" t="s">
        <v>457</v>
      </c>
      <c r="J288" s="200"/>
      <c r="K288" s="200"/>
      <c r="L288" s="962">
        <f t="shared" ref="L288:Q288" si="53">AVERAGE(L285:L287)</f>
        <v>260</v>
      </c>
      <c r="M288" s="962">
        <f t="shared" si="53"/>
        <v>265</v>
      </c>
      <c r="N288" s="962">
        <f t="shared" si="53"/>
        <v>275</v>
      </c>
      <c r="O288" s="962">
        <f t="shared" si="53"/>
        <v>285</v>
      </c>
      <c r="P288" s="962">
        <f t="shared" si="53"/>
        <v>295</v>
      </c>
      <c r="Q288" s="963">
        <f t="shared" si="53"/>
        <v>305</v>
      </c>
    </row>
    <row r="289" spans="1:17" ht="12.75" customHeight="1">
      <c r="B289" s="151"/>
      <c r="J289" s="200"/>
      <c r="K289" s="200"/>
      <c r="L289" s="200"/>
      <c r="M289" s="200"/>
      <c r="N289" s="200"/>
      <c r="O289" s="200"/>
      <c r="P289" s="200"/>
      <c r="Q289" s="200"/>
    </row>
    <row r="290" spans="1:17" ht="12.75" customHeight="1">
      <c r="B290" s="151"/>
      <c r="E290" s="142" t="s">
        <v>466</v>
      </c>
      <c r="G290" s="363" t="s">
        <v>460</v>
      </c>
      <c r="H290" s="363"/>
      <c r="J290" s="200"/>
      <c r="K290" s="200"/>
      <c r="L290" s="200"/>
      <c r="M290" s="200"/>
      <c r="N290" s="200"/>
      <c r="O290" s="200"/>
      <c r="P290" s="200"/>
      <c r="Q290" s="200"/>
    </row>
    <row r="291" spans="1:17" ht="12.75" customHeight="1">
      <c r="B291" s="379" t="s">
        <v>458</v>
      </c>
      <c r="E291" s="142" t="s">
        <v>463</v>
      </c>
      <c r="F291" s="104" t="s">
        <v>467</v>
      </c>
      <c r="G291" s="104" t="s">
        <v>461</v>
      </c>
      <c r="H291" s="104" t="s">
        <v>462</v>
      </c>
      <c r="J291" s="200"/>
      <c r="K291" s="200"/>
      <c r="L291" s="200"/>
      <c r="M291" s="200"/>
      <c r="N291" s="200"/>
      <c r="O291" s="200"/>
      <c r="P291" s="200"/>
      <c r="Q291" s="200"/>
    </row>
    <row r="292" spans="1:17" ht="12.75" customHeight="1">
      <c r="B292" s="1029" t="str">
        <f>+B271</f>
        <v>$250mm Revolver</v>
      </c>
      <c r="E292" s="964" t="str">
        <f>+V33</f>
        <v>L</v>
      </c>
      <c r="F292" s="965">
        <f>+W33</f>
        <v>0</v>
      </c>
      <c r="G292" s="962">
        <f>+X33</f>
        <v>250</v>
      </c>
      <c r="H292" s="963">
        <f>+Y33</f>
        <v>0</v>
      </c>
      <c r="J292" s="200"/>
      <c r="K292" s="200"/>
      <c r="L292" s="870">
        <f t="shared" ref="L292:Q297" si="54">IF($E292="F",$F292,(MAX(L$288,$H292)+$G292)/10000)</f>
        <v>5.0999999999999997E-2</v>
      </c>
      <c r="M292" s="870">
        <f t="shared" si="54"/>
        <v>5.1499999999999997E-2</v>
      </c>
      <c r="N292" s="870">
        <f t="shared" si="54"/>
        <v>5.2499999999999998E-2</v>
      </c>
      <c r="O292" s="870">
        <f t="shared" si="54"/>
        <v>5.3499999999999999E-2</v>
      </c>
      <c r="P292" s="870">
        <f t="shared" si="54"/>
        <v>5.45E-2</v>
      </c>
      <c r="Q292" s="870">
        <f t="shared" si="54"/>
        <v>5.5500000000000001E-2</v>
      </c>
    </row>
    <row r="293" spans="1:17" ht="12.75" customHeight="1">
      <c r="B293" s="160" t="str">
        <f>+B272</f>
        <v>Undrawn Revolver Fee</v>
      </c>
      <c r="E293" s="966" t="str">
        <f>'Tar Proj'!E166</f>
        <v>F</v>
      </c>
      <c r="F293" s="967">
        <f>'Tar Proj'!F166</f>
        <v>0</v>
      </c>
      <c r="G293" s="961">
        <f>'Tar Proj'!G166</f>
        <v>25</v>
      </c>
      <c r="H293" s="961">
        <f>'Tar Proj'!H166</f>
        <v>0.02</v>
      </c>
      <c r="J293" s="200"/>
      <c r="K293" s="200"/>
      <c r="L293" s="870">
        <f t="shared" si="54"/>
        <v>0</v>
      </c>
      <c r="M293" s="870">
        <f t="shared" si="54"/>
        <v>0</v>
      </c>
      <c r="N293" s="870">
        <f t="shared" si="54"/>
        <v>0</v>
      </c>
      <c r="O293" s="870">
        <f t="shared" si="54"/>
        <v>0</v>
      </c>
      <c r="P293" s="870">
        <f t="shared" si="54"/>
        <v>0</v>
      </c>
      <c r="Q293" s="870">
        <f t="shared" si="54"/>
        <v>0</v>
      </c>
    </row>
    <row r="294" spans="1:17" ht="12.75" customHeight="1">
      <c r="B294" s="1029" t="str">
        <f>+B273</f>
        <v>Term Loan</v>
      </c>
      <c r="E294" s="142" t="str">
        <f t="shared" ref="E294:H296" si="55">+V34</f>
        <v>L</v>
      </c>
      <c r="F294" s="870">
        <f t="shared" si="55"/>
        <v>0</v>
      </c>
      <c r="G294" s="968">
        <f t="shared" si="55"/>
        <v>450</v>
      </c>
      <c r="H294" s="968">
        <f t="shared" si="55"/>
        <v>0</v>
      </c>
      <c r="J294" s="200"/>
      <c r="K294" s="200"/>
      <c r="L294" s="870">
        <f t="shared" si="54"/>
        <v>7.0999999999999994E-2</v>
      </c>
      <c r="M294" s="870">
        <f t="shared" si="54"/>
        <v>7.1499999999999994E-2</v>
      </c>
      <c r="N294" s="870">
        <f t="shared" si="54"/>
        <v>7.2499999999999995E-2</v>
      </c>
      <c r="O294" s="870">
        <f t="shared" si="54"/>
        <v>7.3499999999999996E-2</v>
      </c>
      <c r="P294" s="870">
        <f t="shared" si="54"/>
        <v>7.4499999999999997E-2</v>
      </c>
      <c r="Q294" s="870">
        <f t="shared" si="54"/>
        <v>7.5499999999999998E-2</v>
      </c>
    </row>
    <row r="295" spans="1:17" ht="12.75" customHeight="1">
      <c r="B295" s="160" t="str">
        <f>+B274</f>
        <v>Senior Notes</v>
      </c>
      <c r="E295" s="142" t="str">
        <f t="shared" si="55"/>
        <v>F</v>
      </c>
      <c r="F295" s="870">
        <f t="shared" si="55"/>
        <v>0.08</v>
      </c>
      <c r="G295" s="968">
        <f t="shared" si="55"/>
        <v>0</v>
      </c>
      <c r="H295" s="968">
        <f t="shared" si="55"/>
        <v>0</v>
      </c>
      <c r="J295" s="200"/>
      <c r="K295" s="200"/>
      <c r="L295" s="870">
        <f t="shared" si="54"/>
        <v>0.08</v>
      </c>
      <c r="M295" s="870">
        <f t="shared" si="54"/>
        <v>0.08</v>
      </c>
      <c r="N295" s="870">
        <f t="shared" si="54"/>
        <v>0.08</v>
      </c>
      <c r="O295" s="870">
        <f t="shared" si="54"/>
        <v>0.08</v>
      </c>
      <c r="P295" s="870">
        <f t="shared" si="54"/>
        <v>0.08</v>
      </c>
      <c r="Q295" s="870">
        <f t="shared" si="54"/>
        <v>0.08</v>
      </c>
    </row>
    <row r="296" spans="1:17" ht="12.75" customHeight="1">
      <c r="B296" s="160" t="str">
        <f>+B276</f>
        <v>Amortization of Deferred Financing Fees and OID</v>
      </c>
      <c r="E296" s="142" t="str">
        <f t="shared" si="55"/>
        <v>F</v>
      </c>
      <c r="F296" s="870">
        <f t="shared" si="55"/>
        <v>0.11</v>
      </c>
      <c r="G296" s="968">
        <f t="shared" si="55"/>
        <v>0</v>
      </c>
      <c r="H296" s="968">
        <f t="shared" si="55"/>
        <v>0</v>
      </c>
      <c r="J296" s="200"/>
      <c r="K296" s="200"/>
      <c r="L296" s="870">
        <f t="shared" si="54"/>
        <v>0.11</v>
      </c>
      <c r="M296" s="870">
        <f t="shared" si="54"/>
        <v>0.11</v>
      </c>
      <c r="N296" s="870">
        <f t="shared" si="54"/>
        <v>0.11</v>
      </c>
      <c r="O296" s="870">
        <f t="shared" si="54"/>
        <v>0.11</v>
      </c>
      <c r="P296" s="870">
        <f t="shared" si="54"/>
        <v>0.11</v>
      </c>
      <c r="Q296" s="870">
        <f t="shared" si="54"/>
        <v>0.11</v>
      </c>
    </row>
    <row r="297" spans="1:17" ht="12.75" customHeight="1">
      <c r="B297" s="160" t="str">
        <f>+B279</f>
        <v>Interest Income</v>
      </c>
      <c r="E297" s="966" t="str">
        <f>'Tar Proj'!E170</f>
        <v>F</v>
      </c>
      <c r="F297" s="967">
        <f>'Tar Proj'!F170</f>
        <v>5.0000000000000001E-3</v>
      </c>
      <c r="G297" s="961">
        <f>'Tar Proj'!G170</f>
        <v>0</v>
      </c>
      <c r="H297" s="961">
        <f>'Tar Proj'!H170</f>
        <v>0.02</v>
      </c>
      <c r="J297" s="200"/>
      <c r="K297" s="200"/>
      <c r="L297" s="870">
        <f t="shared" si="54"/>
        <v>5.0000000000000001E-3</v>
      </c>
      <c r="M297" s="870">
        <f t="shared" si="54"/>
        <v>5.0000000000000001E-3</v>
      </c>
      <c r="N297" s="870">
        <f t="shared" si="54"/>
        <v>5.0000000000000001E-3</v>
      </c>
      <c r="O297" s="870">
        <f t="shared" si="54"/>
        <v>5.0000000000000001E-3</v>
      </c>
      <c r="P297" s="870">
        <f t="shared" si="54"/>
        <v>5.0000000000000001E-3</v>
      </c>
      <c r="Q297" s="870">
        <f t="shared" si="54"/>
        <v>5.0000000000000001E-3</v>
      </c>
    </row>
    <row r="298" spans="1:17" ht="12.75" customHeight="1">
      <c r="J298" s="200"/>
      <c r="K298" s="200"/>
      <c r="L298" s="200"/>
      <c r="M298" s="200"/>
      <c r="N298" s="200"/>
      <c r="O298" s="200"/>
      <c r="P298" s="200"/>
      <c r="Q298" s="200"/>
    </row>
    <row r="299" spans="1:17" ht="15.95" customHeight="1" collapsed="1" thickBot="1">
      <c r="A299" s="4" t="s">
        <v>167</v>
      </c>
      <c r="B299" s="459" t="s">
        <v>528</v>
      </c>
      <c r="C299" s="459"/>
      <c r="D299" s="666"/>
      <c r="E299" s="666"/>
      <c r="F299" s="666"/>
      <c r="G299" s="666"/>
      <c r="H299" s="666"/>
      <c r="I299" s="666"/>
      <c r="J299" s="666"/>
      <c r="K299" s="666"/>
      <c r="L299" s="666"/>
      <c r="M299" s="666"/>
      <c r="N299" s="666"/>
      <c r="O299" s="667"/>
      <c r="P299" s="667"/>
      <c r="Q299" s="667"/>
    </row>
    <row r="300" spans="1:17" ht="15" customHeight="1">
      <c r="B300" s="1100" t="str">
        <f>B$126</f>
        <v>Fiscal Year Ended December 31,</v>
      </c>
      <c r="C300" s="640"/>
      <c r="D300" s="640"/>
      <c r="E300" s="640"/>
      <c r="F300" s="640"/>
      <c r="G300" s="640"/>
      <c r="H300" s="640"/>
      <c r="I300" s="959"/>
      <c r="J300" s="959"/>
      <c r="K300" s="959"/>
      <c r="L300" s="899"/>
      <c r="M300" s="463">
        <f>M$126</f>
        <v>2020</v>
      </c>
      <c r="N300" s="463">
        <f>N$126</f>
        <v>2021</v>
      </c>
      <c r="O300" s="463">
        <f>O$126</f>
        <v>2022</v>
      </c>
      <c r="P300" s="463">
        <f>P$126</f>
        <v>2023</v>
      </c>
      <c r="Q300" s="463">
        <f>Q$126</f>
        <v>2024</v>
      </c>
    </row>
    <row r="301" spans="1:17" ht="15" customHeight="1">
      <c r="B301" s="3" t="s">
        <v>529</v>
      </c>
      <c r="J301" s="200"/>
      <c r="K301" s="200"/>
      <c r="L301" s="200"/>
      <c r="M301" s="840">
        <f ca="1">+M137</f>
        <v>3.3049194193006546</v>
      </c>
      <c r="N301" s="840">
        <f ca="1">+N137</f>
        <v>5.269838558778595</v>
      </c>
      <c r="O301" s="840">
        <f ca="1">+O137</f>
        <v>7.5183316318623916</v>
      </c>
      <c r="P301" s="840">
        <f ca="1">+P137</f>
        <v>10.087362609892674</v>
      </c>
      <c r="Q301" s="840">
        <f ca="1">+Q137</f>
        <v>13.018547346604997</v>
      </c>
    </row>
    <row r="302" spans="1:17" ht="12.75" customHeight="1">
      <c r="B302" s="3" t="s">
        <v>533</v>
      </c>
      <c r="J302" s="200"/>
      <c r="K302" s="200"/>
      <c r="L302" s="780"/>
      <c r="M302" s="822">
        <f ca="1">+M133</f>
        <v>2.5536650432686292</v>
      </c>
      <c r="N302" s="822">
        <f ca="1">+N133</f>
        <v>2.5536650432686292</v>
      </c>
      <c r="O302" s="822">
        <f ca="1">+O133</f>
        <v>2.5536650432686292</v>
      </c>
      <c r="P302" s="822">
        <f ca="1">+P133</f>
        <v>2.5536650432686292</v>
      </c>
      <c r="Q302" s="822">
        <f ca="1">+Q133</f>
        <v>2.5536650432686292</v>
      </c>
    </row>
    <row r="303" spans="1:17" ht="12.75" customHeight="1">
      <c r="B303" s="151" t="s">
        <v>530</v>
      </c>
      <c r="J303" s="200"/>
      <c r="K303" s="200"/>
      <c r="L303" s="780"/>
      <c r="M303" s="863">
        <f ca="1">SUM(M301:M302)</f>
        <v>5.8585844625692838</v>
      </c>
      <c r="N303" s="863">
        <f ca="1">SUM(N301:N302)</f>
        <v>7.8235036020472242</v>
      </c>
      <c r="O303" s="863">
        <f ca="1">SUM(O301:O302)</f>
        <v>10.071996675131022</v>
      </c>
      <c r="P303" s="863">
        <f ca="1">SUM(P301:P302)</f>
        <v>12.641027653161302</v>
      </c>
      <c r="Q303" s="863">
        <f ca="1">SUM(Q301:Q302)</f>
        <v>15.572212389873627</v>
      </c>
    </row>
    <row r="304" spans="1:17" ht="12.75" customHeight="1">
      <c r="J304" s="200"/>
      <c r="K304" s="200"/>
      <c r="L304" s="780"/>
      <c r="M304" s="969"/>
      <c r="N304" s="969"/>
      <c r="O304" s="969"/>
      <c r="P304" s="969"/>
      <c r="Q304" s="969"/>
    </row>
    <row r="305" spans="1:18" ht="12.75" customHeight="1">
      <c r="B305" s="3" t="s">
        <v>531</v>
      </c>
      <c r="J305" s="200"/>
      <c r="K305" s="200"/>
      <c r="L305" s="970"/>
      <c r="M305" s="840">
        <f ca="1">+M138</f>
        <v>0.82622985482516365</v>
      </c>
      <c r="N305" s="840">
        <f ca="1">+N138</f>
        <v>1.3174596396946487</v>
      </c>
      <c r="O305" s="840">
        <f ca="1">+O138</f>
        <v>1.8795829079655979</v>
      </c>
      <c r="P305" s="840">
        <f ca="1">+P138</f>
        <v>2.5218406524731685</v>
      </c>
      <c r="Q305" s="840">
        <f ca="1">+Q138</f>
        <v>3.2546368366512493</v>
      </c>
    </row>
    <row r="306" spans="1:18" ht="12.75" customHeight="1">
      <c r="B306" s="3" t="s">
        <v>532</v>
      </c>
      <c r="J306" s="200"/>
      <c r="K306" s="200"/>
      <c r="L306" s="970"/>
      <c r="M306" s="822">
        <f ca="1">+M303*M142</f>
        <v>1.4646461156423209</v>
      </c>
      <c r="N306" s="822">
        <f ca="1">+N303*N142</f>
        <v>1.955875900511806</v>
      </c>
      <c r="O306" s="822">
        <f ca="1">+O303*O142</f>
        <v>2.5179991687827554</v>
      </c>
      <c r="P306" s="822">
        <f ca="1">+P303*P142</f>
        <v>3.1602569132903255</v>
      </c>
      <c r="Q306" s="822">
        <f ca="1">+Q303*Q142</f>
        <v>3.8930530974684068</v>
      </c>
    </row>
    <row r="307" spans="1:18" ht="12.75" customHeight="1">
      <c r="B307" s="151" t="s">
        <v>526</v>
      </c>
      <c r="J307" s="200"/>
      <c r="K307" s="200"/>
      <c r="L307" s="970"/>
      <c r="M307" s="763">
        <f ca="1">M305-M306</f>
        <v>-0.6384162608171573</v>
      </c>
      <c r="N307" s="763">
        <f ca="1">N305-N306</f>
        <v>-0.6384162608171573</v>
      </c>
      <c r="O307" s="763">
        <f ca="1">O305-O306</f>
        <v>-0.63841626081715752</v>
      </c>
      <c r="P307" s="763">
        <f ca="1">P305-P306</f>
        <v>-0.63841626081715708</v>
      </c>
      <c r="Q307" s="763">
        <f ca="1">Q305-Q306</f>
        <v>-0.63841626081715752</v>
      </c>
    </row>
    <row r="308" spans="1:18" ht="12.75" customHeight="1">
      <c r="B308" s="151"/>
      <c r="J308" s="200"/>
      <c r="K308" s="200"/>
      <c r="L308" s="200"/>
      <c r="M308" s="200"/>
      <c r="N308" s="200"/>
      <c r="O308" s="200"/>
      <c r="P308" s="200"/>
      <c r="Q308" s="200"/>
    </row>
    <row r="309" spans="1:18" ht="15.95" customHeight="1" collapsed="1" thickBot="1">
      <c r="A309" s="4" t="s">
        <v>167</v>
      </c>
      <c r="B309" s="459" t="s">
        <v>144</v>
      </c>
      <c r="C309" s="666"/>
      <c r="D309" s="666"/>
      <c r="E309" s="666"/>
      <c r="F309" s="666"/>
      <c r="G309" s="666"/>
      <c r="H309" s="666"/>
      <c r="I309" s="666"/>
      <c r="J309" s="666"/>
      <c r="K309" s="666"/>
      <c r="L309" s="666"/>
      <c r="M309" s="666"/>
      <c r="N309" s="666"/>
      <c r="O309" s="667"/>
      <c r="P309" s="667"/>
      <c r="Q309" s="667"/>
      <c r="R309" s="1118"/>
    </row>
    <row r="310" spans="1:18">
      <c r="B310" s="895" t="str">
        <f>$B$126</f>
        <v>Fiscal Year Ended December 31,</v>
      </c>
      <c r="C310" s="461"/>
      <c r="D310" s="461"/>
      <c r="E310" s="461"/>
      <c r="F310" s="461"/>
      <c r="G310" s="461"/>
      <c r="H310" s="461"/>
      <c r="I310" s="461"/>
      <c r="J310" s="461"/>
      <c r="K310" s="461"/>
      <c r="L310" s="899"/>
      <c r="M310" s="463">
        <f>M$126</f>
        <v>2020</v>
      </c>
      <c r="N310" s="463">
        <f>N$126</f>
        <v>2021</v>
      </c>
      <c r="O310" s="463">
        <f>O$126</f>
        <v>2022</v>
      </c>
      <c r="P310" s="463">
        <f>P$126</f>
        <v>2023</v>
      </c>
      <c r="Q310" s="463">
        <f>Q$126</f>
        <v>2024</v>
      </c>
      <c r="R310" s="1119"/>
    </row>
    <row r="311" spans="1:18" ht="15" customHeight="1">
      <c r="B311" s="3" t="s">
        <v>159</v>
      </c>
      <c r="R311" s="1120"/>
    </row>
    <row r="312" spans="1:18" ht="12.75" customHeight="1">
      <c r="C312" s="1101">
        <f ca="1">+C313-'Tar LBO Tables'!$H$11*2</f>
        <v>8</v>
      </c>
      <c r="M312" s="161">
        <f t="shared" ref="M312:Q314" ca="1" si="56">$C312*M$130</f>
        <v>172.00000000000006</v>
      </c>
      <c r="N312" s="161">
        <f t="shared" ca="1" si="56"/>
        <v>189.20000000000005</v>
      </c>
      <c r="O312" s="161">
        <f t="shared" ca="1" si="56"/>
        <v>208.12000000000012</v>
      </c>
      <c r="P312" s="161">
        <f t="shared" ca="1" si="56"/>
        <v>228.93200000000016</v>
      </c>
      <c r="Q312" s="161">
        <f t="shared" ca="1" si="56"/>
        <v>251.82520000000017</v>
      </c>
      <c r="R312" s="1120"/>
    </row>
    <row r="313" spans="1:18" ht="12.75" customHeight="1">
      <c r="C313" s="1101">
        <f ca="1">texit</f>
        <v>10</v>
      </c>
      <c r="M313" s="161">
        <f t="shared" ca="1" si="56"/>
        <v>215.00000000000006</v>
      </c>
      <c r="N313" s="161">
        <f t="shared" ca="1" si="56"/>
        <v>236.50000000000006</v>
      </c>
      <c r="O313" s="161">
        <f t="shared" ca="1" si="56"/>
        <v>260.15000000000015</v>
      </c>
      <c r="P313" s="161">
        <f t="shared" ca="1" si="56"/>
        <v>286.16500000000019</v>
      </c>
      <c r="Q313" s="161">
        <f t="shared" ca="1" si="56"/>
        <v>314.78150000000022</v>
      </c>
      <c r="R313" s="1120"/>
    </row>
    <row r="314" spans="1:18" ht="12.75" customHeight="1">
      <c r="C314" s="1101">
        <f ca="1">+C313+'Tar LBO Tables'!$H$11*2</f>
        <v>12</v>
      </c>
      <c r="M314" s="161">
        <f t="shared" ca="1" si="56"/>
        <v>258.00000000000011</v>
      </c>
      <c r="N314" s="161">
        <f t="shared" ca="1" si="56"/>
        <v>283.80000000000007</v>
      </c>
      <c r="O314" s="161">
        <f t="shared" ca="1" si="56"/>
        <v>312.18000000000018</v>
      </c>
      <c r="P314" s="161">
        <f t="shared" ca="1" si="56"/>
        <v>343.39800000000025</v>
      </c>
      <c r="Q314" s="161">
        <f t="shared" ca="1" si="56"/>
        <v>377.73780000000022</v>
      </c>
      <c r="R314" s="1120"/>
    </row>
    <row r="315" spans="1:18" ht="12.75" customHeight="1">
      <c r="C315" s="695"/>
      <c r="M315" s="161"/>
      <c r="N315" s="161"/>
      <c r="O315" s="161"/>
      <c r="P315" s="161"/>
      <c r="Q315" s="161"/>
      <c r="R315" s="1120"/>
    </row>
    <row r="316" spans="1:18" ht="12.75" customHeight="1">
      <c r="B316" s="3" t="s">
        <v>160</v>
      </c>
      <c r="R316" s="1120"/>
    </row>
    <row r="317" spans="1:18" ht="12.75" customHeight="1">
      <c r="C317" s="695">
        <f ca="1">+C$312</f>
        <v>8</v>
      </c>
      <c r="M317" s="161">
        <f t="shared" ref="M317:Q319" ca="1" si="57">M312-M$180-M$184-M$185+M$164</f>
        <v>66.393271680260483</v>
      </c>
      <c r="N317" s="161">
        <f t="shared" ca="1" si="57"/>
        <v>89.555103548431731</v>
      </c>
      <c r="O317" s="161">
        <f t="shared" ca="1" si="57"/>
        <v>116.00766314148515</v>
      </c>
      <c r="P317" s="161">
        <f t="shared" ca="1" si="57"/>
        <v>146.15178945032798</v>
      </c>
      <c r="Q317" s="161">
        <f t="shared" ca="1" si="57"/>
        <v>180.43558749959101</v>
      </c>
      <c r="R317" s="1120"/>
    </row>
    <row r="318" spans="1:18" ht="12.75" customHeight="1">
      <c r="C318" s="695">
        <f ca="1">+C$313</f>
        <v>10</v>
      </c>
      <c r="M318" s="161">
        <f t="shared" ca="1" si="57"/>
        <v>109.39327168026048</v>
      </c>
      <c r="N318" s="161">
        <f t="shared" ca="1" si="57"/>
        <v>136.85510354843174</v>
      </c>
      <c r="O318" s="161">
        <f t="shared" ca="1" si="57"/>
        <v>168.03766314148521</v>
      </c>
      <c r="P318" s="161">
        <f t="shared" ca="1" si="57"/>
        <v>203.38478945032801</v>
      </c>
      <c r="Q318" s="161">
        <f t="shared" ca="1" si="57"/>
        <v>243.39188749959106</v>
      </c>
      <c r="R318" s="1120"/>
    </row>
    <row r="319" spans="1:18" ht="12.75" customHeight="1">
      <c r="C319" s="695">
        <f ca="1">+C$314</f>
        <v>12</v>
      </c>
      <c r="M319" s="161">
        <f t="shared" ca="1" si="57"/>
        <v>152.39327168026054</v>
      </c>
      <c r="N319" s="161">
        <f t="shared" ca="1" si="57"/>
        <v>184.15510354843178</v>
      </c>
      <c r="O319" s="161">
        <f t="shared" ca="1" si="57"/>
        <v>220.06766314148524</v>
      </c>
      <c r="P319" s="161">
        <f t="shared" ca="1" si="57"/>
        <v>260.61778945032808</v>
      </c>
      <c r="Q319" s="161">
        <f t="shared" ca="1" si="57"/>
        <v>306.34818749959106</v>
      </c>
      <c r="R319" s="1120"/>
    </row>
    <row r="320" spans="1:18" ht="12.75" customHeight="1">
      <c r="C320" s="695"/>
      <c r="M320" s="161"/>
      <c r="N320" s="161"/>
      <c r="O320" s="161"/>
      <c r="P320" s="161"/>
      <c r="Q320" s="161"/>
      <c r="R320" s="1120"/>
    </row>
    <row r="321" spans="1:18" ht="12.75" customHeight="1">
      <c r="B321" s="3" t="str">
        <f ca="1">"Equity Value to Management @ "&amp;TEXT(P19,"0.0%")&amp;" Over Initial Equity of $"&amp;FIXED($L$20,0)&amp;"mm"</f>
        <v>Equity Value to Management @ 10.0% Over Initial Equity of $99mm</v>
      </c>
      <c r="R321" s="1120"/>
    </row>
    <row r="322" spans="1:18" ht="12.75" customHeight="1">
      <c r="C322" s="695">
        <f ca="1">+C$312</f>
        <v>8</v>
      </c>
      <c r="M322" s="161">
        <f t="shared" ref="M322:Q324" ca="1" si="58">MAX(M317-$L$20,0)*$P$19</f>
        <v>0</v>
      </c>
      <c r="N322" s="161">
        <f t="shared" ca="1" si="58"/>
        <v>0</v>
      </c>
      <c r="O322" s="161">
        <f t="shared" ca="1" si="58"/>
        <v>1.6508949850659889</v>
      </c>
      <c r="P322" s="161">
        <f t="shared" ca="1" si="58"/>
        <v>4.6653076159502715</v>
      </c>
      <c r="Q322" s="161">
        <f t="shared" ca="1" si="58"/>
        <v>8.0936874208765754</v>
      </c>
      <c r="R322" s="1120"/>
    </row>
    <row r="323" spans="1:18" ht="12.75" customHeight="1">
      <c r="C323" s="695">
        <f ca="1">+C$313</f>
        <v>10</v>
      </c>
      <c r="M323" s="161">
        <f t="shared" ca="1" si="58"/>
        <v>0.98945583894352185</v>
      </c>
      <c r="N323" s="161">
        <f t="shared" ca="1" si="58"/>
        <v>3.7356390257606478</v>
      </c>
      <c r="O323" s="161">
        <f t="shared" ca="1" si="58"/>
        <v>6.8538949850659954</v>
      </c>
      <c r="P323" s="161">
        <f t="shared" ca="1" si="58"/>
        <v>10.388607615950276</v>
      </c>
      <c r="Q323" s="161">
        <f t="shared" ca="1" si="58"/>
        <v>14.38931742087658</v>
      </c>
      <c r="R323" s="1120"/>
    </row>
    <row r="324" spans="1:18" ht="12.75" customHeight="1">
      <c r="C324" s="695">
        <f ca="1">+C$314</f>
        <v>12</v>
      </c>
      <c r="M324" s="161">
        <f t="shared" ca="1" si="58"/>
        <v>5.2894558389435282</v>
      </c>
      <c r="N324" s="161">
        <f t="shared" ca="1" si="58"/>
        <v>8.4656390257606517</v>
      </c>
      <c r="O324" s="161">
        <f t="shared" ca="1" si="58"/>
        <v>12.056894985065998</v>
      </c>
      <c r="P324" s="161">
        <f t="shared" ca="1" si="58"/>
        <v>16.111907615950283</v>
      </c>
      <c r="Q324" s="161">
        <f t="shared" ca="1" si="58"/>
        <v>20.684947420876583</v>
      </c>
      <c r="R324" s="1120"/>
    </row>
    <row r="325" spans="1:18" ht="12.75" customHeight="1">
      <c r="C325" s="695"/>
      <c r="M325" s="161"/>
      <c r="N325" s="161"/>
      <c r="O325" s="161"/>
      <c r="P325" s="161"/>
      <c r="Q325" s="161"/>
      <c r="R325" s="1120"/>
    </row>
    <row r="326" spans="1:18" ht="12.75" customHeight="1">
      <c r="B326" s="3" t="s">
        <v>245</v>
      </c>
      <c r="R326" s="1120"/>
    </row>
    <row r="327" spans="1:18" ht="12.75" customHeight="1">
      <c r="C327" s="695">
        <f ca="1">+C$312</f>
        <v>8</v>
      </c>
      <c r="M327" s="161">
        <f t="shared" ref="M327:Q329" ca="1" si="59">M317-M322</f>
        <v>66.393271680260483</v>
      </c>
      <c r="N327" s="161">
        <f t="shared" ca="1" si="59"/>
        <v>89.555103548431731</v>
      </c>
      <c r="O327" s="161">
        <f t="shared" ca="1" si="59"/>
        <v>114.35676815641916</v>
      </c>
      <c r="P327" s="161">
        <f t="shared" ca="1" si="59"/>
        <v>141.48648183437771</v>
      </c>
      <c r="Q327" s="161">
        <f t="shared" ca="1" si="59"/>
        <v>172.34190007871445</v>
      </c>
      <c r="R327" s="1120"/>
    </row>
    <row r="328" spans="1:18" ht="12.75" customHeight="1">
      <c r="C328" s="695">
        <f ca="1">+C$313</f>
        <v>10</v>
      </c>
      <c r="M328" s="161">
        <f t="shared" ca="1" si="59"/>
        <v>108.40381584131696</v>
      </c>
      <c r="N328" s="161">
        <f t="shared" ca="1" si="59"/>
        <v>133.11946452267108</v>
      </c>
      <c r="O328" s="161">
        <f t="shared" ca="1" si="59"/>
        <v>161.18376815641921</v>
      </c>
      <c r="P328" s="161">
        <f t="shared" ca="1" si="59"/>
        <v>192.99618183437775</v>
      </c>
      <c r="Q328" s="161">
        <f t="shared" ca="1" si="59"/>
        <v>229.00257007871448</v>
      </c>
      <c r="R328" s="1120"/>
    </row>
    <row r="329" spans="1:18" ht="12.75" customHeight="1">
      <c r="C329" s="695">
        <f ca="1">+C$314</f>
        <v>12</v>
      </c>
      <c r="M329" s="161">
        <f t="shared" ca="1" si="59"/>
        <v>147.10381584131702</v>
      </c>
      <c r="N329" s="161">
        <f t="shared" ca="1" si="59"/>
        <v>175.68946452267113</v>
      </c>
      <c r="O329" s="161">
        <f t="shared" ca="1" si="59"/>
        <v>208.01076815641923</v>
      </c>
      <c r="P329" s="161">
        <f t="shared" ca="1" si="59"/>
        <v>244.50588183437779</v>
      </c>
      <c r="Q329" s="161">
        <f t="shared" ca="1" si="59"/>
        <v>285.66324007871447</v>
      </c>
      <c r="R329" s="1120"/>
    </row>
    <row r="330" spans="1:18" ht="12.75" customHeight="1">
      <c r="C330" s="695"/>
      <c r="M330" s="1074"/>
      <c r="N330" s="1074"/>
      <c r="O330" s="1074"/>
      <c r="P330" s="1074"/>
      <c r="Q330" s="1074"/>
      <c r="R330" s="1120"/>
    </row>
    <row r="331" spans="1:18" ht="12.75" customHeight="1">
      <c r="B331" s="4"/>
      <c r="C331" s="804"/>
      <c r="D331" s="4"/>
      <c r="E331" s="4"/>
      <c r="F331" s="4"/>
      <c r="G331" s="4"/>
      <c r="H331" s="4"/>
      <c r="I331" s="4"/>
      <c r="J331" s="4"/>
      <c r="K331" s="4"/>
      <c r="L331" s="4"/>
      <c r="M331" s="294"/>
      <c r="N331" s="294"/>
      <c r="O331" s="294"/>
      <c r="P331" s="294"/>
      <c r="Q331" s="294"/>
    </row>
    <row r="332" spans="1:18" ht="15.95" customHeight="1" collapsed="1" thickBot="1">
      <c r="A332" s="4" t="s">
        <v>167</v>
      </c>
      <c r="B332" s="459" t="s">
        <v>357</v>
      </c>
      <c r="C332" s="666"/>
      <c r="D332" s="666"/>
      <c r="E332" s="666"/>
      <c r="F332" s="666"/>
      <c r="G332" s="666"/>
      <c r="H332" s="666"/>
      <c r="I332" s="666"/>
      <c r="J332" s="666"/>
      <c r="K332" s="666"/>
      <c r="L332" s="666"/>
      <c r="M332" s="666"/>
      <c r="N332" s="666"/>
      <c r="O332" s="667"/>
      <c r="P332" s="667"/>
      <c r="Q332" s="667"/>
      <c r="R332" s="1118"/>
    </row>
    <row r="333" spans="1:18">
      <c r="B333" s="895" t="str">
        <f>$B$126</f>
        <v>Fiscal Year Ended December 31,</v>
      </c>
      <c r="C333" s="896"/>
      <c r="D333" s="896"/>
      <c r="E333" s="896"/>
      <c r="F333" s="896"/>
      <c r="G333" s="896"/>
      <c r="H333" s="896"/>
      <c r="I333" s="896"/>
      <c r="J333" s="896"/>
      <c r="K333" s="896"/>
      <c r="L333" s="899">
        <f t="shared" ref="L333:Q333" si="60">L$126</f>
        <v>2019</v>
      </c>
      <c r="M333" s="463">
        <f t="shared" si="60"/>
        <v>2020</v>
      </c>
      <c r="N333" s="463">
        <f t="shared" si="60"/>
        <v>2021</v>
      </c>
      <c r="O333" s="463">
        <f t="shared" si="60"/>
        <v>2022</v>
      </c>
      <c r="P333" s="463">
        <f t="shared" si="60"/>
        <v>2023</v>
      </c>
      <c r="Q333" s="463">
        <f t="shared" si="60"/>
        <v>2024</v>
      </c>
      <c r="R333" s="1128" t="s">
        <v>164</v>
      </c>
    </row>
    <row r="334" spans="1:18" ht="15" customHeight="1">
      <c r="B334" s="139" t="s">
        <v>161</v>
      </c>
      <c r="R334" s="1129"/>
    </row>
    <row r="335" spans="1:18" ht="12.75" customHeight="1">
      <c r="B335" s="3" t="s">
        <v>162</v>
      </c>
      <c r="R335" s="1129"/>
    </row>
    <row r="336" spans="1:18" ht="12.75" customHeight="1">
      <c r="C336" s="695">
        <f ca="1">+C$312</f>
        <v>8</v>
      </c>
      <c r="L336" s="153">
        <f ca="1">-$L$20</f>
        <v>-99.498713290825265</v>
      </c>
      <c r="M336" s="185">
        <v>0</v>
      </c>
      <c r="N336" s="185">
        <v>0</v>
      </c>
      <c r="O336" s="185">
        <v>0</v>
      </c>
      <c r="P336" s="153">
        <f ca="1">P327</f>
        <v>141.48648183437771</v>
      </c>
      <c r="R336" s="1129">
        <f ca="1">IRR(L336:P336,0.1)</f>
        <v>9.2004356040065849E-2</v>
      </c>
    </row>
    <row r="337" spans="2:18" ht="12.75" customHeight="1">
      <c r="C337" s="695">
        <f ca="1">+C$313</f>
        <v>10</v>
      </c>
      <c r="L337" s="161">
        <f ca="1">-$L$20</f>
        <v>-99.498713290825265</v>
      </c>
      <c r="M337" s="201">
        <v>0</v>
      </c>
      <c r="N337" s="201">
        <v>0</v>
      </c>
      <c r="O337" s="201">
        <v>0</v>
      </c>
      <c r="P337" s="161">
        <f ca="1">P328</f>
        <v>192.99618183437775</v>
      </c>
      <c r="R337" s="1129">
        <f ca="1">IRR(L337:P337,0.1)</f>
        <v>0.18013805014653639</v>
      </c>
    </row>
    <row r="338" spans="2:18" ht="12.75" customHeight="1">
      <c r="C338" s="695">
        <f ca="1">+C$314</f>
        <v>12</v>
      </c>
      <c r="L338" s="161">
        <f ca="1">-$L$20</f>
        <v>-99.498713290825265</v>
      </c>
      <c r="M338" s="201">
        <v>0</v>
      </c>
      <c r="N338" s="201">
        <v>0</v>
      </c>
      <c r="O338" s="201">
        <v>0</v>
      </c>
      <c r="P338" s="161">
        <f ca="1">P329</f>
        <v>244.50588183437779</v>
      </c>
      <c r="R338" s="1129">
        <f ca="1">IRR(L338:P338,0.1)</f>
        <v>0.25203930157475196</v>
      </c>
    </row>
    <row r="339" spans="2:18" ht="12.75" customHeight="1">
      <c r="C339" s="695"/>
      <c r="L339" s="161"/>
      <c r="M339" s="201"/>
      <c r="N339" s="201"/>
      <c r="O339" s="201"/>
      <c r="P339" s="161"/>
      <c r="R339" s="1129"/>
    </row>
    <row r="340" spans="2:18" ht="12.75" customHeight="1">
      <c r="B340" s="139" t="s">
        <v>163</v>
      </c>
      <c r="R340" s="1129"/>
    </row>
    <row r="341" spans="2:18" ht="12.75" customHeight="1">
      <c r="B341" s="3" t="s">
        <v>162</v>
      </c>
      <c r="R341" s="1129"/>
    </row>
    <row r="342" spans="2:18" ht="12.75" customHeight="1">
      <c r="C342" s="695">
        <f ca="1">+C$312</f>
        <v>8</v>
      </c>
      <c r="L342" s="153">
        <f ca="1">-$L$20</f>
        <v>-99.498713290825265</v>
      </c>
      <c r="M342" s="185">
        <v>0</v>
      </c>
      <c r="N342" s="185">
        <v>0</v>
      </c>
      <c r="O342" s="185">
        <v>0</v>
      </c>
      <c r="P342" s="185">
        <v>0</v>
      </c>
      <c r="Q342" s="153">
        <f ca="1">Q327</f>
        <v>172.34190007871445</v>
      </c>
      <c r="R342" s="1129">
        <f ca="1">IRR(L342:Q342,0.1)</f>
        <v>0.11612974539807186</v>
      </c>
    </row>
    <row r="343" spans="2:18" ht="12.75" customHeight="1">
      <c r="C343" s="695">
        <f ca="1">+C$313</f>
        <v>10</v>
      </c>
      <c r="L343" s="161">
        <f ca="1">-$L$20</f>
        <v>-99.498713290825265</v>
      </c>
      <c r="M343" s="201">
        <v>0</v>
      </c>
      <c r="N343" s="201">
        <v>0</v>
      </c>
      <c r="O343" s="201">
        <v>0</v>
      </c>
      <c r="P343" s="201">
        <v>0</v>
      </c>
      <c r="Q343" s="161">
        <f ca="1">Q328</f>
        <v>229.00257007871448</v>
      </c>
      <c r="R343" s="1129">
        <f ca="1">IRR(L343:Q343,0.1)</f>
        <v>0.18142070651772224</v>
      </c>
    </row>
    <row r="344" spans="2:18" ht="12.75" customHeight="1">
      <c r="C344" s="695">
        <f ca="1">+C$314</f>
        <v>12</v>
      </c>
      <c r="L344" s="161">
        <f ca="1">-$L$20</f>
        <v>-99.498713290825265</v>
      </c>
      <c r="M344" s="201">
        <v>0</v>
      </c>
      <c r="N344" s="201">
        <v>0</v>
      </c>
      <c r="O344" s="201">
        <v>0</v>
      </c>
      <c r="P344" s="201">
        <v>0</v>
      </c>
      <c r="Q344" s="161">
        <f ca="1">Q329</f>
        <v>285.66324007871447</v>
      </c>
      <c r="R344" s="1129">
        <f ca="1">IRR(L344:Q344,0.1)</f>
        <v>0.23483058742217477</v>
      </c>
    </row>
    <row r="345" spans="2:18">
      <c r="R345" s="1120"/>
    </row>
  </sheetData>
  <customSheetViews>
    <customSheetView guid="{9AE38660-BF5A-49A3-9FC0-AD5890AFC019}" showPageBreaks="1" showGridLines="0" printArea="1" view="pageBreakPreview" showRuler="0" topLeftCell="A31">
      <selection activeCell="F63" sqref="F63"/>
      <rowBreaks count="8" manualBreakCount="8">
        <brk id="46" min="1" max="16" man="1"/>
        <brk id="80" min="1" max="16" man="1"/>
        <brk id="105" min="1" max="16" man="1"/>
        <brk id="137" min="1" max="16" man="1"/>
        <brk id="165" min="1" max="16" man="1"/>
        <brk id="187" min="1" max="16" man="1"/>
        <brk id="211" min="1" max="16" man="1"/>
        <brk id="239" min="1" max="16" man="1"/>
      </rowBreaks>
      <pageMargins left="0.35" right="0.35" top="0.35" bottom="0.35" header="0.15" footer="0.15"/>
      <printOptions horizontalCentered="1"/>
      <pageSetup scale="81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dataValidations count="2">
    <dataValidation type="custom" allowBlank="1" showInputMessage="1" showErrorMessage="1" error="Enter &quot;F&quot; for fixed rate or &quot;L&quot; for LIBOR-based rate" sqref="V33 E292:E297">
      <formula1>OR(E33="F",E33="L")</formula1>
    </dataValidation>
    <dataValidation type="custom" allowBlank="1" showInputMessage="1" showErrorMessage="1" sqref="V34:V36">
      <formula1>OR(V34="F",V34="L")</formula1>
    </dataValidation>
  </dataValidations>
  <printOptions horizontalCentered="1"/>
  <pageMargins left="0.35" right="0.35" top="0.35" bottom="0.35" header="0.15" footer="0.15"/>
  <pageSetup scale="79" orientation="landscape" r:id="rId2"/>
  <headerFooter alignWithMargins="0"/>
  <rowBreaks count="9" manualBreakCount="9">
    <brk id="54" min="1" max="17" man="1"/>
    <brk id="87" min="1" max="17" man="1"/>
    <brk id="124" min="1" max="17" man="1"/>
    <brk id="160" min="1" max="17" man="1"/>
    <brk id="199" min="1" max="17" man="1"/>
    <brk id="232" min="1" max="17" man="1"/>
    <brk id="281" min="1" max="17" man="1"/>
    <brk id="298" max="16383" man="1"/>
    <brk id="308" min="1" max="17" man="1"/>
  </rowBreaks>
  <drawing r:id="rId3"/>
  <legacy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indexed="43"/>
  </sheetPr>
  <dimension ref="A1:Y545"/>
  <sheetViews>
    <sheetView showGridLines="0" view="pageBreakPreview" zoomScale="85" zoomScaleNormal="75" zoomScaleSheetLayoutView="85" workbookViewId="0"/>
  </sheetViews>
  <sheetFormatPr defaultColWidth="11.83203125" defaultRowHeight="12.75" outlineLevelRow="1"/>
  <cols>
    <col min="1" max="1" width="2.83203125" style="4" customWidth="1"/>
    <col min="2" max="18" width="11.83203125" style="3"/>
    <col min="19" max="24" width="9.33203125" style="3" customWidth="1"/>
    <col min="25" max="16384" width="11.83203125" style="3"/>
  </cols>
  <sheetData>
    <row r="1" spans="1:20">
      <c r="A1" s="625"/>
      <c r="I1" s="179"/>
    </row>
    <row r="2" spans="1:20" s="4" customFormat="1" ht="23.25">
      <c r="B2" s="97" t="str">
        <f>proj</f>
        <v>Project MODEL</v>
      </c>
      <c r="C2" s="397"/>
      <c r="D2" s="7"/>
      <c r="E2" s="7"/>
      <c r="F2" s="7"/>
      <c r="G2" s="7"/>
      <c r="H2" s="7"/>
      <c r="I2" s="279"/>
      <c r="J2" s="7"/>
      <c r="K2" s="7"/>
      <c r="L2" s="7"/>
      <c r="M2" s="7"/>
      <c r="N2" s="7"/>
      <c r="O2" s="7"/>
      <c r="P2" s="7"/>
      <c r="Q2" s="715" t="str">
        <f ca="1">IFERROR(IF(MAX(M387:Q387)&lt;F424,"","ERROR! REVOLVER BALANCE OVERDRAWN"),"")</f>
        <v/>
      </c>
      <c r="R2" s="7"/>
      <c r="S2" s="7"/>
      <c r="T2" s="7"/>
    </row>
    <row r="3" spans="1:20" s="276" customFormat="1" ht="20.100000000000001" customHeight="1" thickBot="1">
      <c r="B3" s="98" t="str">
        <f>acq&amp;" Acquires "&amp;tar&amp;" - "&amp;IF(H19=1,TEXT(H19,"0%")&amp;" Cash",IF(H20=1,TEXT(H20,"0%")&amp;" Stock",TEXT(H19,"0%")&amp;" Cash / "&amp;TEXT(H20,"0%")&amp;" Stock"))</f>
        <v>COLEMAN CO. Acquires SG ENTERPRISES - 90% Cash / 10% Stock</v>
      </c>
      <c r="C3" s="98"/>
      <c r="D3" s="395"/>
      <c r="E3" s="395"/>
      <c r="F3" s="395"/>
      <c r="G3" s="395"/>
      <c r="H3" s="395"/>
      <c r="I3" s="626"/>
      <c r="J3" s="395"/>
      <c r="K3" s="395"/>
      <c r="L3" s="395"/>
      <c r="M3" s="395"/>
      <c r="N3" s="395"/>
      <c r="O3" s="395"/>
      <c r="P3" s="395"/>
      <c r="Q3" s="400" t="str">
        <f>acq&amp;" - "&amp;acname&amp;" / "&amp;tar&amp;" - "&amp;tcname</f>
        <v>COLEMAN CO. - Wall street consensus / SG ENTERPRISES - Wall street consensus</v>
      </c>
    </row>
    <row r="4" spans="1:20" ht="15" customHeight="1">
      <c r="C4" s="8"/>
      <c r="D4" s="8"/>
      <c r="E4" s="8"/>
      <c r="F4" s="8"/>
      <c r="G4" s="8"/>
      <c r="H4" s="8"/>
      <c r="I4" s="179"/>
      <c r="J4" s="8"/>
      <c r="K4" s="8"/>
      <c r="L4" s="8"/>
      <c r="M4" s="8"/>
      <c r="N4" s="8"/>
      <c r="O4" s="8"/>
      <c r="P4" s="8"/>
      <c r="Q4" s="716" t="str">
        <f>IF(syn=1,"In","Ex")&amp;"cludes Cost Savings/Synergies"</f>
        <v>Includes Cost Savings/Synergies</v>
      </c>
    </row>
    <row r="5" spans="1:20" ht="12.75" customHeight="1">
      <c r="B5" s="506"/>
      <c r="C5" s="8"/>
      <c r="D5" s="8"/>
      <c r="E5" s="8"/>
      <c r="F5" s="8"/>
      <c r="G5" s="8"/>
      <c r="H5" s="8"/>
      <c r="I5" s="179"/>
      <c r="J5" s="8"/>
      <c r="K5" s="8"/>
      <c r="L5" s="8"/>
      <c r="M5" s="8"/>
      <c r="N5" s="8"/>
      <c r="O5" s="8"/>
      <c r="P5" s="8"/>
      <c r="Q5" s="8"/>
    </row>
    <row r="6" spans="1:20" s="4" customFormat="1" ht="15" customHeight="1" collapsed="1" thickBot="1">
      <c r="B6" s="628" t="s">
        <v>0</v>
      </c>
      <c r="C6" s="628"/>
      <c r="D6" s="628"/>
      <c r="E6" s="629"/>
      <c r="F6" s="629"/>
      <c r="G6" s="629"/>
      <c r="H6" s="629"/>
      <c r="I6" s="629"/>
      <c r="J6" s="629"/>
      <c r="K6" s="629"/>
      <c r="L6" s="629"/>
      <c r="M6" s="629"/>
      <c r="N6" s="629"/>
      <c r="O6" s="630"/>
      <c r="P6" s="630"/>
      <c r="Q6" s="630"/>
      <c r="R6" s="631"/>
    </row>
    <row r="7" spans="1:20" s="4" customFormat="1" ht="3" customHeight="1">
      <c r="B7" s="17"/>
      <c r="C7" s="17"/>
      <c r="D7" s="17"/>
      <c r="E7" s="17"/>
      <c r="F7" s="17"/>
      <c r="G7" s="17"/>
      <c r="H7" s="17"/>
      <c r="I7" s="18"/>
      <c r="J7" s="17"/>
      <c r="K7" s="17"/>
      <c r="L7" s="17"/>
      <c r="M7" s="17"/>
      <c r="N7" s="17"/>
      <c r="O7" s="17"/>
      <c r="P7" s="17"/>
      <c r="Q7" s="17"/>
    </row>
    <row r="8" spans="1:20" s="4" customFormat="1" ht="12.75" customHeight="1">
      <c r="B8" s="176" t="str">
        <f>'Tar LBO'!B8</f>
        <v>(Amounts in Millions, Except Per Share Data)</v>
      </c>
      <c r="I8" s="18"/>
    </row>
    <row r="9" spans="1:20" s="4" customFormat="1" ht="3" customHeight="1">
      <c r="I9" s="18"/>
    </row>
    <row r="10" spans="1:20" ht="12.75" customHeight="1">
      <c r="B10" s="166" t="s">
        <v>1</v>
      </c>
      <c r="C10" s="717"/>
      <c r="D10" s="717"/>
      <c r="E10" s="717"/>
      <c r="F10" s="717"/>
      <c r="G10" s="717"/>
      <c r="H10" s="717"/>
      <c r="I10" s="718"/>
      <c r="J10" s="166" t="s">
        <v>227</v>
      </c>
      <c r="K10" s="717"/>
      <c r="L10" s="717"/>
      <c r="M10" s="717"/>
      <c r="N10" s="717"/>
      <c r="O10" s="717"/>
      <c r="P10" s="717"/>
      <c r="Q10" s="96"/>
    </row>
    <row r="11" spans="1:20" ht="12.75" customHeight="1">
      <c r="B11" s="3" t="s">
        <v>135</v>
      </c>
      <c r="H11" s="719">
        <f>edate</f>
        <v>43830</v>
      </c>
      <c r="I11" s="18"/>
      <c r="M11" s="457" t="str">
        <f>'Acq Proj'!B7</f>
        <v>Fiscal Year Ended December 31,</v>
      </c>
      <c r="N11" s="720"/>
      <c r="O11" s="720"/>
      <c r="P11" s="721"/>
      <c r="Q11" s="96"/>
    </row>
    <row r="12" spans="1:20" ht="12.75" customHeight="1">
      <c r="B12" s="109" t="str">
        <f>"Current Price as of "&amp;TEXT(tdate, "m/d/y")&amp;":"</f>
        <v>Current Price as of 5/8/19:</v>
      </c>
      <c r="C12" s="109"/>
      <c r="E12" s="109"/>
      <c r="F12" s="109" t="str">
        <f>acq</f>
        <v>COLEMAN CO.</v>
      </c>
      <c r="G12" s="109"/>
      <c r="H12" s="108">
        <f>aprice</f>
        <v>27</v>
      </c>
      <c r="I12" s="18"/>
      <c r="J12" s="722" t="str">
        <f>"To " &amp;acq&amp;" Shareholders"</f>
        <v>To COLEMAN CO. Shareholders</v>
      </c>
      <c r="M12" s="723">
        <f>'Acq Proj'!M7</f>
        <v>2020</v>
      </c>
      <c r="N12" s="724">
        <f>M12+1</f>
        <v>2021</v>
      </c>
      <c r="O12" s="724">
        <f>N12+1</f>
        <v>2022</v>
      </c>
      <c r="P12" s="724">
        <f>O12+1</f>
        <v>2023</v>
      </c>
      <c r="Q12" s="96"/>
    </row>
    <row r="13" spans="1:20" ht="12.75" customHeight="1">
      <c r="E13" s="109"/>
      <c r="F13" s="109" t="str">
        <f>tar</f>
        <v>SG ENTERPRISES</v>
      </c>
      <c r="G13" s="109"/>
      <c r="H13" s="108">
        <f>tprice</f>
        <v>25</v>
      </c>
      <c r="I13" s="18"/>
      <c r="J13" s="3" t="s">
        <v>2</v>
      </c>
      <c r="M13" s="725">
        <f ca="1">'Acq Proj'!M26</f>
        <v>2.1640405822357822</v>
      </c>
      <c r="N13" s="726">
        <f ca="1">'Acq Proj'!N26</f>
        <v>2.4762479157706321</v>
      </c>
      <c r="O13" s="727">
        <f ca="1">'Acq Proj'!O26</f>
        <v>2.7895408393658023</v>
      </c>
      <c r="P13" s="727">
        <f ca="1">'Acq Proj'!P26</f>
        <v>3.1420904390886593</v>
      </c>
      <c r="Q13" s="96"/>
    </row>
    <row r="14" spans="1:20" ht="12.75" customHeight="1">
      <c r="B14" s="3" t="s">
        <v>146</v>
      </c>
      <c r="H14" s="728">
        <f ca="1">mergprice</f>
        <v>30</v>
      </c>
      <c r="I14" s="18"/>
      <c r="J14" s="263" t="s">
        <v>244</v>
      </c>
      <c r="K14" s="263"/>
      <c r="L14" s="263"/>
      <c r="M14" s="232" t="s">
        <v>127</v>
      </c>
      <c r="N14" s="729">
        <f ca="1">IF(AND(M13&gt;0,N13&gt;=0),N13/M13-1,"NM")</f>
        <v>0.14427055393401744</v>
      </c>
      <c r="O14" s="729">
        <f ca="1">IF(AND(N13&gt;0,O13&gt;=0),O13/N13-1,"NM")</f>
        <v>0.12651920738625666</v>
      </c>
      <c r="P14" s="729">
        <f ca="1">IF(AND(O13&gt;0,P13&gt;=0),P13/O13-1,"NM")</f>
        <v>0.12638266296291567</v>
      </c>
      <c r="Q14" s="96"/>
    </row>
    <row r="15" spans="1:20" ht="12.75" customHeight="1">
      <c r="B15" s="151" t="s">
        <v>344</v>
      </c>
      <c r="C15" s="730"/>
      <c r="G15" s="108">
        <f>tprice</f>
        <v>25</v>
      </c>
      <c r="H15" s="141">
        <f ca="1">H$14/G15-1</f>
        <v>0.19999999999999996</v>
      </c>
      <c r="I15" s="18"/>
      <c r="J15" s="3" t="s">
        <v>3</v>
      </c>
      <c r="M15" s="731">
        <f ca="1">M280</f>
        <v>2.6571492051681918</v>
      </c>
      <c r="N15" s="731">
        <f ca="1">N280</f>
        <v>3.3258329686735189</v>
      </c>
      <c r="O15" s="731">
        <f ca="1">O280</f>
        <v>3.8062700440329515</v>
      </c>
      <c r="P15" s="731">
        <f ca="1">P280</f>
        <v>4.3000024513078543</v>
      </c>
      <c r="Q15" s="96"/>
    </row>
    <row r="16" spans="1:20" ht="12.75" customHeight="1">
      <c r="B16" s="151" t="s">
        <v>345</v>
      </c>
      <c r="G16" s="126">
        <f>'Tar Spread Cover'!E12</f>
        <v>28.88</v>
      </c>
      <c r="H16" s="141">
        <f ca="1">H$14/G16-1</f>
        <v>3.8781163434903121E-2</v>
      </c>
      <c r="I16" s="18"/>
      <c r="J16" s="263" t="s">
        <v>244</v>
      </c>
      <c r="K16" s="263"/>
      <c r="L16" s="263"/>
      <c r="M16" s="232" t="s">
        <v>127</v>
      </c>
      <c r="N16" s="729">
        <f ca="1">IF(AND(M15&gt;0,N15&gt;=0),N15/M15-1,"NM")</f>
        <v>0.25165457860052731</v>
      </c>
      <c r="O16" s="729">
        <f ca="1">IF(AND(N15&gt;0,O15&gt;=0),O15/N15-1,"NM")</f>
        <v>0.14445616478179635</v>
      </c>
      <c r="P16" s="729">
        <f ca="1">IF(AND(O15&gt;0,P15&gt;=0),P15/O15-1,"NM")</f>
        <v>0.12971554870336166</v>
      </c>
      <c r="Q16" s="96"/>
    </row>
    <row r="17" spans="2:25" ht="12.75" customHeight="1">
      <c r="B17" s="151" t="s">
        <v>346</v>
      </c>
      <c r="G17" s="126">
        <f>'Tar Spread Cover'!E13</f>
        <v>15.5</v>
      </c>
      <c r="H17" s="141">
        <f ca="1">H$14/G17-1</f>
        <v>0.93548387096774199</v>
      </c>
      <c r="I17" s="18"/>
      <c r="J17" s="205" t="s">
        <v>6</v>
      </c>
      <c r="K17" s="205"/>
      <c r="L17" s="205"/>
      <c r="M17" s="732">
        <f ca="1">M15/M13-1</f>
        <v>0.22786477618777079</v>
      </c>
      <c r="N17" s="732">
        <f ca="1">N15/N13-1</f>
        <v>0.34309369732007933</v>
      </c>
      <c r="O17" s="732">
        <f ca="1">O15/O13-1</f>
        <v>0.36447905344103182</v>
      </c>
      <c r="P17" s="732">
        <f ca="1">P15/P13-1</f>
        <v>0.36851644937216999</v>
      </c>
      <c r="Q17" s="96"/>
    </row>
    <row r="18" spans="2:25" ht="12.75" customHeight="1">
      <c r="G18" s="109"/>
      <c r="I18" s="18"/>
      <c r="J18" s="205" t="s">
        <v>8</v>
      </c>
      <c r="K18" s="205"/>
      <c r="L18" s="205"/>
      <c r="M18" s="700">
        <f ca="1">M15-M13</f>
        <v>0.49310862293240953</v>
      </c>
      <c r="N18" s="700">
        <f ca="1">N15-N13</f>
        <v>0.84958505290288677</v>
      </c>
      <c r="O18" s="700">
        <f ca="1">O15-O13</f>
        <v>1.0167292046671492</v>
      </c>
      <c r="P18" s="700">
        <f ca="1">P15-P13</f>
        <v>1.157912012219195</v>
      </c>
      <c r="Q18" s="96"/>
    </row>
    <row r="19" spans="2:25" ht="12.75" customHeight="1">
      <c r="B19" s="3" t="s">
        <v>4</v>
      </c>
      <c r="C19" s="3" t="s">
        <v>7</v>
      </c>
      <c r="H19" s="733">
        <v>0.9</v>
      </c>
      <c r="I19" s="18"/>
      <c r="M19" s="253"/>
      <c r="N19" s="253"/>
      <c r="O19" s="253"/>
      <c r="P19" s="253"/>
      <c r="Q19" s="96"/>
    </row>
    <row r="20" spans="2:25" ht="12.75" customHeight="1">
      <c r="C20" s="3" t="s">
        <v>5</v>
      </c>
      <c r="H20" s="734">
        <f>1-H19</f>
        <v>9.9999999999999978E-2</v>
      </c>
      <c r="I20" s="18"/>
      <c r="J20" s="722" t="str">
        <f>"To "&amp;tar&amp;" Shareholders"</f>
        <v>To SG ENTERPRISES Shareholders</v>
      </c>
      <c r="M20" s="253"/>
      <c r="N20" s="253"/>
      <c r="O20" s="253"/>
      <c r="P20" s="253"/>
      <c r="Q20" s="96"/>
    </row>
    <row r="21" spans="2:25" ht="12.75" customHeight="1">
      <c r="I21" s="18"/>
      <c r="J21" s="3" t="s">
        <v>2</v>
      </c>
      <c r="M21" s="735">
        <f ca="1">'Tar Proj'!M26</f>
        <v>1.8201391601437822</v>
      </c>
      <c r="N21" s="735">
        <f ca="1">'Tar Proj'!N26</f>
        <v>2.0055836237636062</v>
      </c>
      <c r="O21" s="735">
        <f ca="1">'Tar Proj'!O26</f>
        <v>2.2096004071628967</v>
      </c>
      <c r="P21" s="735">
        <f ca="1">'Tar Proj'!P26</f>
        <v>2.4340468470412655</v>
      </c>
      <c r="Q21" s="96"/>
    </row>
    <row r="22" spans="2:25" ht="12.75" customHeight="1">
      <c r="B22" s="166" t="s">
        <v>9</v>
      </c>
      <c r="C22" s="717"/>
      <c r="D22" s="717"/>
      <c r="E22" s="717"/>
      <c r="F22" s="717"/>
      <c r="G22" s="717"/>
      <c r="H22" s="717"/>
      <c r="I22" s="718"/>
      <c r="J22" s="263" t="s">
        <v>244</v>
      </c>
      <c r="K22" s="263"/>
      <c r="L22" s="263"/>
      <c r="M22" s="232" t="s">
        <v>127</v>
      </c>
      <c r="N22" s="729">
        <f ca="1">IF(AND(M21&gt;0,N21&gt;=0),N21/M21-1,"NM")</f>
        <v>0.10188477215400105</v>
      </c>
      <c r="O22" s="729">
        <f ca="1">IF(AND(N21&gt;0,O21&gt;=0),O21/N21-1,"NM")</f>
        <v>0.10172439632132613</v>
      </c>
      <c r="P22" s="729">
        <f ca="1">IF(AND(O21&gt;0,P21&gt;=0),P21/O21-1,"NM")</f>
        <v>0.1015778414734072</v>
      </c>
      <c r="Q22" s="96"/>
      <c r="S22" s="736" t="s">
        <v>552</v>
      </c>
      <c r="T22" s="737"/>
      <c r="U22" s="737"/>
      <c r="V22" s="738"/>
      <c r="W22" s="739">
        <v>10</v>
      </c>
      <c r="X22" s="740"/>
      <c r="Y22" s="20"/>
    </row>
    <row r="23" spans="2:25" ht="12.75" customHeight="1">
      <c r="E23" s="104" t="s">
        <v>475</v>
      </c>
      <c r="F23" s="104" t="s">
        <v>10</v>
      </c>
      <c r="G23" s="104" t="s">
        <v>326</v>
      </c>
      <c r="H23" s="104" t="s">
        <v>11</v>
      </c>
      <c r="I23" s="18"/>
      <c r="J23" s="3" t="s">
        <v>3</v>
      </c>
      <c r="M23" s="731">
        <f ca="1">IF($H$20&gt;0,M280*$H$14/$H$12,"--    ")</f>
        <v>2.9523880057424354</v>
      </c>
      <c r="N23" s="731">
        <f ca="1">IF($H$20&gt;0,N280*$H$14/$H$12,"--    ")</f>
        <v>3.6953699651927989</v>
      </c>
      <c r="O23" s="731">
        <f ca="1">IF($H$20&gt;0,O280*$H$14/$H$12,"--    ")</f>
        <v>4.2291889378143912</v>
      </c>
      <c r="P23" s="731">
        <f ca="1">IF($H$20&gt;0,P280*$H$14/$H$12,"--    ")</f>
        <v>4.7777805014531722</v>
      </c>
      <c r="Q23" s="96"/>
      <c r="R23" s="741"/>
      <c r="S23" s="4"/>
      <c r="T23" s="4"/>
      <c r="U23" s="27" t="s">
        <v>561</v>
      </c>
      <c r="V23" s="27" t="s">
        <v>553</v>
      </c>
      <c r="W23" s="27" t="s">
        <v>560</v>
      </c>
      <c r="X23" s="27" t="s">
        <v>561</v>
      </c>
    </row>
    <row r="24" spans="2:25" ht="12.75" customHeight="1">
      <c r="B24" s="3" t="s">
        <v>12</v>
      </c>
      <c r="E24" s="742"/>
      <c r="F24" s="743"/>
      <c r="G24" s="744"/>
      <c r="H24" s="745">
        <f t="shared" ref="H24:H29" ca="1" si="0">+W24</f>
        <v>99.051549999999992</v>
      </c>
      <c r="I24" s="18"/>
      <c r="J24" s="205" t="s">
        <v>6</v>
      </c>
      <c r="K24" s="205"/>
      <c r="L24" s="205"/>
      <c r="M24" s="732">
        <f ca="1">IF($H$20&gt;0,M23/M21-1,"--    ")</f>
        <v>0.62206718606571321</v>
      </c>
      <c r="N24" s="732">
        <f ca="1">IF($H$20&gt;0,N23/N21-1,"--    ")</f>
        <v>0.84254095486589597</v>
      </c>
      <c r="O24" s="732">
        <f ca="1">IF($H$20&gt;0,O23/O21-1,"--    ")</f>
        <v>0.91400622669355158</v>
      </c>
      <c r="P24" s="732">
        <f ca="1">IF($H$20&gt;0,P23/P21-1,"--    ")</f>
        <v>0.96289586918216474</v>
      </c>
      <c r="Q24" s="96"/>
      <c r="S24" s="303" t="str">
        <f>+B24</f>
        <v>Excess Cash</v>
      </c>
      <c r="T24" s="746"/>
      <c r="U24" s="747"/>
      <c r="V24" s="748">
        <f ca="1">MIN((H19*H39+H42),MAX(0,(H116+J116-F367)))</f>
        <v>107.81245513598736</v>
      </c>
      <c r="W24" s="749">
        <f ca="1">$H43-SUM(W25:W29)</f>
        <v>99.051549999999992</v>
      </c>
      <c r="X24" s="750"/>
    </row>
    <row r="25" spans="2:25" ht="12.75" customHeight="1">
      <c r="B25" s="3" t="str">
        <f>TEXT(Q80,"$#,##0")&amp;"mm Revolver"</f>
        <v>$250mm Revolver</v>
      </c>
      <c r="E25" s="694"/>
      <c r="F25" s="751" t="str">
        <f>IF(U39="L","L+"&amp;W39&amp;" bps",V39)</f>
        <v>L+250 bps</v>
      </c>
      <c r="G25" s="752">
        <v>5</v>
      </c>
      <c r="H25" s="40">
        <f t="shared" si="0"/>
        <v>0</v>
      </c>
      <c r="I25" s="18"/>
      <c r="J25" s="205" t="s">
        <v>8</v>
      </c>
      <c r="K25" s="205"/>
      <c r="L25" s="205"/>
      <c r="M25" s="700">
        <f ca="1">M23-M21</f>
        <v>1.1322488455986532</v>
      </c>
      <c r="N25" s="700">
        <f ca="1">N23-N21</f>
        <v>1.6897863414291927</v>
      </c>
      <c r="O25" s="700">
        <f ca="1">O23-O21</f>
        <v>2.0195885306514945</v>
      </c>
      <c r="P25" s="700">
        <f ca="1">P23-P21</f>
        <v>2.3437336544119067</v>
      </c>
      <c r="Q25" s="96"/>
      <c r="S25" s="303" t="str">
        <f>+B25</f>
        <v>$250mm Revolver</v>
      </c>
      <c r="T25" s="746"/>
      <c r="U25" s="308">
        <v>0</v>
      </c>
      <c r="V25" s="753">
        <f>+U25*$L$250</f>
        <v>0</v>
      </c>
      <c r="W25" s="753">
        <f>ROUNDUP(V25/$W$22,0)*$W$22</f>
        <v>0</v>
      </c>
      <c r="X25" s="307">
        <f>+W25/$L$250</f>
        <v>0</v>
      </c>
    </row>
    <row r="26" spans="2:25" ht="12.75" customHeight="1">
      <c r="B26" s="1" t="s">
        <v>309</v>
      </c>
      <c r="E26" s="694">
        <v>99.5</v>
      </c>
      <c r="F26" s="751" t="str">
        <f>IF(U40="L","L+"&amp;W40&amp;" bps",V40)</f>
        <v>L+350 bps</v>
      </c>
      <c r="G26" s="752">
        <v>5</v>
      </c>
      <c r="H26" s="40">
        <f t="shared" si="0"/>
        <v>60</v>
      </c>
      <c r="I26" s="18"/>
      <c r="Q26" s="96"/>
      <c r="S26" s="303" t="str">
        <f>+B26</f>
        <v>Term Loan</v>
      </c>
      <c r="T26" s="4"/>
      <c r="U26" s="1356">
        <v>1</v>
      </c>
      <c r="V26" s="754">
        <f>+U26*$L$250</f>
        <v>60</v>
      </c>
      <c r="W26" s="754">
        <f>ROUNDUP(V26/$W$22,0)*$W$22</f>
        <v>60</v>
      </c>
      <c r="X26" s="307">
        <f>+W26/$L$250</f>
        <v>1</v>
      </c>
    </row>
    <row r="27" spans="2:25" ht="12.75" customHeight="1">
      <c r="B27" s="1" t="s">
        <v>459</v>
      </c>
      <c r="E27" s="694">
        <v>98</v>
      </c>
      <c r="F27" s="751">
        <f>IF(U41="L","L+"&amp;W41&amp;" bps",V41)</f>
        <v>0.05</v>
      </c>
      <c r="G27" s="752">
        <v>8</v>
      </c>
      <c r="H27" s="40">
        <f t="shared" ca="1" si="0"/>
        <v>40</v>
      </c>
      <c r="I27" s="18"/>
      <c r="J27" s="166" t="s">
        <v>13</v>
      </c>
      <c r="K27" s="717"/>
      <c r="L27" s="717"/>
      <c r="M27" s="717"/>
      <c r="N27" s="717"/>
      <c r="O27" s="717"/>
      <c r="P27" s="717"/>
      <c r="Q27" s="96"/>
      <c r="S27" s="303" t="str">
        <f>+B27</f>
        <v>Senior Notes</v>
      </c>
      <c r="T27" s="303"/>
      <c r="U27" s="1357">
        <f ca="1">+V27/$L$250</f>
        <v>0.52065158106687714</v>
      </c>
      <c r="V27" s="754">
        <f ca="1">H43-SUM(V29,V24:V26,V28)</f>
        <v>31.239094864012628</v>
      </c>
      <c r="W27" s="754">
        <f ca="1">ROUNDUP(V27/$W$22,0)*$W$22</f>
        <v>40</v>
      </c>
      <c r="X27" s="307">
        <f ca="1">+W27/$L$250</f>
        <v>0.66666666666666663</v>
      </c>
    </row>
    <row r="28" spans="2:25" ht="12.75" customHeight="1">
      <c r="B28" s="1" t="s">
        <v>138</v>
      </c>
      <c r="E28" s="694">
        <v>97</v>
      </c>
      <c r="F28" s="751">
        <f>IF(U42="L","L+"&amp;W42&amp;" bps",V42)</f>
        <v>0.08</v>
      </c>
      <c r="G28" s="752">
        <v>8</v>
      </c>
      <c r="H28" s="40">
        <f t="shared" si="0"/>
        <v>0</v>
      </c>
      <c r="I28" s="18"/>
      <c r="M28" s="724">
        <f>M12</f>
        <v>2020</v>
      </c>
      <c r="N28" s="724">
        <f>M28+1</f>
        <v>2021</v>
      </c>
      <c r="O28" s="724">
        <f>O12</f>
        <v>2022</v>
      </c>
      <c r="P28" s="724">
        <f>P12</f>
        <v>2023</v>
      </c>
      <c r="Q28" s="96"/>
      <c r="S28" s="303" t="str">
        <f>+B28</f>
        <v>Subordinated Notes</v>
      </c>
      <c r="T28" s="303"/>
      <c r="U28" s="308">
        <v>0</v>
      </c>
      <c r="V28" s="754">
        <f>+U28*$L$250</f>
        <v>0</v>
      </c>
      <c r="W28" s="754">
        <f>ROUNDUP(V28/$W$22,0)*$W$22</f>
        <v>0</v>
      </c>
      <c r="X28" s="307">
        <f>+W28/$L$250</f>
        <v>0</v>
      </c>
    </row>
    <row r="29" spans="2:25" ht="12.75" customHeight="1">
      <c r="B29" s="109" t="str">
        <f>acq&amp;" Common Equity Issued to "&amp;tar&amp;""</f>
        <v>COLEMAN CO. Common Equity Issued to SG ENTERPRISES</v>
      </c>
      <c r="H29" s="755">
        <f t="shared" ca="1" si="0"/>
        <v>21.377949999999995</v>
      </c>
      <c r="I29" s="756"/>
      <c r="J29" s="3" t="s">
        <v>13</v>
      </c>
      <c r="M29" s="757">
        <f>M77*syn</f>
        <v>2.5</v>
      </c>
      <c r="N29" s="758">
        <f>N77*syn</f>
        <v>5.6538461538461533</v>
      </c>
      <c r="O29" s="759">
        <f>O77*syn</f>
        <v>6.3217948717948707</v>
      </c>
      <c r="P29" s="759">
        <f>P77*syn</f>
        <v>7.0693589743589742</v>
      </c>
      <c r="Q29" s="96"/>
      <c r="S29" s="1" t="s">
        <v>580</v>
      </c>
      <c r="V29" s="161">
        <f ca="1">H39*H20</f>
        <v>21.377949999999995</v>
      </c>
      <c r="W29" s="161">
        <f ca="1">+V29</f>
        <v>21.377949999999995</v>
      </c>
    </row>
    <row r="30" spans="2:25" ht="12.75" customHeight="1">
      <c r="B30" s="151" t="s">
        <v>498</v>
      </c>
      <c r="H30" s="299">
        <f ca="1">SUM(H24:H29)</f>
        <v>220.42949999999999</v>
      </c>
      <c r="I30" s="718"/>
      <c r="J30" s="3" t="s">
        <v>535</v>
      </c>
      <c r="M30" s="343">
        <f ca="1">-H44</f>
        <v>-1.8398279062499998</v>
      </c>
      <c r="N30" s="128">
        <v>0</v>
      </c>
      <c r="O30" s="128">
        <v>0</v>
      </c>
      <c r="P30" s="128">
        <v>0</v>
      </c>
      <c r="Q30" s="96"/>
      <c r="S30" s="760" t="s">
        <v>581</v>
      </c>
      <c r="T30" s="4"/>
      <c r="U30" s="4"/>
      <c r="V30" s="761">
        <f ca="1">SUM(V24:V29)</f>
        <v>220.42949999999999</v>
      </c>
      <c r="W30" s="761">
        <f ca="1">SUM(W24:W29)</f>
        <v>220.42949999999999</v>
      </c>
      <c r="X30" s="762">
        <f ca="1">SUM(X24:X29)</f>
        <v>1.6666666666666665</v>
      </c>
    </row>
    <row r="31" spans="2:25" ht="12.75" customHeight="1">
      <c r="B31" s="3" t="s">
        <v>497</v>
      </c>
      <c r="H31" s="755">
        <f ca="1">+H45-H30</f>
        <v>1.839827906250008</v>
      </c>
      <c r="I31" s="718"/>
      <c r="J31" s="3" t="s">
        <v>67</v>
      </c>
      <c r="M31" s="763">
        <f ca="1">SUM(M29:M30)</f>
        <v>0.66017209375000019</v>
      </c>
      <c r="N31" s="763">
        <f>SUM(N29:N30)</f>
        <v>5.6538461538461533</v>
      </c>
      <c r="O31" s="763">
        <f>SUM(O29:O30)</f>
        <v>6.3217948717948707</v>
      </c>
      <c r="P31" s="763">
        <f>SUM(P29:P30)</f>
        <v>7.0693589743589742</v>
      </c>
      <c r="Q31" s="96"/>
      <c r="S31" s="1" t="s">
        <v>582</v>
      </c>
      <c r="T31" s="4"/>
      <c r="U31" s="146"/>
      <c r="V31" s="754">
        <f ca="1">+H45-H30</f>
        <v>1.839827906250008</v>
      </c>
      <c r="W31" s="754">
        <f ca="1">+V31</f>
        <v>1.839827906250008</v>
      </c>
      <c r="X31" s="4"/>
    </row>
    <row r="32" spans="2:25" ht="12.75" customHeight="1" thickBot="1">
      <c r="B32" s="151" t="s">
        <v>14</v>
      </c>
      <c r="H32" s="764">
        <f ca="1">SUM(H30:H31)</f>
        <v>222.26932790625</v>
      </c>
      <c r="I32" s="718"/>
      <c r="Q32" s="96"/>
      <c r="S32" s="760" t="s">
        <v>583</v>
      </c>
      <c r="T32" s="4"/>
      <c r="U32" s="4"/>
      <c r="V32" s="761">
        <f ca="1">SUM(V30:V31)</f>
        <v>222.26932790625</v>
      </c>
      <c r="W32" s="761">
        <f ca="1">SUM(W30:W31)</f>
        <v>222.26932790625</v>
      </c>
      <c r="X32" s="4"/>
    </row>
    <row r="33" spans="2:24" ht="12.75" customHeight="1" thickTop="1">
      <c r="I33" s="18"/>
      <c r="J33" s="166" t="s">
        <v>15</v>
      </c>
      <c r="K33" s="717"/>
      <c r="L33" s="717"/>
      <c r="M33" s="717"/>
      <c r="N33" s="717"/>
      <c r="O33" s="717"/>
      <c r="P33" s="717"/>
      <c r="Q33" s="96"/>
    </row>
    <row r="34" spans="2:24" ht="12.75" customHeight="1">
      <c r="B34" s="166" t="s">
        <v>16</v>
      </c>
      <c r="C34" s="717"/>
      <c r="D34" s="717"/>
      <c r="E34" s="717"/>
      <c r="F34" s="717"/>
      <c r="G34" s="717"/>
      <c r="H34" s="717"/>
      <c r="I34" s="18"/>
      <c r="M34" s="765" t="str">
        <f>acq</f>
        <v>COLEMAN CO.</v>
      </c>
      <c r="N34" s="104"/>
      <c r="O34" s="766" t="str">
        <f>tar</f>
        <v>SG ENTERPRISES</v>
      </c>
      <c r="P34" s="8"/>
      <c r="Q34" s="96"/>
    </row>
    <row r="35" spans="2:24" ht="12.75" customHeight="1">
      <c r="B35" s="109" t="str">
        <f>tar&amp;" Shares Outstanding (a)"</f>
        <v>SG ENTERPRISES Shares Outstanding (a)</v>
      </c>
      <c r="H35" s="115">
        <f>tshares+trsu</f>
        <v>7.0926499999999999</v>
      </c>
      <c r="I35" s="18"/>
      <c r="M35" s="767" t="s">
        <v>17</v>
      </c>
      <c r="N35" s="104"/>
      <c r="O35" s="767" t="s">
        <v>17</v>
      </c>
      <c r="P35" s="767" t="s">
        <v>17</v>
      </c>
      <c r="Q35" s="96"/>
    </row>
    <row r="36" spans="2:24" ht="12.75" customHeight="1">
      <c r="B36" s="109" t="str">
        <f>tar&amp; " Option Equivalent Shares (b)"</f>
        <v>SG ENTERPRISES Option Equivalent Shares (b)</v>
      </c>
      <c r="H36" s="268">
        <f ca="1">D106</f>
        <v>3.3333333333333333E-2</v>
      </c>
      <c r="I36" s="18"/>
      <c r="M36" s="104" t="s">
        <v>18</v>
      </c>
      <c r="N36" s="104"/>
      <c r="O36" s="104" t="s">
        <v>18</v>
      </c>
      <c r="P36" s="104" t="s">
        <v>19</v>
      </c>
      <c r="Q36" s="96"/>
      <c r="S36" s="768" t="s">
        <v>563</v>
      </c>
      <c r="T36" s="178"/>
      <c r="U36" s="178"/>
      <c r="V36" s="178"/>
      <c r="W36" s="178"/>
      <c r="X36" s="178"/>
    </row>
    <row r="37" spans="2:24" ht="12.75" customHeight="1">
      <c r="B37" s="151" t="s">
        <v>20</v>
      </c>
      <c r="H37" s="161">
        <f ca="1">SUM(H35:H36)</f>
        <v>7.1259833333333331</v>
      </c>
      <c r="I37" s="18"/>
      <c r="J37" s="109" t="str">
        <f>"Stock Price at "&amp;TEXT(tdate,"mmmm d, yyyy")</f>
        <v>Stock Price at May 8, 2019</v>
      </c>
      <c r="M37" s="769">
        <f>aprice</f>
        <v>27</v>
      </c>
      <c r="N37" s="382"/>
      <c r="O37" s="770">
        <f>tprice</f>
        <v>25</v>
      </c>
      <c r="P37" s="771">
        <f ca="1">H14</f>
        <v>30</v>
      </c>
      <c r="S37" s="151"/>
      <c r="U37" s="142" t="s">
        <v>466</v>
      </c>
      <c r="W37" s="363" t="s">
        <v>460</v>
      </c>
      <c r="X37" s="363"/>
    </row>
    <row r="38" spans="2:24" ht="12.75" customHeight="1">
      <c r="B38" s="3" t="s">
        <v>147</v>
      </c>
      <c r="H38" s="592">
        <f ca="1">H14</f>
        <v>30</v>
      </c>
      <c r="I38" s="18"/>
      <c r="J38" s="3" t="s">
        <v>172</v>
      </c>
      <c r="M38" s="354">
        <f>adshares*aprice</f>
        <v>331.66248999999999</v>
      </c>
      <c r="N38" s="298"/>
      <c r="O38" s="354">
        <f>tdshares*tprice</f>
        <v>172.81624999999997</v>
      </c>
      <c r="P38" s="298">
        <f ca="1">H39</f>
        <v>213.77949999999998</v>
      </c>
      <c r="S38" s="379"/>
      <c r="U38" s="142" t="s">
        <v>463</v>
      </c>
      <c r="V38" s="104" t="s">
        <v>467</v>
      </c>
      <c r="W38" s="104" t="s">
        <v>461</v>
      </c>
      <c r="X38" s="104" t="s">
        <v>462</v>
      </c>
    </row>
    <row r="39" spans="2:24" ht="12.75" customHeight="1">
      <c r="B39" s="3" t="s">
        <v>21</v>
      </c>
      <c r="H39" s="153">
        <f ca="1">H37*H38</f>
        <v>213.77949999999998</v>
      </c>
      <c r="I39" s="18"/>
      <c r="J39" s="3" t="s">
        <v>604</v>
      </c>
      <c r="M39" s="355">
        <f>acqnetdebt</f>
        <v>-60.460976388888945</v>
      </c>
      <c r="N39" s="310"/>
      <c r="O39" s="355">
        <f>tarnetdebt</f>
        <v>-29.796709375000002</v>
      </c>
      <c r="P39" s="355">
        <f>tarnetdebt</f>
        <v>-29.796709375000002</v>
      </c>
      <c r="S39" s="160" t="str">
        <f>+B25</f>
        <v>$250mm Revolver</v>
      </c>
      <c r="U39" s="772" t="s">
        <v>464</v>
      </c>
      <c r="V39" s="773">
        <v>0</v>
      </c>
      <c r="W39" s="774">
        <v>250</v>
      </c>
      <c r="X39" s="774">
        <v>0</v>
      </c>
    </row>
    <row r="40" spans="2:24" ht="12.75" customHeight="1">
      <c r="B40" s="109" t="str">
        <f>tar&amp;" Debt Refinanced "</f>
        <v xml:space="preserve">SG ENTERPRISES Debt Refinanced </v>
      </c>
      <c r="H40" s="161">
        <f ca="1">J133</f>
        <v>0</v>
      </c>
      <c r="I40" s="18"/>
      <c r="J40" s="3" t="s">
        <v>23</v>
      </c>
      <c r="M40" s="775">
        <f>SUM(M38:M39)</f>
        <v>271.20151361111107</v>
      </c>
      <c r="N40" s="299"/>
      <c r="O40" s="776">
        <f>SUM(O38:O39)</f>
        <v>143.01954062499996</v>
      </c>
      <c r="P40" s="777">
        <f ca="1">SUM(P38:P39)</f>
        <v>183.98279062499998</v>
      </c>
      <c r="S40" s="160" t="str">
        <f>+B26</f>
        <v>Term Loan</v>
      </c>
      <c r="U40" s="778" t="s">
        <v>464</v>
      </c>
      <c r="V40" s="779">
        <v>0</v>
      </c>
      <c r="W40" s="780">
        <v>350</v>
      </c>
      <c r="X40" s="780">
        <v>0.02</v>
      </c>
    </row>
    <row r="41" spans="2:24" ht="12.75" customHeight="1">
      <c r="B41" s="1" t="s">
        <v>564</v>
      </c>
      <c r="H41" s="161">
        <f ca="1">+O109</f>
        <v>1.100000000000001</v>
      </c>
      <c r="I41" s="18"/>
      <c r="S41" s="160" t="str">
        <f>+B27</f>
        <v>Senior Notes</v>
      </c>
      <c r="U41" s="778" t="s">
        <v>465</v>
      </c>
      <c r="V41" s="779">
        <v>0.05</v>
      </c>
      <c r="W41" s="780">
        <v>0</v>
      </c>
      <c r="X41" s="780">
        <v>0</v>
      </c>
    </row>
    <row r="42" spans="2:24" ht="12.75" customHeight="1">
      <c r="B42" s="3" t="str">
        <f ca="1">"Illustrative Financing Fees at "&amp;TEXT(N101,"0.0%")</f>
        <v>Illustrative Financing Fees at 1.6%</v>
      </c>
      <c r="H42" s="161">
        <f ca="1">O101</f>
        <v>5.5500000000000007</v>
      </c>
      <c r="I42" s="18"/>
      <c r="S42" s="160" t="str">
        <f>+B28</f>
        <v>Subordinated Notes</v>
      </c>
      <c r="U42" s="778" t="s">
        <v>465</v>
      </c>
      <c r="V42" s="779">
        <v>0.08</v>
      </c>
      <c r="W42" s="780">
        <v>0</v>
      </c>
      <c r="X42" s="780">
        <v>0</v>
      </c>
    </row>
    <row r="43" spans="2:24" ht="12.75" customHeight="1">
      <c r="B43" s="151" t="s">
        <v>499</v>
      </c>
      <c r="H43" s="381">
        <f ca="1">SUM(H39:H42)</f>
        <v>220.42949999999999</v>
      </c>
      <c r="I43" s="718"/>
      <c r="L43" s="781" t="str">
        <f>acq</f>
        <v>COLEMAN CO.</v>
      </c>
      <c r="M43" s="104"/>
      <c r="N43" s="781" t="str">
        <f>tar</f>
        <v>SG ENTERPRISES</v>
      </c>
      <c r="O43" s="104"/>
    </row>
    <row r="44" spans="2:24" ht="12.75" customHeight="1">
      <c r="B44" s="3" t="str">
        <f>"Illustrative Advisory Fees and Expenses at "&amp;TEXT(Q92,"0.0%")</f>
        <v>Illustrative Advisory Fees and Expenses at 1.0%</v>
      </c>
      <c r="G44" s="782"/>
      <c r="H44" s="161">
        <f ca="1">+Q92*P40</f>
        <v>1.8398279062499998</v>
      </c>
      <c r="I44" s="18"/>
      <c r="L44" s="104" t="s">
        <v>24</v>
      </c>
      <c r="M44" s="783" t="s">
        <v>25</v>
      </c>
      <c r="N44" s="104" t="s">
        <v>24</v>
      </c>
      <c r="O44" s="784" t="s">
        <v>25</v>
      </c>
      <c r="P44" s="785"/>
    </row>
    <row r="45" spans="2:24" ht="12.75" customHeight="1" thickBot="1">
      <c r="B45" s="151" t="s">
        <v>22</v>
      </c>
      <c r="H45" s="297">
        <f ca="1">SUM(H43:H44)</f>
        <v>222.26932790625</v>
      </c>
      <c r="I45" s="18"/>
      <c r="J45" s="109" t="str">
        <f>TEXT(afy+1,"0000")&amp;"E P/E Multiple"</f>
        <v>2019E P/E Multiple</v>
      </c>
      <c r="L45" s="786">
        <f ca="1">'Acq Proj'!L26</f>
        <v>1.8393463904462517</v>
      </c>
      <c r="M45" s="787">
        <f ca="1">$M$37/L45</f>
        <v>14.679127401038047</v>
      </c>
      <c r="N45" s="788">
        <f ca="1">'Tar Proj'!L26</f>
        <v>1.6513782387494556</v>
      </c>
      <c r="O45" s="789">
        <f t="shared" ref="O45:P47" ca="1" si="1">O$37/$N45</f>
        <v>15.138869710994756</v>
      </c>
      <c r="P45" s="790">
        <f t="shared" ca="1" si="1"/>
        <v>18.166643653193709</v>
      </c>
    </row>
    <row r="46" spans="2:24" ht="12.75" customHeight="1" thickTop="1">
      <c r="I46" s="18"/>
      <c r="J46" s="109" t="str">
        <f>TEXT(afy+2,"0000")&amp;"E P/E Multiple"</f>
        <v>2020E P/E Multiple</v>
      </c>
      <c r="L46" s="126">
        <f ca="1">'Acq Proj'!M26</f>
        <v>2.1640405822357822</v>
      </c>
      <c r="M46" s="791">
        <f ca="1">$M$37/L46</f>
        <v>12.476660660450694</v>
      </c>
      <c r="N46" s="448">
        <f ca="1">'Tar Proj'!M26</f>
        <v>1.8201391601437822</v>
      </c>
      <c r="O46" s="792">
        <f t="shared" ca="1" si="1"/>
        <v>13.73521351962183</v>
      </c>
      <c r="P46" s="793">
        <f t="shared" ca="1" si="1"/>
        <v>16.482256223546194</v>
      </c>
    </row>
    <row r="47" spans="2:24" ht="12.75" customHeight="1">
      <c r="B47" s="166" t="str">
        <f>"Pro Forma Ownership"</f>
        <v>Pro Forma Ownership</v>
      </c>
      <c r="C47" s="717"/>
      <c r="D47" s="717"/>
      <c r="E47" s="717"/>
      <c r="F47" s="717"/>
      <c r="G47" s="717"/>
      <c r="H47" s="717"/>
      <c r="I47" s="18"/>
      <c r="J47" s="109" t="str">
        <f>TEXT(afy+3,"0000")&amp;"E P/E Multiple"</f>
        <v>2021E P/E Multiple</v>
      </c>
      <c r="L47" s="126">
        <f ca="1">'Acq Proj'!N26</f>
        <v>2.4762479157706321</v>
      </c>
      <c r="M47" s="791">
        <f ca="1">$M$37/L47</f>
        <v>10.903593225881561</v>
      </c>
      <c r="N47" s="448">
        <f ca="1">'Tar Proj'!N26</f>
        <v>2.0055836237636062</v>
      </c>
      <c r="O47" s="792">
        <f t="shared" ca="1" si="1"/>
        <v>12.465199507904785</v>
      </c>
      <c r="P47" s="793">
        <f t="shared" ca="1" si="1"/>
        <v>14.958239409485742</v>
      </c>
    </row>
    <row r="48" spans="2:24" ht="12.75" customHeight="1">
      <c r="B48" s="109" t="str">
        <f>acq&amp;" Shares Outstanding"</f>
        <v>COLEMAN CO. Shares Outstanding</v>
      </c>
      <c r="C48" s="109"/>
      <c r="D48" s="109"/>
      <c r="E48" s="235"/>
      <c r="F48" s="140">
        <f>'Acq Proj'!L206</f>
        <v>12.283795925925926</v>
      </c>
      <c r="G48" s="794" t="str">
        <f>aticker</f>
        <v>COLE</v>
      </c>
      <c r="H48" s="150">
        <f ca="1">F48/F$50</f>
        <v>0.93944617222888127</v>
      </c>
      <c r="I48" s="18"/>
      <c r="M48" s="795"/>
      <c r="O48" s="638"/>
      <c r="P48" s="639"/>
    </row>
    <row r="49" spans="2:19" ht="12.75" customHeight="1">
      <c r="B49" s="109" t="str">
        <f>"Shares Issued to "&amp;tar&amp;""</f>
        <v>Shares Issued to SG ENTERPRISES</v>
      </c>
      <c r="C49" s="109"/>
      <c r="D49" s="109"/>
      <c r="E49" s="109"/>
      <c r="F49" s="143">
        <f ca="1">H29/aprice</f>
        <v>0.79177592592592572</v>
      </c>
      <c r="G49" s="796" t="str">
        <f>tticker</f>
        <v>SG ENTERPRISES</v>
      </c>
      <c r="H49" s="797">
        <f ca="1">F49/F$50</f>
        <v>6.0553827771118784E-2</v>
      </c>
      <c r="I49" s="718"/>
      <c r="J49" s="3" t="s">
        <v>261</v>
      </c>
      <c r="L49" s="352">
        <f>'Acq Spread Cover'!J10</f>
        <v>102.5</v>
      </c>
      <c r="M49" s="798">
        <f>$M$40/L49</f>
        <v>2.6458684254742542</v>
      </c>
      <c r="N49" s="352">
        <f>'Tar Spread Cover'!J10</f>
        <v>50</v>
      </c>
      <c r="O49" s="799">
        <f>$O$40/N49</f>
        <v>2.860390812499999</v>
      </c>
      <c r="P49" s="800">
        <f ca="1">$P$40/N49</f>
        <v>3.6796558124999996</v>
      </c>
    </row>
    <row r="50" spans="2:19" ht="12.75" customHeight="1">
      <c r="B50" s="3" t="s">
        <v>26</v>
      </c>
      <c r="F50" s="161">
        <f ca="1">SUM(F48:F49)</f>
        <v>13.075571851851851</v>
      </c>
      <c r="H50" s="141">
        <f ca="1">SUM(H48:H49)</f>
        <v>1</v>
      </c>
      <c r="I50" s="18"/>
      <c r="J50" s="109" t="str">
        <f>TEXT(afy+1,"0000")&amp;"E Net Sales Multiple"</f>
        <v>2019E Net Sales Multiple</v>
      </c>
      <c r="L50" s="103">
        <f>'Acq Proj'!L8</f>
        <v>120</v>
      </c>
      <c r="M50" s="798">
        <f>$M$40/L50</f>
        <v>2.2600126134259257</v>
      </c>
      <c r="N50" s="103">
        <f>'Tar Proj'!L8</f>
        <v>50</v>
      </c>
      <c r="O50" s="799">
        <f>$O$40/N50</f>
        <v>2.860390812499999</v>
      </c>
      <c r="P50" s="800">
        <f ca="1">$P$40/N50</f>
        <v>3.6796558124999996</v>
      </c>
    </row>
    <row r="51" spans="2:19" ht="12.75" customHeight="1">
      <c r="I51" s="18"/>
      <c r="L51" s="253"/>
      <c r="M51" s="795"/>
      <c r="N51" s="253"/>
      <c r="O51" s="638"/>
      <c r="P51" s="639"/>
    </row>
    <row r="52" spans="2:19" ht="12.75" customHeight="1">
      <c r="B52" s="166" t="s">
        <v>280</v>
      </c>
      <c r="C52" s="717"/>
      <c r="D52" s="717"/>
      <c r="E52" s="717"/>
      <c r="F52" s="717"/>
      <c r="G52" s="717"/>
      <c r="H52" s="717"/>
      <c r="I52" s="18"/>
      <c r="J52" s="3" t="s">
        <v>27</v>
      </c>
      <c r="L52" s="352">
        <f>'Acq Spread Cover'!J11</f>
        <v>32.321874999999991</v>
      </c>
      <c r="M52" s="791">
        <f>$M$40/L52</f>
        <v>8.3906491690569052</v>
      </c>
      <c r="N52" s="352">
        <f>'Tar Spread Cover'!J11</f>
        <v>14.471250000000001</v>
      </c>
      <c r="O52" s="792">
        <f>$O$40/N52</f>
        <v>9.8830122225101462</v>
      </c>
      <c r="P52" s="793">
        <f ca="1">$P$40/N52</f>
        <v>12.713676470588233</v>
      </c>
    </row>
    <row r="53" spans="2:19" ht="12.75" customHeight="1">
      <c r="G53" s="781" t="str">
        <f>acq</f>
        <v>COLEMAN CO.</v>
      </c>
      <c r="H53" s="104" t="s">
        <v>281</v>
      </c>
      <c r="I53" s="18"/>
      <c r="J53" s="109" t="str">
        <f>TEXT(afy+1,"0000")&amp;"E EBITDA Multiple"</f>
        <v>2019E EBITDA Multiple</v>
      </c>
      <c r="L53" s="103">
        <f>'Acq Proj'!L36</f>
        <v>40</v>
      </c>
      <c r="M53" s="801">
        <f>$M$40/L53</f>
        <v>6.7800378402777763</v>
      </c>
      <c r="N53" s="103">
        <f>'Tar Proj'!L36</f>
        <v>20.000000000000004</v>
      </c>
      <c r="O53" s="802">
        <f>$O$40/N53</f>
        <v>7.1509770312499965</v>
      </c>
      <c r="P53" s="803">
        <f ca="1">$P$40/N53</f>
        <v>9.1991395312499975</v>
      </c>
    </row>
    <row r="54" spans="2:19" ht="12.75" customHeight="1">
      <c r="G54" s="104" t="s">
        <v>2</v>
      </c>
      <c r="H54" s="104" t="s">
        <v>282</v>
      </c>
      <c r="I54" s="18"/>
      <c r="J54" s="4"/>
      <c r="K54" s="4"/>
      <c r="L54" s="147"/>
      <c r="M54" s="804"/>
      <c r="N54" s="804"/>
      <c r="O54" s="804"/>
      <c r="P54" s="804"/>
      <c r="R54" s="4"/>
    </row>
    <row r="55" spans="2:19" s="4" customFormat="1" ht="12.75" customHeight="1">
      <c r="B55" s="3" t="str">
        <f>+B145</f>
        <v>Total Debt / Total Capitalization</v>
      </c>
      <c r="C55" s="3"/>
      <c r="D55" s="3"/>
      <c r="F55" s="3"/>
      <c r="G55" s="805">
        <f t="shared" ref="G55:G62" ca="1" si="2">H145</f>
        <v>0</v>
      </c>
      <c r="H55" s="806">
        <f t="shared" ref="H55:H62" ca="1" si="3">P145</f>
        <v>0.45258861904959424</v>
      </c>
      <c r="I55" s="179"/>
    </row>
    <row r="56" spans="2:19" s="4" customFormat="1" ht="12.75" customHeight="1">
      <c r="B56" s="3" t="str">
        <f t="shared" ref="B56:B62" si="4">+B146</f>
        <v>Net Debt / Net Capitalization</v>
      </c>
      <c r="C56" s="3"/>
      <c r="D56" s="3"/>
      <c r="F56" s="3"/>
      <c r="G56" s="200">
        <f t="shared" ca="1" si="2"/>
        <v>-3.4064843150152959</v>
      </c>
      <c r="H56" s="200">
        <f t="shared" ca="1" si="3"/>
        <v>0.376636990516794</v>
      </c>
      <c r="I56" s="179"/>
    </row>
    <row r="57" spans="2:19" s="4" customFormat="1" ht="12.75" customHeight="1">
      <c r="B57" s="4" t="str">
        <f t="shared" si="4"/>
        <v>Total Debt / EBITDA</v>
      </c>
      <c r="G57" s="112" t="str">
        <f t="shared" ca="1" si="2"/>
        <v>NM</v>
      </c>
      <c r="H57" s="112">
        <f t="shared" ca="1" si="3"/>
        <v>1.6666666666666667</v>
      </c>
      <c r="I57" s="179"/>
      <c r="J57" s="3"/>
      <c r="K57" s="3"/>
      <c r="L57" s="217"/>
      <c r="M57" s="804"/>
      <c r="N57" s="217"/>
      <c r="O57" s="804"/>
      <c r="P57" s="804"/>
      <c r="Q57" s="804"/>
      <c r="S57" s="807" t="s">
        <v>573</v>
      </c>
    </row>
    <row r="58" spans="2:19" s="4" customFormat="1" ht="12.75" customHeight="1">
      <c r="B58" s="10" t="str">
        <f t="shared" si="4"/>
        <v>Sr. Secured Debt / EBITDA</v>
      </c>
      <c r="G58" s="112" t="str">
        <f t="shared" ca="1" si="2"/>
        <v>NM</v>
      </c>
      <c r="H58" s="112">
        <f t="shared" ca="1" si="3"/>
        <v>1</v>
      </c>
      <c r="I58" s="179"/>
      <c r="J58" s="3"/>
      <c r="K58" s="3"/>
      <c r="L58" s="217"/>
      <c r="M58" s="804"/>
      <c r="N58" s="217"/>
      <c r="O58" s="804"/>
      <c r="P58" s="804"/>
      <c r="Q58" s="804"/>
      <c r="S58" s="807" t="s">
        <v>574</v>
      </c>
    </row>
    <row r="59" spans="2:19" s="4" customFormat="1" ht="12.75" customHeight="1">
      <c r="B59" s="3" t="str">
        <f t="shared" si="4"/>
        <v>Net Debt / EBITDA</v>
      </c>
      <c r="G59" s="112" t="str">
        <f t="shared" ca="1" si="2"/>
        <v>NM</v>
      </c>
      <c r="H59" s="112">
        <f t="shared" ca="1" si="3"/>
        <v>1.217982046171044</v>
      </c>
      <c r="I59" s="179"/>
      <c r="J59" s="3"/>
      <c r="K59" s="3"/>
      <c r="L59" s="217"/>
      <c r="M59" s="804"/>
      <c r="N59" s="217"/>
      <c r="O59" s="804"/>
      <c r="P59" s="804"/>
      <c r="Q59" s="804"/>
    </row>
    <row r="60" spans="2:19" s="4" customFormat="1" ht="12.75" customHeight="1">
      <c r="B60" s="10" t="str">
        <f>+B150&amp;" (c)"</f>
        <v>Adjusted Debt / EBITDAR (c)</v>
      </c>
      <c r="G60" s="112">
        <f t="shared" ca="1" si="2"/>
        <v>0.85714285714285721</v>
      </c>
      <c r="H60" s="112">
        <f t="shared" ca="1" si="3"/>
        <v>2.2558417837122882</v>
      </c>
      <c r="I60" s="179"/>
      <c r="J60" s="3"/>
      <c r="K60" s="3"/>
      <c r="L60" s="217"/>
      <c r="M60" s="804"/>
      <c r="N60" s="217"/>
      <c r="O60" s="804"/>
      <c r="P60" s="804"/>
      <c r="Q60" s="804"/>
      <c r="S60" s="807" t="s">
        <v>591</v>
      </c>
    </row>
    <row r="61" spans="2:19" s="4" customFormat="1" ht="12.75" customHeight="1">
      <c r="B61" s="10" t="str">
        <f t="shared" si="4"/>
        <v>EBITDA / Net Interest Expense</v>
      </c>
      <c r="G61" s="112" t="str">
        <f t="shared" ca="1" si="2"/>
        <v>NM</v>
      </c>
      <c r="H61" s="112">
        <f t="shared" ca="1" si="3"/>
        <v>8.7396464493929606</v>
      </c>
      <c r="I61" s="179"/>
      <c r="J61" s="3"/>
      <c r="K61" s="3"/>
      <c r="L61" s="217"/>
      <c r="M61" s="804"/>
      <c r="N61" s="217"/>
      <c r="O61" s="804"/>
      <c r="P61" s="804"/>
      <c r="Q61" s="804"/>
    </row>
    <row r="62" spans="2:19" s="4" customFormat="1" ht="12.75" customHeight="1">
      <c r="B62" s="10" t="str">
        <f t="shared" si="4"/>
        <v>(EBITDA - Capital Expenditures) / Net Interest Expense</v>
      </c>
      <c r="G62" s="112" t="str">
        <f t="shared" ca="1" si="2"/>
        <v>NM</v>
      </c>
      <c r="H62" s="112">
        <f t="shared" ca="1" si="3"/>
        <v>7.2903217465352945</v>
      </c>
      <c r="I62" s="179"/>
      <c r="J62" s="3"/>
      <c r="K62" s="3"/>
      <c r="L62" s="217"/>
      <c r="M62" s="804"/>
      <c r="N62" s="217"/>
      <c r="O62" s="804"/>
      <c r="P62" s="804"/>
      <c r="Q62" s="804"/>
    </row>
    <row r="63" spans="2:19" s="4" customFormat="1" ht="12.75" customHeight="1">
      <c r="B63" s="17" t="s">
        <v>283</v>
      </c>
      <c r="C63" s="3"/>
      <c r="D63" s="3"/>
      <c r="F63" s="3"/>
      <c r="G63" s="808" t="str">
        <f>'Acq Spread Cover'!O17</f>
        <v>BBB</v>
      </c>
      <c r="H63" s="253"/>
      <c r="I63" s="179"/>
      <c r="J63" s="3"/>
      <c r="K63" s="3"/>
      <c r="L63" s="217"/>
      <c r="M63" s="804"/>
      <c r="N63" s="217"/>
      <c r="O63" s="804"/>
      <c r="P63" s="804"/>
      <c r="Q63" s="804"/>
    </row>
    <row r="64" spans="2:19" s="4" customFormat="1" ht="12.75" customHeight="1">
      <c r="B64" s="17"/>
      <c r="C64" s="3"/>
      <c r="D64" s="3"/>
      <c r="E64" s="3"/>
      <c r="F64" s="357"/>
      <c r="G64" s="253"/>
      <c r="H64" s="253"/>
      <c r="I64" s="179"/>
      <c r="J64" s="3"/>
      <c r="K64" s="3"/>
      <c r="L64" s="217"/>
      <c r="M64" s="804"/>
      <c r="N64" s="217"/>
      <c r="O64" s="804"/>
      <c r="P64" s="804"/>
      <c r="Q64" s="804"/>
    </row>
    <row r="65" spans="2:24" s="4" customFormat="1" ht="12.75" customHeight="1">
      <c r="B65" s="250" t="str">
        <f>"(a) Includes "&amp;FIXED(trsu,1)&amp;"mm Restricted Stock Units."</f>
        <v>(a) Includes 0.2mm Restricted Stock Units.</v>
      </c>
      <c r="C65" s="156"/>
      <c r="D65" s="156"/>
      <c r="E65" s="156"/>
      <c r="F65" s="809"/>
      <c r="G65" s="252"/>
      <c r="H65" s="810"/>
      <c r="I65" s="811"/>
      <c r="J65" s="156"/>
      <c r="K65" s="156"/>
      <c r="L65" s="812"/>
      <c r="M65" s="813"/>
      <c r="N65" s="812"/>
      <c r="O65" s="813"/>
      <c r="P65" s="813"/>
      <c r="Q65" s="813"/>
    </row>
    <row r="66" spans="2:24" s="4" customFormat="1" ht="12.75" customHeight="1">
      <c r="B66" s="814" t="s">
        <v>534</v>
      </c>
      <c r="F66" s="815"/>
      <c r="G66" s="249"/>
      <c r="H66" s="249"/>
      <c r="I66" s="279"/>
      <c r="L66" s="147"/>
      <c r="M66" s="804"/>
      <c r="N66" s="147"/>
      <c r="O66" s="804"/>
      <c r="P66" s="804"/>
      <c r="Q66" s="804"/>
    </row>
    <row r="67" spans="2:24" s="4" customFormat="1" ht="12.75" customHeight="1">
      <c r="B67" s="360" t="str">
        <f>"(c) Assumes "&amp;TEXT(E186,"0.0 x")&amp;" rent methodology."</f>
        <v>(c) Assumes 8.0 x rent methodology.</v>
      </c>
      <c r="F67" s="815"/>
      <c r="G67" s="249"/>
      <c r="H67" s="249"/>
      <c r="I67" s="279"/>
      <c r="L67" s="147"/>
      <c r="M67" s="804"/>
      <c r="N67" s="147"/>
      <c r="O67" s="804"/>
      <c r="P67" s="804"/>
      <c r="Q67" s="804"/>
    </row>
    <row r="68" spans="2:24" s="4" customFormat="1" ht="12.75" customHeight="1">
      <c r="B68" s="361" t="str">
        <f>"(d) "&amp;acqnetdebtfn</f>
        <v>(d) Net cash represents total cash less debt, minority interest and preferred stock as of March 31, 2019.</v>
      </c>
      <c r="F68" s="815"/>
      <c r="G68" s="249"/>
      <c r="H68" s="249"/>
      <c r="I68" s="279"/>
      <c r="L68" s="147"/>
      <c r="M68" s="804"/>
      <c r="N68" s="147"/>
      <c r="O68" s="804"/>
      <c r="P68" s="804"/>
      <c r="Q68" s="804"/>
    </row>
    <row r="69" spans="2:24" s="4" customFormat="1" ht="12.75" customHeight="1">
      <c r="I69" s="816"/>
      <c r="M69" s="295"/>
      <c r="N69" s="804"/>
      <c r="O69" s="295"/>
      <c r="P69" s="804"/>
      <c r="Q69" s="804"/>
    </row>
    <row r="70" spans="2:24" s="4" customFormat="1" ht="15.95" customHeight="1" collapsed="1" thickBot="1">
      <c r="B70" s="817" t="s">
        <v>369</v>
      </c>
      <c r="C70" s="817"/>
      <c r="D70" s="817"/>
      <c r="E70" s="818"/>
      <c r="F70" s="818"/>
      <c r="G70" s="818"/>
      <c r="H70" s="818"/>
      <c r="I70" s="818"/>
      <c r="J70" s="818"/>
      <c r="K70" s="818"/>
      <c r="L70" s="818"/>
      <c r="M70" s="818"/>
      <c r="N70" s="818"/>
      <c r="O70" s="819"/>
      <c r="P70" s="819"/>
      <c r="Q70" s="819"/>
      <c r="R70" s="631"/>
    </row>
    <row r="71" spans="2:24" s="4" customFormat="1" ht="15" customHeight="1" thickBot="1">
      <c r="B71" s="820" t="s">
        <v>371</v>
      </c>
      <c r="C71" s="820"/>
      <c r="D71" s="820"/>
      <c r="E71" s="820"/>
      <c r="F71" s="820"/>
      <c r="I71" s="816"/>
      <c r="J71" s="820" t="s">
        <v>274</v>
      </c>
      <c r="K71" s="567"/>
      <c r="L71" s="567"/>
      <c r="M71" s="567"/>
      <c r="N71" s="567"/>
      <c r="O71" s="567"/>
      <c r="P71" s="567"/>
      <c r="Q71" s="567"/>
    </row>
    <row r="72" spans="2:24" s="4" customFormat="1" ht="12.75" customHeight="1">
      <c r="B72" s="3" t="s">
        <v>21</v>
      </c>
      <c r="C72" s="3"/>
      <c r="D72" s="3"/>
      <c r="E72" s="3"/>
      <c r="F72" s="353">
        <f ca="1">H39</f>
        <v>213.77949999999998</v>
      </c>
      <c r="I72" s="816"/>
      <c r="J72" s="3" t="s">
        <v>370</v>
      </c>
      <c r="K72" s="3"/>
      <c r="L72" s="3"/>
      <c r="Q72" s="821">
        <v>1</v>
      </c>
      <c r="X72" s="292"/>
    </row>
    <row r="73" spans="2:24" s="4" customFormat="1" ht="12.75" customHeight="1">
      <c r="B73" s="4" t="s">
        <v>350</v>
      </c>
      <c r="F73" s="822">
        <f ca="1">J139</f>
        <v>79.498413782091419</v>
      </c>
      <c r="I73" s="816"/>
      <c r="J73" s="3"/>
      <c r="K73" s="3"/>
      <c r="L73" s="3"/>
      <c r="M73" s="823"/>
      <c r="X73" s="190"/>
    </row>
    <row r="74" spans="2:24" s="4" customFormat="1" ht="12.75" customHeight="1">
      <c r="B74" s="4" t="s">
        <v>354</v>
      </c>
      <c r="F74" s="822">
        <f>-J122</f>
        <v>-31.388000000000002</v>
      </c>
      <c r="I74" s="816"/>
      <c r="J74" s="3"/>
      <c r="M74" s="824">
        <f>M12</f>
        <v>2020</v>
      </c>
      <c r="N74" s="824">
        <f>N12</f>
        <v>2021</v>
      </c>
      <c r="O74" s="824">
        <f>O12</f>
        <v>2022</v>
      </c>
      <c r="P74" s="824">
        <f>O74+1</f>
        <v>2023</v>
      </c>
      <c r="Q74" s="824">
        <f>P74+1</f>
        <v>2024</v>
      </c>
      <c r="X74" s="190"/>
    </row>
    <row r="75" spans="2:24" s="4" customFormat="1" ht="12.75" customHeight="1">
      <c r="B75" s="151" t="s">
        <v>351</v>
      </c>
      <c r="C75" s="713"/>
      <c r="D75" s="713"/>
      <c r="E75" s="713"/>
      <c r="F75" s="825">
        <f ca="1">SUM(F73:F74)</f>
        <v>48.110413782091413</v>
      </c>
      <c r="I75" s="816"/>
      <c r="J75" s="3" t="s">
        <v>478</v>
      </c>
      <c r="M75" s="826">
        <v>5</v>
      </c>
      <c r="N75" s="827">
        <f>M75*(1+N303)</f>
        <v>5.6538461538461533</v>
      </c>
      <c r="O75" s="827">
        <f>N75*(1+O303)</f>
        <v>6.3217948717948707</v>
      </c>
      <c r="P75" s="827">
        <f t="shared" ref="P75:Q75" si="5">O75*(1+P303)</f>
        <v>7.0693589743589742</v>
      </c>
      <c r="Q75" s="827">
        <f t="shared" si="5"/>
        <v>7.9061025641025644</v>
      </c>
      <c r="X75" s="68"/>
    </row>
    <row r="76" spans="2:24" s="4" customFormat="1" ht="12.75" customHeight="1">
      <c r="I76" s="816"/>
      <c r="J76" s="4" t="s">
        <v>377</v>
      </c>
      <c r="M76" s="828">
        <v>0.5</v>
      </c>
      <c r="N76" s="828">
        <v>1</v>
      </c>
      <c r="O76" s="829">
        <f>+N76</f>
        <v>1</v>
      </c>
      <c r="P76" s="829">
        <f>+O76</f>
        <v>1</v>
      </c>
      <c r="Q76" s="829">
        <f>+P76</f>
        <v>1</v>
      </c>
    </row>
    <row r="77" spans="2:24" s="4" customFormat="1" ht="12.75" customHeight="1">
      <c r="B77" s="3" t="s">
        <v>349</v>
      </c>
      <c r="F77" s="830">
        <v>0.15</v>
      </c>
      <c r="I77" s="816"/>
      <c r="J77" s="831" t="s">
        <v>479</v>
      </c>
      <c r="M77" s="832">
        <f>M75*M76</f>
        <v>2.5</v>
      </c>
      <c r="N77" s="833">
        <f>N75*N76</f>
        <v>5.6538461538461533</v>
      </c>
      <c r="O77" s="833">
        <f>O75*O76</f>
        <v>6.3217948717948707</v>
      </c>
      <c r="P77" s="833">
        <f>P75*P76</f>
        <v>7.0693589743589742</v>
      </c>
      <c r="Q77" s="834">
        <f>Q75*Q76</f>
        <v>7.9061025641025644</v>
      </c>
      <c r="X77" s="835"/>
    </row>
    <row r="78" spans="2:24" s="4" customFormat="1" ht="12.75" customHeight="1">
      <c r="B78" s="3" t="s">
        <v>352</v>
      </c>
      <c r="F78" s="822">
        <f ca="1">(F72-F73)*F77</f>
        <v>20.142162932686286</v>
      </c>
      <c r="I78" s="816"/>
      <c r="X78" s="836"/>
    </row>
    <row r="79" spans="2:24" s="4" customFormat="1" ht="12.75" customHeight="1" thickBot="1">
      <c r="B79" s="3" t="s">
        <v>275</v>
      </c>
      <c r="F79" s="837">
        <v>10</v>
      </c>
      <c r="I79" s="816"/>
      <c r="J79" s="820" t="s">
        <v>381</v>
      </c>
      <c r="K79" s="567"/>
      <c r="L79" s="567"/>
      <c r="M79" s="567"/>
      <c r="N79" s="567"/>
      <c r="O79" s="567"/>
      <c r="P79" s="567"/>
      <c r="Q79" s="838"/>
      <c r="X79" s="146"/>
    </row>
    <row r="80" spans="2:24" s="4" customFormat="1" ht="12.75" customHeight="1">
      <c r="B80" s="151" t="s">
        <v>276</v>
      </c>
      <c r="F80" s="839">
        <f ca="1">F78/F79</f>
        <v>2.0142162932686287</v>
      </c>
      <c r="I80" s="816"/>
      <c r="J80" s="4" t="s">
        <v>373</v>
      </c>
      <c r="Q80" s="411">
        <f>'Acq Proj'!F146</f>
        <v>250</v>
      </c>
      <c r="X80" s="68"/>
    </row>
    <row r="81" spans="2:24" s="4" customFormat="1" ht="12.75" customHeight="1">
      <c r="F81" s="249"/>
      <c r="I81" s="816"/>
      <c r="J81" s="4" t="s">
        <v>339</v>
      </c>
      <c r="Q81" s="411">
        <f>'Acq Proj'!F106+'Tar Proj'!F106</f>
        <v>20</v>
      </c>
      <c r="X81" s="68"/>
    </row>
    <row r="82" spans="2:24" s="4" customFormat="1" ht="12.75" customHeight="1">
      <c r="B82" s="4" t="str">
        <f>+B72</f>
        <v>Purchase Price of Equity</v>
      </c>
      <c r="F82" s="840">
        <f ca="1">+F72</f>
        <v>213.77949999999998</v>
      </c>
      <c r="I82" s="816"/>
      <c r="J82" s="4" t="s">
        <v>376</v>
      </c>
      <c r="M82" s="292"/>
      <c r="N82" s="292"/>
      <c r="O82" s="292"/>
      <c r="P82" s="292"/>
      <c r="Q82" s="841">
        <v>1</v>
      </c>
      <c r="X82" s="68"/>
    </row>
    <row r="83" spans="2:24" s="4" customFormat="1" ht="12.75" customHeight="1">
      <c r="B83" s="4" t="str">
        <f>+B75</f>
        <v>Tangible Book Value</v>
      </c>
      <c r="F83" s="822">
        <f ca="1">-F75</f>
        <v>-48.110413782091413</v>
      </c>
      <c r="I83" s="816"/>
      <c r="J83" s="4" t="s">
        <v>513</v>
      </c>
      <c r="Q83" s="842">
        <v>1</v>
      </c>
      <c r="X83" s="68"/>
    </row>
    <row r="84" spans="2:24" s="4" customFormat="1" ht="12.75" customHeight="1">
      <c r="B84" s="4" t="str">
        <f>+B78</f>
        <v>Identifiable Intangibles Adjustment</v>
      </c>
      <c r="F84" s="822">
        <f ca="1">-F78</f>
        <v>-20.142162932686286</v>
      </c>
      <c r="I84" s="816"/>
      <c r="X84" s="68"/>
    </row>
    <row r="85" spans="2:24" s="4" customFormat="1" ht="12.75" customHeight="1" thickBot="1">
      <c r="B85" s="4" t="s">
        <v>518</v>
      </c>
      <c r="F85" s="822">
        <f ca="1">F78*M286</f>
        <v>5.0355407331715716</v>
      </c>
      <c r="I85" s="68"/>
      <c r="J85" s="820" t="s">
        <v>378</v>
      </c>
      <c r="K85" s="567"/>
      <c r="L85" s="567"/>
      <c r="M85" s="567"/>
      <c r="N85" s="567"/>
      <c r="O85" s="567"/>
      <c r="P85" s="567"/>
      <c r="Q85" s="567"/>
      <c r="X85" s="68"/>
    </row>
    <row r="86" spans="2:24" s="4" customFormat="1" ht="12.75" customHeight="1">
      <c r="B86" s="151" t="s">
        <v>353</v>
      </c>
      <c r="F86" s="843">
        <f ca="1">SUM(F82:F85)</f>
        <v>150.56246401839383</v>
      </c>
      <c r="I86" s="816"/>
      <c r="M86" s="844">
        <f>M12</f>
        <v>2020</v>
      </c>
      <c r="N86" s="844">
        <f>M86+1</f>
        <v>2021</v>
      </c>
      <c r="O86" s="844">
        <f>N86+1</f>
        <v>2022</v>
      </c>
      <c r="P86" s="844">
        <f>O86+1</f>
        <v>2023</v>
      </c>
      <c r="Q86" s="844">
        <f>P86+1</f>
        <v>2024</v>
      </c>
      <c r="R86" s="7"/>
      <c r="S86" s="7"/>
      <c r="X86" s="68"/>
    </row>
    <row r="87" spans="2:24" s="4" customFormat="1" ht="12.75" customHeight="1">
      <c r="B87" s="151"/>
      <c r="F87" s="146"/>
      <c r="I87" s="816"/>
      <c r="J87" s="3" t="str">
        <f>+B26</f>
        <v>Term Loan</v>
      </c>
      <c r="M87" s="845">
        <v>0.01</v>
      </c>
      <c r="N87" s="845">
        <v>0.01</v>
      </c>
      <c r="O87" s="845">
        <v>0.01</v>
      </c>
      <c r="P87" s="845">
        <v>0.01</v>
      </c>
      <c r="Q87" s="845">
        <v>0.01</v>
      </c>
      <c r="R87" s="7"/>
      <c r="S87" s="7"/>
      <c r="X87" s="68"/>
    </row>
    <row r="88" spans="2:24" s="4" customFormat="1" ht="12.75" customHeight="1">
      <c r="B88" s="151"/>
      <c r="F88" s="146"/>
      <c r="I88" s="816"/>
      <c r="J88" s="3" t="str">
        <f>+B27</f>
        <v>Senior Notes</v>
      </c>
      <c r="M88" s="835">
        <v>0</v>
      </c>
      <c r="N88" s="835">
        <v>0</v>
      </c>
      <c r="O88" s="835">
        <v>0</v>
      </c>
      <c r="P88" s="835">
        <v>0</v>
      </c>
      <c r="Q88" s="835">
        <v>0</v>
      </c>
      <c r="R88" s="7"/>
      <c r="S88" s="7"/>
      <c r="X88" s="68"/>
    </row>
    <row r="89" spans="2:24" s="4" customFormat="1" ht="12.75" customHeight="1">
      <c r="B89" s="151"/>
      <c r="F89" s="146"/>
      <c r="I89" s="816"/>
      <c r="J89" s="3" t="str">
        <f>+B28</f>
        <v>Subordinated Notes</v>
      </c>
      <c r="M89" s="835">
        <v>0</v>
      </c>
      <c r="N89" s="835">
        <v>0</v>
      </c>
      <c r="O89" s="835">
        <v>0</v>
      </c>
      <c r="P89" s="835">
        <v>0</v>
      </c>
      <c r="Q89" s="835">
        <v>0</v>
      </c>
      <c r="R89" s="7"/>
      <c r="S89" s="7"/>
      <c r="X89" s="68"/>
    </row>
    <row r="90" spans="2:24" s="4" customFormat="1" ht="12.75" customHeight="1">
      <c r="I90" s="816"/>
      <c r="R90" s="846"/>
      <c r="S90" s="846"/>
      <c r="T90" s="846"/>
      <c r="X90" s="68"/>
    </row>
    <row r="91" spans="2:24" s="4" customFormat="1" ht="12.75" customHeight="1" thickBot="1">
      <c r="I91" s="816"/>
      <c r="J91" s="847" t="s">
        <v>372</v>
      </c>
      <c r="K91" s="838"/>
      <c r="L91" s="838"/>
      <c r="M91" s="838"/>
      <c r="N91" s="838"/>
      <c r="O91" s="838"/>
      <c r="P91" s="838"/>
      <c r="Q91" s="838"/>
      <c r="R91" s="848"/>
      <c r="S91" s="351"/>
      <c r="T91" s="262"/>
      <c r="X91" s="68"/>
    </row>
    <row r="92" spans="2:24" s="4" customFormat="1" ht="12.75" customHeight="1" thickBot="1">
      <c r="B92" s="849" t="s">
        <v>419</v>
      </c>
      <c r="C92" s="567"/>
      <c r="D92" s="567"/>
      <c r="E92" s="567"/>
      <c r="F92" s="567"/>
      <c r="I92" s="816"/>
      <c r="J92" s="4" t="s">
        <v>372</v>
      </c>
      <c r="Q92" s="835">
        <v>0.01</v>
      </c>
      <c r="R92" s="848"/>
      <c r="S92" s="351"/>
      <c r="T92" s="262"/>
      <c r="X92" s="68"/>
    </row>
    <row r="93" spans="2:24" s="4" customFormat="1" ht="12.75" customHeight="1">
      <c r="B93" s="850" t="s">
        <v>171</v>
      </c>
      <c r="C93" s="850" t="s">
        <v>248</v>
      </c>
      <c r="D93" s="850" t="s">
        <v>420</v>
      </c>
      <c r="E93" s="3"/>
      <c r="F93" s="3"/>
      <c r="I93" s="816"/>
      <c r="Q93" s="299"/>
      <c r="R93" s="848"/>
      <c r="S93" s="299"/>
      <c r="X93" s="68"/>
    </row>
    <row r="94" spans="2:24" s="4" customFormat="1" ht="12.75" customHeight="1" thickBot="1">
      <c r="B94" s="1115">
        <f>Inputs!K25</f>
        <v>0.1</v>
      </c>
      <c r="C94" s="1116">
        <f>Inputs!L25</f>
        <v>20</v>
      </c>
      <c r="D94" s="851">
        <f t="shared" ref="D94:D99" ca="1" si="6">IF($C94&lt;H$14,(H$14-$C94)*$B94/H$14,0)</f>
        <v>3.3333333333333333E-2</v>
      </c>
      <c r="E94" s="3"/>
      <c r="F94" s="3"/>
      <c r="I94" s="816"/>
      <c r="J94" s="847" t="s">
        <v>566</v>
      </c>
      <c r="K94" s="838"/>
      <c r="L94" s="838"/>
      <c r="M94" s="838"/>
      <c r="N94" s="838"/>
      <c r="O94" s="838"/>
      <c r="P94" s="838"/>
      <c r="Q94" s="838"/>
      <c r="X94" s="68"/>
    </row>
    <row r="95" spans="2:24" s="4" customFormat="1" ht="12.75" customHeight="1">
      <c r="B95" s="1117">
        <f>Inputs!K26</f>
        <v>0</v>
      </c>
      <c r="C95" s="682">
        <f>Inputs!L26</f>
        <v>0</v>
      </c>
      <c r="D95" s="854">
        <f t="shared" ca="1" si="6"/>
        <v>0</v>
      </c>
      <c r="E95" s="3"/>
      <c r="F95" s="3"/>
      <c r="I95" s="816"/>
      <c r="Q95" s="142" t="s">
        <v>308</v>
      </c>
      <c r="X95" s="68"/>
    </row>
    <row r="96" spans="2:24" s="4" customFormat="1" ht="12.75" customHeight="1">
      <c r="B96" s="1117">
        <f>Inputs!K27</f>
        <v>0</v>
      </c>
      <c r="C96" s="682">
        <f>Inputs!L27</f>
        <v>0</v>
      </c>
      <c r="D96" s="854">
        <f t="shared" ca="1" si="6"/>
        <v>0</v>
      </c>
      <c r="E96" s="3"/>
      <c r="F96" s="3"/>
      <c r="I96" s="816"/>
      <c r="J96" s="3"/>
      <c r="M96" s="142" t="s">
        <v>11</v>
      </c>
      <c r="N96" s="142" t="s">
        <v>379</v>
      </c>
      <c r="O96" s="142" t="s">
        <v>380</v>
      </c>
      <c r="P96" s="142" t="s">
        <v>326</v>
      </c>
      <c r="Q96" s="142" t="s">
        <v>331</v>
      </c>
      <c r="X96" s="68"/>
    </row>
    <row r="97" spans="2:24" s="4" customFormat="1" ht="12.75" customHeight="1">
      <c r="B97" s="1117">
        <f>Inputs!K28</f>
        <v>0</v>
      </c>
      <c r="C97" s="682">
        <f>Inputs!L28</f>
        <v>0</v>
      </c>
      <c r="D97" s="854">
        <f t="shared" ca="1" si="6"/>
        <v>0</v>
      </c>
      <c r="I97" s="816"/>
      <c r="J97" s="3" t="s">
        <v>86</v>
      </c>
      <c r="M97" s="757">
        <f>Q80</f>
        <v>250</v>
      </c>
      <c r="N97" s="855">
        <v>1.4999999999999999E-2</v>
      </c>
      <c r="O97" s="856">
        <f>IFERROR(M97*N97,0)</f>
        <v>3.75</v>
      </c>
      <c r="P97" s="857">
        <f>G25</f>
        <v>5</v>
      </c>
      <c r="Q97" s="843">
        <f>IFERROR(O97/P97,0)</f>
        <v>0.75</v>
      </c>
      <c r="X97" s="68"/>
    </row>
    <row r="98" spans="2:24" s="4" customFormat="1" ht="12.75" customHeight="1">
      <c r="B98" s="1117">
        <f>Inputs!K29</f>
        <v>0</v>
      </c>
      <c r="C98" s="682">
        <f>Inputs!L29</f>
        <v>0</v>
      </c>
      <c r="D98" s="854">
        <f t="shared" ca="1" si="6"/>
        <v>0</v>
      </c>
      <c r="E98" s="858"/>
      <c r="F98" s="858"/>
      <c r="I98" s="816"/>
      <c r="J98" s="3" t="str">
        <f>B26</f>
        <v>Term Loan</v>
      </c>
      <c r="M98" s="343">
        <f>H26</f>
        <v>60</v>
      </c>
      <c r="N98" s="779">
        <v>1.4999999999999999E-2</v>
      </c>
      <c r="O98" s="161">
        <f>IFERROR(M98*N98,0)</f>
        <v>0.89999999999999991</v>
      </c>
      <c r="P98" s="161">
        <f>G26</f>
        <v>5</v>
      </c>
      <c r="Q98" s="822">
        <f>IFERROR(O98/P98,0)</f>
        <v>0.18</v>
      </c>
      <c r="X98" s="68"/>
    </row>
    <row r="99" spans="2:24" s="4" customFormat="1" ht="12.75" customHeight="1">
      <c r="B99" s="1117">
        <f>Inputs!K30</f>
        <v>0</v>
      </c>
      <c r="C99" s="682">
        <f>Inputs!L30</f>
        <v>0</v>
      </c>
      <c r="D99" s="854">
        <f t="shared" ca="1" si="6"/>
        <v>0</v>
      </c>
      <c r="E99" s="858"/>
      <c r="F99" s="858"/>
      <c r="I99" s="816"/>
      <c r="J99" s="3" t="str">
        <f>B27</f>
        <v>Senior Notes</v>
      </c>
      <c r="M99" s="343">
        <f ca="1">H27</f>
        <v>40</v>
      </c>
      <c r="N99" s="859">
        <v>2.2499999999999999E-2</v>
      </c>
      <c r="O99" s="343">
        <f ca="1">IFERROR(M99*N99,0)</f>
        <v>0.89999999999999991</v>
      </c>
      <c r="P99" s="343">
        <f>G27</f>
        <v>8</v>
      </c>
      <c r="Q99" s="822">
        <f ca="1">IFERROR(O99/P99,0)</f>
        <v>0.11249999999999999</v>
      </c>
      <c r="X99" s="68"/>
    </row>
    <row r="100" spans="2:24" s="4" customFormat="1" ht="12.75" customHeight="1">
      <c r="B100" s="852"/>
      <c r="C100" s="853"/>
      <c r="D100" s="854"/>
      <c r="E100" s="858"/>
      <c r="F100" s="858"/>
      <c r="I100" s="816"/>
      <c r="J100" s="3" t="str">
        <f>B28</f>
        <v>Subordinated Notes</v>
      </c>
      <c r="M100" s="343">
        <f>H28</f>
        <v>0</v>
      </c>
      <c r="N100" s="859">
        <v>2.2499999999999999E-2</v>
      </c>
      <c r="O100" s="343">
        <f>IFERROR(M100*N100,0)</f>
        <v>0</v>
      </c>
      <c r="P100" s="343">
        <f>G28</f>
        <v>8</v>
      </c>
      <c r="Q100" s="822">
        <f>IFERROR(O100/P100,0)</f>
        <v>0</v>
      </c>
      <c r="X100" s="68"/>
    </row>
    <row r="101" spans="2:24" s="4" customFormat="1" ht="12.75" customHeight="1">
      <c r="B101" s="852"/>
      <c r="C101" s="853"/>
      <c r="D101" s="854"/>
      <c r="E101" s="858"/>
      <c r="F101" s="858"/>
      <c r="I101" s="816"/>
      <c r="J101" s="151" t="s">
        <v>67</v>
      </c>
      <c r="M101" s="757">
        <f ca="1">SUM(M97:M100)</f>
        <v>350</v>
      </c>
      <c r="N101" s="860">
        <f ca="1">O101/M101</f>
        <v>1.5857142857142858E-2</v>
      </c>
      <c r="O101" s="759">
        <f ca="1">SUM(O97:O100)</f>
        <v>5.5500000000000007</v>
      </c>
      <c r="P101" s="822"/>
      <c r="Q101" s="759">
        <f ca="1">SUM(Q97:Q100)</f>
        <v>1.0425</v>
      </c>
      <c r="X101" s="68"/>
    </row>
    <row r="102" spans="2:24" s="4" customFormat="1" ht="12.75" customHeight="1">
      <c r="B102" s="852"/>
      <c r="C102" s="853"/>
      <c r="D102" s="854"/>
      <c r="E102" s="858"/>
      <c r="F102" s="858"/>
      <c r="I102" s="816"/>
      <c r="X102" s="68"/>
    </row>
    <row r="103" spans="2:24" s="4" customFormat="1" ht="12.75" customHeight="1" thickBot="1">
      <c r="B103" s="852"/>
      <c r="C103" s="853"/>
      <c r="D103" s="854"/>
      <c r="E103" s="858"/>
      <c r="F103" s="858"/>
      <c r="I103" s="816"/>
      <c r="J103" s="847" t="s">
        <v>565</v>
      </c>
      <c r="K103" s="847"/>
      <c r="L103" s="847"/>
      <c r="M103" s="838"/>
      <c r="N103" s="838"/>
      <c r="O103" s="838"/>
      <c r="P103" s="838"/>
      <c r="Q103" s="838"/>
      <c r="X103" s="68"/>
    </row>
    <row r="104" spans="2:24" s="4" customFormat="1" ht="12.75" customHeight="1">
      <c r="B104" s="852"/>
      <c r="C104" s="853"/>
      <c r="D104" s="854"/>
      <c r="E104" s="858"/>
      <c r="F104" s="858"/>
      <c r="I104" s="816"/>
      <c r="Q104" s="142" t="s">
        <v>308</v>
      </c>
      <c r="X104" s="68"/>
    </row>
    <row r="105" spans="2:24" s="4" customFormat="1" ht="12.75" customHeight="1">
      <c r="B105" s="852"/>
      <c r="C105" s="853"/>
      <c r="D105" s="854"/>
      <c r="E105" s="858"/>
      <c r="F105" s="858"/>
      <c r="I105" s="816"/>
      <c r="J105" s="3"/>
      <c r="M105" s="142" t="s">
        <v>11</v>
      </c>
      <c r="N105" s="142" t="s">
        <v>480</v>
      </c>
      <c r="O105" s="142" t="s">
        <v>481</v>
      </c>
      <c r="P105" s="142" t="s">
        <v>326</v>
      </c>
      <c r="Q105" s="142" t="s">
        <v>331</v>
      </c>
      <c r="X105" s="68"/>
    </row>
    <row r="106" spans="2:24" s="4" customFormat="1" ht="12.75" customHeight="1">
      <c r="B106" s="861">
        <f>SUM(B94:B105)</f>
        <v>0.1</v>
      </c>
      <c r="C106" s="862">
        <f>SUMPRODUCT(B94:B105,C94:C105)/B106</f>
        <v>20</v>
      </c>
      <c r="D106" s="851">
        <f ca="1">SUM(D94:D105)</f>
        <v>3.3333333333333333E-2</v>
      </c>
      <c r="E106" s="858"/>
      <c r="F106" s="40"/>
      <c r="I106" s="816"/>
      <c r="J106" s="3" t="str">
        <f>+J98</f>
        <v>Term Loan</v>
      </c>
      <c r="M106" s="863">
        <f>+M98</f>
        <v>60</v>
      </c>
      <c r="N106" s="864">
        <f>E26</f>
        <v>99.5</v>
      </c>
      <c r="O106" s="865">
        <f>IFERROR(M106*(1-N106/100),0)</f>
        <v>0.30000000000000027</v>
      </c>
      <c r="P106" s="865">
        <f>+P98</f>
        <v>5</v>
      </c>
      <c r="Q106" s="866">
        <f>IFERROR(O106/P106,0)</f>
        <v>6.0000000000000053E-2</v>
      </c>
      <c r="X106" s="68"/>
    </row>
    <row r="107" spans="2:24" s="4" customFormat="1" ht="12.75" customHeight="1">
      <c r="I107" s="816"/>
      <c r="J107" s="3" t="str">
        <f>+J99</f>
        <v>Senior Notes</v>
      </c>
      <c r="M107" s="343">
        <f ca="1">+M99</f>
        <v>40</v>
      </c>
      <c r="N107" s="867">
        <f>E27</f>
        <v>98</v>
      </c>
      <c r="O107" s="161">
        <f ca="1">IFERROR(M107*(1-N107/100),0)</f>
        <v>0.80000000000000071</v>
      </c>
      <c r="P107" s="161">
        <f>+P99</f>
        <v>8</v>
      </c>
      <c r="Q107" s="822">
        <f ca="1">IFERROR(O107/P107,0)</f>
        <v>0.10000000000000009</v>
      </c>
      <c r="X107" s="68"/>
    </row>
    <row r="108" spans="2:24" s="4" customFormat="1" ht="12.75" customHeight="1">
      <c r="B108" s="868"/>
      <c r="C108" s="33"/>
      <c r="D108" s="854"/>
      <c r="E108" s="858"/>
      <c r="F108" s="40"/>
      <c r="I108" s="816"/>
      <c r="J108" s="3" t="str">
        <f>+J100</f>
        <v>Subordinated Notes</v>
      </c>
      <c r="M108" s="343">
        <f>+M100</f>
        <v>0</v>
      </c>
      <c r="N108" s="867">
        <f>E28</f>
        <v>97</v>
      </c>
      <c r="O108" s="161">
        <f>IFERROR(M108*(1-N108/100),0)</f>
        <v>0</v>
      </c>
      <c r="P108" s="161">
        <f>+P100</f>
        <v>8</v>
      </c>
      <c r="Q108" s="822">
        <f>IFERROR(O108/P108,0)</f>
        <v>0</v>
      </c>
      <c r="X108" s="68"/>
    </row>
    <row r="109" spans="2:24" s="4" customFormat="1" ht="12.75" customHeight="1">
      <c r="B109" s="868"/>
      <c r="C109" s="33"/>
      <c r="D109" s="854"/>
      <c r="E109" s="858"/>
      <c r="F109" s="40"/>
      <c r="I109" s="816"/>
      <c r="J109" s="151" t="s">
        <v>67</v>
      </c>
      <c r="M109" s="863">
        <f ca="1">SUM(M106:M108)</f>
        <v>100</v>
      </c>
      <c r="N109" s="867"/>
      <c r="O109" s="869">
        <f ca="1">SUM(O106:O108)</f>
        <v>1.100000000000001</v>
      </c>
      <c r="P109" s="822"/>
      <c r="Q109" s="759">
        <f ca="1">+SUM(Q106:Q108)</f>
        <v>0.16000000000000014</v>
      </c>
      <c r="X109" s="68"/>
    </row>
    <row r="110" spans="2:24" s="4" customFormat="1" ht="12.75" customHeight="1">
      <c r="I110" s="816"/>
      <c r="J110" s="151"/>
      <c r="K110" s="840"/>
      <c r="L110" s="870"/>
      <c r="M110" s="840"/>
      <c r="N110" s="822"/>
      <c r="O110" s="840"/>
      <c r="X110" s="146"/>
    </row>
    <row r="111" spans="2:24" s="4" customFormat="1" ht="15.95" customHeight="1" collapsed="1" thickBot="1">
      <c r="B111" s="628" t="s">
        <v>28</v>
      </c>
      <c r="C111" s="628"/>
      <c r="D111" s="628"/>
      <c r="E111" s="629"/>
      <c r="F111" s="629"/>
      <c r="G111" s="629"/>
      <c r="H111" s="629"/>
      <c r="I111" s="629"/>
      <c r="J111" s="629"/>
      <c r="K111" s="629"/>
      <c r="L111" s="629"/>
      <c r="M111" s="629"/>
      <c r="N111" s="629"/>
      <c r="O111" s="630"/>
      <c r="P111" s="630"/>
      <c r="Q111" s="630"/>
      <c r="R111" s="631"/>
    </row>
    <row r="112" spans="2:24" s="4" customFormat="1" ht="15" customHeight="1">
      <c r="J112" s="142"/>
      <c r="K112" s="142"/>
      <c r="L112" s="142"/>
      <c r="M112" s="142"/>
      <c r="N112" s="142"/>
      <c r="O112" s="142"/>
      <c r="P112" s="142" t="s">
        <v>29</v>
      </c>
      <c r="Q112" s="142"/>
    </row>
    <row r="113" spans="1:16">
      <c r="H113" s="781" t="str">
        <f>acq</f>
        <v>COLEMAN CO.</v>
      </c>
      <c r="I113" s="104"/>
      <c r="J113" s="781" t="str">
        <f>tar</f>
        <v>SG ENTERPRISES</v>
      </c>
      <c r="K113" s="104"/>
      <c r="L113" s="104"/>
      <c r="M113" s="104"/>
      <c r="N113" s="104"/>
      <c r="O113" s="104"/>
      <c r="P113" s="104" t="s">
        <v>30</v>
      </c>
    </row>
    <row r="114" spans="1:16">
      <c r="H114" s="104" t="s">
        <v>31</v>
      </c>
      <c r="I114" s="104"/>
      <c r="J114" s="104" t="s">
        <v>31</v>
      </c>
      <c r="K114" s="104"/>
      <c r="L114" s="104" t="s">
        <v>32</v>
      </c>
      <c r="M114" s="104"/>
      <c r="N114" s="104" t="s">
        <v>33</v>
      </c>
      <c r="O114" s="104"/>
      <c r="P114" s="104" t="s">
        <v>34</v>
      </c>
    </row>
    <row r="115" spans="1:16">
      <c r="B115" s="139" t="s">
        <v>35</v>
      </c>
      <c r="H115" s="364" t="str">
        <f>"at "&amp;TEXT($H$11,"m/d/y")&amp;""</f>
        <v>at 12/31/19</v>
      </c>
      <c r="I115" s="104"/>
      <c r="J115" s="364" t="str">
        <f>"at "&amp;TEXT($H$11,"m/d/y")&amp;""</f>
        <v>at 12/31/19</v>
      </c>
      <c r="K115" s="104"/>
      <c r="L115" s="364" t="s">
        <v>36</v>
      </c>
      <c r="M115" s="104"/>
      <c r="N115" s="364" t="s">
        <v>36</v>
      </c>
      <c r="O115" s="104"/>
      <c r="P115" s="364" t="s">
        <v>37</v>
      </c>
    </row>
    <row r="116" spans="1:16" s="10" customFormat="1">
      <c r="A116" s="17"/>
      <c r="B116" s="10" t="s">
        <v>38</v>
      </c>
      <c r="H116" s="605">
        <f ca="1">'Acq Proj'!L58</f>
        <v>78.243958020562602</v>
      </c>
      <c r="I116" s="871"/>
      <c r="J116" s="605">
        <f ca="1">'Tar Proj'!L58</f>
        <v>49.568497115424755</v>
      </c>
      <c r="K116" s="872"/>
      <c r="L116" s="873"/>
      <c r="M116" s="465"/>
      <c r="N116" s="32">
        <f ca="1">-H24-H31</f>
        <v>-100.89137790625</v>
      </c>
      <c r="O116" s="874" t="s">
        <v>253</v>
      </c>
      <c r="P116" s="875">
        <f ca="1">N116+L116+J116+H116</f>
        <v>26.921077229737357</v>
      </c>
    </row>
    <row r="117" spans="1:16" s="10" customFormat="1">
      <c r="A117" s="17"/>
      <c r="B117" s="10" t="s">
        <v>39</v>
      </c>
      <c r="H117" s="608">
        <f>'Acq Proj'!L59</f>
        <v>15.421199999999999</v>
      </c>
      <c r="I117" s="603"/>
      <c r="J117" s="608">
        <f>'Tar Proj'!L59</f>
        <v>9.8895833333333343</v>
      </c>
      <c r="K117" s="617"/>
      <c r="L117" s="32"/>
      <c r="M117" s="61"/>
      <c r="N117" s="32"/>
      <c r="O117" s="596"/>
      <c r="P117" s="595">
        <f>N117+L117+J117+H117</f>
        <v>25.310783333333333</v>
      </c>
    </row>
    <row r="118" spans="1:16" s="10" customFormat="1">
      <c r="A118" s="17"/>
      <c r="B118" s="10" t="s">
        <v>40</v>
      </c>
      <c r="H118" s="608">
        <f>'Acq Proj'!L60</f>
        <v>14.492929292929333</v>
      </c>
      <c r="I118" s="603"/>
      <c r="J118" s="608">
        <f>'Tar Proj'!L60</f>
        <v>4.403437499999999</v>
      </c>
      <c r="K118" s="617"/>
      <c r="L118" s="32"/>
      <c r="M118" s="61"/>
      <c r="N118" s="32"/>
      <c r="O118" s="596"/>
      <c r="P118" s="595">
        <f>N118+L118+J118+H118</f>
        <v>18.896366792929332</v>
      </c>
    </row>
    <row r="119" spans="1:16" s="10" customFormat="1">
      <c r="A119" s="17"/>
      <c r="B119" s="10" t="s">
        <v>41</v>
      </c>
      <c r="H119" s="876">
        <f>'Acq Proj'!L61</f>
        <v>7.0524000000000013</v>
      </c>
      <c r="I119" s="603"/>
      <c r="J119" s="876">
        <f>'Tar Proj'!L61</f>
        <v>1.6625000000000001</v>
      </c>
      <c r="K119" s="617"/>
      <c r="L119" s="32"/>
      <c r="M119" s="61"/>
      <c r="N119" s="32"/>
      <c r="O119" s="596"/>
      <c r="P119" s="877">
        <f>N119+L119+J119+H119</f>
        <v>8.7149000000000019</v>
      </c>
    </row>
    <row r="120" spans="1:16" s="10" customFormat="1">
      <c r="A120" s="17"/>
      <c r="B120" s="323" t="s">
        <v>42</v>
      </c>
      <c r="H120" s="595">
        <f ca="1">SUM(H116:H119)</f>
        <v>115.21048731349194</v>
      </c>
      <c r="I120" s="617"/>
      <c r="J120" s="595">
        <f ca="1">SUM(J116:J119)</f>
        <v>65.524017948758086</v>
      </c>
      <c r="K120" s="617"/>
      <c r="L120" s="32"/>
      <c r="M120" s="61"/>
      <c r="N120" s="32"/>
      <c r="O120" s="596"/>
      <c r="P120" s="595">
        <f ca="1">SUM(P116:P119)</f>
        <v>79.843127356000025</v>
      </c>
    </row>
    <row r="121" spans="1:16" s="10" customFormat="1">
      <c r="A121" s="17"/>
      <c r="B121" s="10" t="s">
        <v>43</v>
      </c>
      <c r="H121" s="608">
        <f>'Acq Proj'!L63</f>
        <v>4.5999999999999996</v>
      </c>
      <c r="I121" s="603"/>
      <c r="J121" s="608">
        <f>'Tar Proj'!L63</f>
        <v>3.2780000000000005</v>
      </c>
      <c r="K121" s="878"/>
      <c r="L121" s="32"/>
      <c r="M121" s="61"/>
      <c r="N121" s="32"/>
      <c r="O121" s="596"/>
      <c r="P121" s="595">
        <f t="shared" ref="P121:P126" si="7">N121+L121+J121+H121</f>
        <v>7.8780000000000001</v>
      </c>
    </row>
    <row r="122" spans="1:16" s="10" customFormat="1">
      <c r="A122" s="17"/>
      <c r="B122" s="10" t="s">
        <v>332</v>
      </c>
      <c r="H122" s="608">
        <f>'Acq Proj'!L64</f>
        <v>0.21</v>
      </c>
      <c r="I122" s="878"/>
      <c r="J122" s="608">
        <f>'Tar Proj'!L64</f>
        <v>31.388000000000002</v>
      </c>
      <c r="K122" s="617"/>
      <c r="L122" s="32">
        <f>-J122</f>
        <v>-31.388000000000002</v>
      </c>
      <c r="M122" s="61" t="s">
        <v>267</v>
      </c>
      <c r="N122" s="32"/>
      <c r="O122" s="596"/>
      <c r="P122" s="595">
        <f t="shared" si="7"/>
        <v>0.21</v>
      </c>
    </row>
    <row r="123" spans="1:16" s="10" customFormat="1">
      <c r="A123" s="17"/>
      <c r="B123" s="10" t="s">
        <v>356</v>
      </c>
      <c r="H123" s="608">
        <f>'Acq Proj'!L65</f>
        <v>0.437</v>
      </c>
      <c r="I123" s="878"/>
      <c r="J123" s="608">
        <f>'Tar Proj'!L65</f>
        <v>0.443</v>
      </c>
      <c r="K123" s="617"/>
      <c r="L123" s="32">
        <f ca="1">F78</f>
        <v>20.142162932686286</v>
      </c>
      <c r="M123" s="61" t="s">
        <v>249</v>
      </c>
      <c r="N123" s="32"/>
      <c r="O123" s="596"/>
      <c r="P123" s="595">
        <f t="shared" ca="1" si="7"/>
        <v>21.022162932686289</v>
      </c>
    </row>
    <row r="124" spans="1:16" s="10" customFormat="1">
      <c r="A124" s="17"/>
      <c r="B124" s="10" t="s">
        <v>45</v>
      </c>
      <c r="H124" s="600">
        <v>0</v>
      </c>
      <c r="I124" s="879"/>
      <c r="J124" s="600">
        <v>0</v>
      </c>
      <c r="K124" s="617"/>
      <c r="L124" s="32">
        <f ca="1">F86</f>
        <v>150.56246401839383</v>
      </c>
      <c r="M124" s="61" t="s">
        <v>250</v>
      </c>
      <c r="N124" s="32"/>
      <c r="O124" s="596"/>
      <c r="P124" s="595">
        <f t="shared" ca="1" si="7"/>
        <v>150.56246401839383</v>
      </c>
    </row>
    <row r="125" spans="1:16" s="10" customFormat="1">
      <c r="A125" s="17"/>
      <c r="B125" s="10" t="s">
        <v>374</v>
      </c>
      <c r="H125" s="600">
        <v>0</v>
      </c>
      <c r="I125" s="879"/>
      <c r="J125" s="600">
        <v>0</v>
      </c>
      <c r="K125" s="617"/>
      <c r="L125" s="32"/>
      <c r="M125" s="61"/>
      <c r="N125" s="32">
        <f ca="1">H42</f>
        <v>5.5500000000000007</v>
      </c>
      <c r="O125" s="596" t="s">
        <v>522</v>
      </c>
      <c r="P125" s="595">
        <f t="shared" ca="1" si="7"/>
        <v>5.5500000000000007</v>
      </c>
    </row>
    <row r="126" spans="1:16" s="10" customFormat="1">
      <c r="A126" s="17"/>
      <c r="B126" s="10" t="s">
        <v>232</v>
      </c>
      <c r="H126" s="876">
        <f>'Acq Proj'!L66</f>
        <v>3.621</v>
      </c>
      <c r="I126" s="878"/>
      <c r="J126" s="876">
        <f>'Tar Proj'!L66</f>
        <v>6.3160000000000007</v>
      </c>
      <c r="K126" s="617"/>
      <c r="L126" s="32"/>
      <c r="M126" s="61"/>
      <c r="N126" s="32"/>
      <c r="O126" s="596"/>
      <c r="P126" s="877">
        <f t="shared" si="7"/>
        <v>9.9370000000000012</v>
      </c>
    </row>
    <row r="127" spans="1:16" s="10" customFormat="1" ht="13.5" thickBot="1">
      <c r="A127" s="17"/>
      <c r="B127" s="323" t="s">
        <v>46</v>
      </c>
      <c r="H127" s="880">
        <f ca="1">SUM(H120:H126)</f>
        <v>124.07848731349192</v>
      </c>
      <c r="I127" s="875"/>
      <c r="J127" s="880">
        <f ca="1">SUM(J120:J126)</f>
        <v>106.9490179487581</v>
      </c>
      <c r="K127" s="872"/>
      <c r="L127" s="873"/>
      <c r="M127" s="465"/>
      <c r="N127" s="873"/>
      <c r="O127" s="874"/>
      <c r="P127" s="880">
        <f ca="1">SUM(P120:P126)</f>
        <v>275.00275430708012</v>
      </c>
    </row>
    <row r="128" spans="1:16" s="10" customFormat="1" ht="13.5" thickTop="1">
      <c r="A128" s="17"/>
      <c r="H128" s="881"/>
      <c r="I128" s="881"/>
      <c r="J128" s="881"/>
      <c r="K128" s="882"/>
      <c r="L128" s="883"/>
      <c r="M128" s="61"/>
      <c r="N128" s="883"/>
      <c r="P128" s="881"/>
    </row>
    <row r="129" spans="1:16" s="10" customFormat="1" ht="13.15" customHeight="1">
      <c r="A129" s="17"/>
      <c r="B129" s="274" t="s">
        <v>47</v>
      </c>
      <c r="H129" s="882"/>
      <c r="I129" s="882"/>
      <c r="J129" s="882"/>
      <c r="K129" s="882"/>
      <c r="L129" s="884"/>
      <c r="M129" s="61"/>
      <c r="N129" s="884"/>
      <c r="P129" s="882"/>
    </row>
    <row r="130" spans="1:16" s="10" customFormat="1">
      <c r="A130" s="17"/>
      <c r="B130" s="10" t="s">
        <v>48</v>
      </c>
      <c r="H130" s="605">
        <f>'Acq Proj'!L71</f>
        <v>7.7406060606060612</v>
      </c>
      <c r="I130" s="605"/>
      <c r="J130" s="605">
        <f>'Tar Proj'!L71</f>
        <v>4.3603124999999991</v>
      </c>
      <c r="K130" s="872"/>
      <c r="L130" s="873"/>
      <c r="M130" s="465"/>
      <c r="N130" s="873"/>
      <c r="O130" s="874"/>
      <c r="P130" s="875">
        <f>N130+L130+J130+H130</f>
        <v>12.100918560606061</v>
      </c>
    </row>
    <row r="131" spans="1:16" s="10" customFormat="1">
      <c r="A131" s="17"/>
      <c r="B131" s="10" t="s">
        <v>49</v>
      </c>
      <c r="H131" s="876">
        <f>'Acq Proj'!L72</f>
        <v>10.630800000000001</v>
      </c>
      <c r="I131" s="885"/>
      <c r="J131" s="876">
        <f>'Tar Proj'!L72</f>
        <v>6.0822916666666673</v>
      </c>
      <c r="K131" s="617"/>
      <c r="L131" s="32"/>
      <c r="M131" s="61"/>
      <c r="N131" s="32"/>
      <c r="O131" s="596"/>
      <c r="P131" s="877">
        <f>N131+L131+J131+H131</f>
        <v>16.713091666666667</v>
      </c>
    </row>
    <row r="132" spans="1:16" s="10" customFormat="1">
      <c r="A132" s="17"/>
      <c r="B132" s="323" t="s">
        <v>50</v>
      </c>
      <c r="H132" s="595">
        <f>SUM(H130:H131)</f>
        <v>18.371406060606063</v>
      </c>
      <c r="I132" s="617"/>
      <c r="J132" s="595">
        <f>SUM(J130:J131)</f>
        <v>10.442604166666666</v>
      </c>
      <c r="K132" s="617"/>
      <c r="L132" s="32"/>
      <c r="M132" s="61"/>
      <c r="N132" s="32"/>
      <c r="O132" s="596"/>
      <c r="P132" s="595">
        <f>SUM(P130:P131)</f>
        <v>28.814010227272728</v>
      </c>
    </row>
    <row r="133" spans="1:16" s="10" customFormat="1">
      <c r="A133" s="17"/>
      <c r="B133" s="10" t="s">
        <v>51</v>
      </c>
      <c r="H133" s="608">
        <f ca="1">'Acq Proj'!L74+'Acq Proj'!L70</f>
        <v>0</v>
      </c>
      <c r="I133" s="878"/>
      <c r="J133" s="608">
        <f ca="1">'Tar Proj'!L74+'Tar Proj'!L70</f>
        <v>0</v>
      </c>
      <c r="K133" s="617"/>
      <c r="L133" s="32"/>
      <c r="M133" s="61"/>
      <c r="N133" s="32">
        <f ca="1">SUM(H25:H28)-H40</f>
        <v>100</v>
      </c>
      <c r="O133" s="596" t="s">
        <v>523</v>
      </c>
      <c r="P133" s="595">
        <f t="shared" ref="P133:P139" ca="1" si="8">N133+L133+J133+H133</f>
        <v>100</v>
      </c>
    </row>
    <row r="134" spans="1:16" s="10" customFormat="1">
      <c r="A134" s="17"/>
      <c r="B134" s="10" t="s">
        <v>233</v>
      </c>
      <c r="H134" s="608">
        <f>'Acq Proj'!L75</f>
        <v>4.4939999999999998</v>
      </c>
      <c r="I134" s="603"/>
      <c r="J134" s="608">
        <f>'Tar Proj'!L75</f>
        <v>3.6030000000000002</v>
      </c>
      <c r="K134" s="617"/>
      <c r="L134" s="32"/>
      <c r="M134" s="61"/>
      <c r="N134" s="32"/>
      <c r="O134" s="596"/>
      <c r="P134" s="595">
        <f t="shared" si="8"/>
        <v>8.0969999999999995</v>
      </c>
    </row>
    <row r="135" spans="1:16" s="10" customFormat="1">
      <c r="A135" s="17"/>
      <c r="B135" s="10" t="s">
        <v>475</v>
      </c>
      <c r="H135" s="600">
        <v>0</v>
      </c>
      <c r="I135" s="603"/>
      <c r="J135" s="600">
        <v>0</v>
      </c>
      <c r="K135" s="617"/>
      <c r="L135" s="32"/>
      <c r="M135" s="61"/>
      <c r="N135" s="32">
        <f ca="1">-H41</f>
        <v>-1.100000000000001</v>
      </c>
      <c r="O135" s="596"/>
      <c r="P135" s="595">
        <f t="shared" ca="1" si="8"/>
        <v>-1.100000000000001</v>
      </c>
    </row>
    <row r="136" spans="1:16" s="10" customFormat="1">
      <c r="A136" s="17"/>
      <c r="B136" s="10" t="s">
        <v>518</v>
      </c>
      <c r="H136" s="600">
        <v>0</v>
      </c>
      <c r="I136" s="603"/>
      <c r="J136" s="600">
        <v>0</v>
      </c>
      <c r="K136" s="617"/>
      <c r="L136" s="32">
        <f ca="1">+F85</f>
        <v>5.0355407331715716</v>
      </c>
      <c r="M136" s="61" t="s">
        <v>251</v>
      </c>
      <c r="N136" s="32"/>
      <c r="O136" s="596"/>
      <c r="P136" s="595">
        <f t="shared" ca="1" si="8"/>
        <v>5.0355407331715716</v>
      </c>
    </row>
    <row r="137" spans="1:16" s="10" customFormat="1">
      <c r="A137" s="17"/>
      <c r="B137" s="10" t="s">
        <v>52</v>
      </c>
      <c r="H137" s="608">
        <f>'Acq Proj'!L76</f>
        <v>1</v>
      </c>
      <c r="I137" s="878"/>
      <c r="J137" s="608">
        <f>'Tar Proj'!L76</f>
        <v>0.2</v>
      </c>
      <c r="K137" s="617"/>
      <c r="L137" s="32"/>
      <c r="M137" s="61"/>
      <c r="N137" s="32"/>
      <c r="O137" s="596"/>
      <c r="P137" s="595">
        <f t="shared" si="8"/>
        <v>1.2</v>
      </c>
    </row>
    <row r="138" spans="1:16" s="10" customFormat="1">
      <c r="A138" s="17"/>
      <c r="B138" s="10" t="s">
        <v>53</v>
      </c>
      <c r="H138" s="608">
        <f>'Acq Proj'!L77</f>
        <v>0.5</v>
      </c>
      <c r="I138" s="878"/>
      <c r="J138" s="608">
        <f>'Tar Proj'!L77</f>
        <v>0</v>
      </c>
      <c r="K138" s="617"/>
      <c r="L138" s="32"/>
      <c r="M138" s="61"/>
      <c r="N138" s="32"/>
      <c r="O138" s="596"/>
      <c r="P138" s="595">
        <f t="shared" si="8"/>
        <v>0.5</v>
      </c>
    </row>
    <row r="139" spans="1:16" s="10" customFormat="1">
      <c r="A139" s="17"/>
      <c r="B139" s="10" t="s">
        <v>150</v>
      </c>
      <c r="H139" s="876">
        <f ca="1">'Acq Proj'!L78</f>
        <v>99.713081252885857</v>
      </c>
      <c r="I139" s="878"/>
      <c r="J139" s="876">
        <f ca="1">'Tar Proj'!L78</f>
        <v>79.498413782091419</v>
      </c>
      <c r="K139" s="878"/>
      <c r="L139" s="32">
        <f ca="1">-J139</f>
        <v>-79.498413782091419</v>
      </c>
      <c r="M139" s="61" t="s">
        <v>252</v>
      </c>
      <c r="N139" s="32">
        <f ca="1">H29-H44</f>
        <v>19.538122093749994</v>
      </c>
      <c r="O139" s="596" t="s">
        <v>524</v>
      </c>
      <c r="P139" s="877">
        <f t="shared" ca="1" si="8"/>
        <v>119.25120334663585</v>
      </c>
    </row>
    <row r="140" spans="1:16" s="10" customFormat="1" ht="13.15" customHeight="1" thickBot="1">
      <c r="A140" s="17"/>
      <c r="B140" s="323" t="s">
        <v>54</v>
      </c>
      <c r="H140" s="880">
        <f ca="1">SUM(H132:H139)</f>
        <v>124.07848731349192</v>
      </c>
      <c r="I140" s="875"/>
      <c r="J140" s="880">
        <f ca="1">SUM(J132:J139)</f>
        <v>93.744017948758085</v>
      </c>
      <c r="K140" s="872"/>
      <c r="L140" s="873"/>
      <c r="M140" s="465"/>
      <c r="N140" s="873"/>
      <c r="O140" s="874"/>
      <c r="P140" s="880">
        <f ca="1">SUM(P132:P139)</f>
        <v>261.79775430708014</v>
      </c>
    </row>
    <row r="141" spans="1:16" s="10" customFormat="1" ht="13.15" customHeight="1" thickTop="1">
      <c r="A141" s="17"/>
      <c r="H141" s="881"/>
      <c r="I141" s="881"/>
      <c r="J141" s="881"/>
      <c r="K141" s="882"/>
      <c r="L141" s="882"/>
      <c r="N141" s="882"/>
      <c r="P141" s="882"/>
    </row>
    <row r="142" spans="1:16" s="10" customFormat="1" ht="13.15" customHeight="1">
      <c r="A142" s="17"/>
      <c r="B142" s="10" t="s">
        <v>34</v>
      </c>
      <c r="H142" s="595">
        <f ca="1">H127-H140</f>
        <v>0</v>
      </c>
      <c r="I142" s="881"/>
      <c r="J142" s="595">
        <f ca="1">J127-J140</f>
        <v>13.205000000000013</v>
      </c>
      <c r="K142" s="882"/>
      <c r="L142" s="882"/>
      <c r="N142" s="882"/>
      <c r="P142" s="595">
        <f ca="1">P127-P140</f>
        <v>13.204999999999984</v>
      </c>
    </row>
    <row r="143" spans="1:16" s="10" customFormat="1" ht="13.15" customHeight="1">
      <c r="A143" s="17"/>
      <c r="H143" s="881"/>
      <c r="I143" s="881"/>
      <c r="J143" s="881"/>
      <c r="K143" s="882"/>
      <c r="L143" s="882"/>
      <c r="N143" s="882"/>
      <c r="P143" s="882"/>
    </row>
    <row r="144" spans="1:16" s="10" customFormat="1">
      <c r="A144" s="17"/>
      <c r="B144" s="10" t="s">
        <v>55</v>
      </c>
      <c r="H144" s="875">
        <f ca="1">(H120-H116)-(H132)</f>
        <v>18.595123232323274</v>
      </c>
      <c r="I144" s="875"/>
      <c r="J144" s="875">
        <f ca="1">(J120-J116)-(J132)</f>
        <v>5.5129166666666656</v>
      </c>
      <c r="K144" s="875"/>
      <c r="L144" s="875"/>
      <c r="M144" s="886"/>
      <c r="N144" s="875"/>
      <c r="O144" s="886"/>
      <c r="P144" s="875">
        <f ca="1">(P120-P116)-(P132)</f>
        <v>24.10803989898994</v>
      </c>
    </row>
    <row r="145" spans="1:19" s="10" customFormat="1" ht="13.15" customHeight="1">
      <c r="A145" s="17"/>
      <c r="B145" s="10" t="str">
        <f>+B178</f>
        <v>Total Debt / Total Capitalization</v>
      </c>
      <c r="H145" s="887">
        <f ca="1">+L179</f>
        <v>0</v>
      </c>
      <c r="I145" s="888"/>
      <c r="J145" s="110">
        <f ca="1">'Tar Proj'!L174</f>
        <v>0</v>
      </c>
      <c r="K145" s="888"/>
      <c r="L145" s="888"/>
      <c r="M145" s="889"/>
      <c r="N145" s="888"/>
      <c r="O145" s="889"/>
      <c r="P145" s="888">
        <f ca="1">+L180</f>
        <v>0.45258861904959424</v>
      </c>
    </row>
    <row r="146" spans="1:19" s="10" customFormat="1">
      <c r="A146" s="17"/>
      <c r="B146" s="10" t="str">
        <f>+B182</f>
        <v>Net Debt / Net Capitalization</v>
      </c>
      <c r="H146" s="887">
        <f ca="1">+L183</f>
        <v>-3.4064843150152959</v>
      </c>
      <c r="I146" s="888"/>
      <c r="J146" s="110">
        <f ca="1">'Tar Proj'!L175</f>
        <v>-1.6451587856618064</v>
      </c>
      <c r="K146" s="888"/>
      <c r="L146" s="888"/>
      <c r="M146" s="889"/>
      <c r="N146" s="888"/>
      <c r="O146" s="889"/>
      <c r="P146" s="888">
        <f ca="1">+L184</f>
        <v>0.376636990516794</v>
      </c>
    </row>
    <row r="147" spans="1:19" s="10" customFormat="1">
      <c r="A147" s="17"/>
      <c r="B147" s="10" t="str">
        <f>+B190</f>
        <v>Total Debt / EBITDA</v>
      </c>
      <c r="H147" s="887" t="str">
        <f ca="1">+L191</f>
        <v>NM</v>
      </c>
      <c r="I147" s="887"/>
      <c r="J147" s="110" t="str">
        <f ca="1">'Tar Proj'!L187</f>
        <v>NM</v>
      </c>
      <c r="K147" s="887"/>
      <c r="L147" s="887"/>
      <c r="M147" s="890"/>
      <c r="N147" s="887"/>
      <c r="O147" s="890"/>
      <c r="P147" s="887">
        <f ca="1">+L192</f>
        <v>1.6666666666666667</v>
      </c>
    </row>
    <row r="148" spans="1:19" s="10" customFormat="1">
      <c r="A148" s="17"/>
      <c r="B148" s="10" t="str">
        <f>+B198</f>
        <v>Sr. Secured Debt / EBITDA</v>
      </c>
      <c r="H148" s="887" t="str">
        <f ca="1">+L199</f>
        <v>NM</v>
      </c>
      <c r="I148" s="887"/>
      <c r="J148" s="110" t="str">
        <f ca="1">'Tar Proj'!L189</f>
        <v>NM</v>
      </c>
      <c r="K148" s="887"/>
      <c r="L148" s="887"/>
      <c r="M148" s="890"/>
      <c r="N148" s="890"/>
      <c r="O148" s="890"/>
      <c r="P148" s="887">
        <f ca="1">+L200</f>
        <v>1</v>
      </c>
    </row>
    <row r="149" spans="1:19" s="17" customFormat="1">
      <c r="B149" s="3" t="str">
        <f>+B194</f>
        <v>Net Debt / EBITDA</v>
      </c>
      <c r="C149" s="10"/>
      <c r="D149" s="10"/>
      <c r="E149" s="10"/>
      <c r="H149" s="887" t="str">
        <f ca="1">+L195</f>
        <v>NM</v>
      </c>
      <c r="I149" s="887"/>
      <c r="J149" s="110" t="str">
        <f ca="1">'Tar Proj'!L188</f>
        <v>NM</v>
      </c>
      <c r="K149" s="887"/>
      <c r="L149" s="887"/>
      <c r="M149" s="890"/>
      <c r="N149" s="890"/>
      <c r="O149" s="890"/>
      <c r="P149" s="887">
        <f ca="1">+L196</f>
        <v>1.217982046171044</v>
      </c>
      <c r="Q149" s="891"/>
    </row>
    <row r="150" spans="1:19" s="17" customFormat="1">
      <c r="B150" s="10" t="str">
        <f>+B186</f>
        <v>Adjusted Debt / EBITDAR</v>
      </c>
      <c r="C150" s="10"/>
      <c r="D150" s="10"/>
      <c r="E150" s="10"/>
      <c r="H150" s="887">
        <f ca="1">+L187</f>
        <v>0.85714285714285721</v>
      </c>
      <c r="I150" s="887"/>
      <c r="J150" s="110">
        <f ca="1">'Tar Proj'!L186</f>
        <v>0.5073170731707316</v>
      </c>
      <c r="K150" s="887"/>
      <c r="L150" s="887"/>
      <c r="M150" s="890"/>
      <c r="N150" s="890"/>
      <c r="O150" s="890"/>
      <c r="P150" s="887">
        <f ca="1">+L188</f>
        <v>2.2558417837122882</v>
      </c>
      <c r="Q150" s="891"/>
    </row>
    <row r="151" spans="1:19" s="17" customFormat="1">
      <c r="B151" s="10" t="str">
        <f>+B202</f>
        <v>EBITDA / Net Interest Expense</v>
      </c>
      <c r="C151" s="10"/>
      <c r="D151" s="10"/>
      <c r="E151" s="10"/>
      <c r="H151" s="887" t="str">
        <f ca="1">+L203</f>
        <v>NM</v>
      </c>
      <c r="I151" s="887"/>
      <c r="J151" s="110" t="str">
        <f ca="1">'Tar Proj'!L191</f>
        <v>NM</v>
      </c>
      <c r="K151" s="887"/>
      <c r="L151" s="887"/>
      <c r="M151" s="890"/>
      <c r="N151" s="890"/>
      <c r="O151" s="890"/>
      <c r="P151" s="887">
        <f ca="1">+L204</f>
        <v>8.7396464493929606</v>
      </c>
      <c r="Q151" s="891"/>
    </row>
    <row r="152" spans="1:19" s="17" customFormat="1">
      <c r="B152" s="10" t="str">
        <f>+B206</f>
        <v>(EBITDA - Capital Expenditures) / Net Interest Expense</v>
      </c>
      <c r="C152" s="10"/>
      <c r="D152" s="10"/>
      <c r="E152" s="10"/>
      <c r="H152" s="887" t="str">
        <f ca="1">+L207</f>
        <v>NM</v>
      </c>
      <c r="I152" s="887"/>
      <c r="J152" s="110" t="str">
        <f ca="1">'Tar Proj'!L192</f>
        <v>NM</v>
      </c>
      <c r="K152" s="887"/>
      <c r="L152" s="887"/>
      <c r="M152" s="890"/>
      <c r="N152" s="890"/>
      <c r="O152" s="890"/>
      <c r="P152" s="887">
        <f ca="1">+L208</f>
        <v>7.2903217465352945</v>
      </c>
      <c r="Q152" s="891"/>
    </row>
    <row r="153" spans="1:19" s="4" customFormat="1"/>
    <row r="154" spans="1:19" s="4" customFormat="1" ht="13.5">
      <c r="B154" s="892" t="s">
        <v>265</v>
      </c>
      <c r="C154" s="892"/>
      <c r="D154" s="892"/>
      <c r="E154" s="892"/>
      <c r="F154" s="892"/>
      <c r="G154" s="893" t="s">
        <v>519</v>
      </c>
      <c r="H154" s="892"/>
      <c r="I154" s="893"/>
      <c r="J154" s="892"/>
      <c r="K154" s="892"/>
      <c r="L154" s="892"/>
      <c r="M154" s="893" t="s">
        <v>515</v>
      </c>
      <c r="N154" s="892"/>
      <c r="O154" s="156"/>
      <c r="P154" s="156"/>
      <c r="Q154" s="156"/>
    </row>
    <row r="155" spans="1:19" s="4" customFormat="1" ht="13.5">
      <c r="B155" s="894" t="s">
        <v>266</v>
      </c>
      <c r="C155" s="894"/>
      <c r="D155" s="894"/>
      <c r="E155" s="894"/>
      <c r="F155" s="360"/>
      <c r="G155" s="894" t="s">
        <v>520</v>
      </c>
      <c r="H155" s="894"/>
      <c r="I155" s="894"/>
      <c r="J155" s="894"/>
      <c r="K155" s="894"/>
      <c r="L155" s="360"/>
      <c r="M155" s="894" t="s">
        <v>525</v>
      </c>
      <c r="N155" s="894"/>
      <c r="O155" s="3"/>
      <c r="P155" s="3"/>
      <c r="Q155" s="3"/>
    </row>
    <row r="156" spans="1:19" s="4" customFormat="1" ht="13.5">
      <c r="B156" s="894" t="s">
        <v>516</v>
      </c>
      <c r="C156" s="894"/>
      <c r="D156" s="894"/>
      <c r="E156" s="894"/>
      <c r="F156" s="360"/>
      <c r="G156" s="360" t="s">
        <v>521</v>
      </c>
      <c r="H156" s="894"/>
      <c r="I156" s="894"/>
      <c r="J156" s="894"/>
      <c r="K156" s="894"/>
      <c r="L156" s="894"/>
      <c r="M156" s="894"/>
      <c r="N156" s="894"/>
      <c r="O156" s="3"/>
      <c r="P156" s="3"/>
      <c r="Q156" s="3"/>
    </row>
    <row r="157" spans="1:19" s="4" customFormat="1" ht="13.5">
      <c r="B157" s="894" t="s">
        <v>517</v>
      </c>
      <c r="C157" s="894"/>
      <c r="D157" s="894"/>
      <c r="E157" s="894"/>
      <c r="F157" s="360"/>
      <c r="G157" s="894" t="s">
        <v>514</v>
      </c>
      <c r="H157" s="894"/>
      <c r="I157" s="894"/>
      <c r="J157" s="894"/>
      <c r="K157" s="894"/>
      <c r="L157" s="894"/>
      <c r="M157" s="894"/>
      <c r="N157" s="894"/>
      <c r="O157" s="3"/>
      <c r="P157" s="3"/>
      <c r="Q157" s="3"/>
    </row>
    <row r="158" spans="1:19" s="4" customFormat="1">
      <c r="B158" s="263"/>
      <c r="C158" s="263"/>
      <c r="D158" s="263"/>
      <c r="E158" s="263"/>
      <c r="F158" s="263"/>
      <c r="G158" s="263"/>
      <c r="H158" s="263"/>
      <c r="I158" s="263"/>
      <c r="J158" s="263"/>
      <c r="K158" s="263"/>
      <c r="L158" s="3"/>
      <c r="M158" s="3"/>
      <c r="N158" s="3"/>
      <c r="O158" s="3"/>
      <c r="P158" s="3"/>
      <c r="Q158" s="3"/>
    </row>
    <row r="159" spans="1:19" s="4" customFormat="1" ht="15.95" customHeight="1" collapsed="1" thickBot="1">
      <c r="B159" s="628" t="s">
        <v>56</v>
      </c>
      <c r="C159" s="628"/>
      <c r="D159" s="628"/>
      <c r="E159" s="629"/>
      <c r="F159" s="629"/>
      <c r="G159" s="629"/>
      <c r="H159" s="629"/>
      <c r="I159" s="629"/>
      <c r="J159" s="629"/>
      <c r="K159" s="629"/>
      <c r="L159" s="629"/>
      <c r="M159" s="629"/>
      <c r="N159" s="629"/>
      <c r="O159" s="630"/>
      <c r="P159" s="630"/>
      <c r="Q159" s="630"/>
      <c r="R159" s="631"/>
    </row>
    <row r="160" spans="1:19" s="4" customFormat="1">
      <c r="B160" s="895" t="str">
        <f>'Acq Proj'!B7</f>
        <v>Fiscal Year Ended December 31,</v>
      </c>
      <c r="C160" s="896"/>
      <c r="D160" s="896"/>
      <c r="E160" s="897"/>
      <c r="F160" s="897"/>
      <c r="G160" s="897"/>
      <c r="H160" s="897"/>
      <c r="I160" s="897"/>
      <c r="J160" s="897"/>
      <c r="K160" s="898"/>
      <c r="L160" s="899">
        <f>+L311</f>
        <v>2019</v>
      </c>
      <c r="M160" s="463">
        <f>M$12</f>
        <v>2020</v>
      </c>
      <c r="N160" s="463">
        <f>+M160+1</f>
        <v>2021</v>
      </c>
      <c r="O160" s="463">
        <f>+N160+1</f>
        <v>2022</v>
      </c>
      <c r="P160" s="463">
        <f>+O160+1</f>
        <v>2023</v>
      </c>
      <c r="Q160" s="463">
        <f>+P160+1</f>
        <v>2024</v>
      </c>
      <c r="R160" s="900"/>
      <c r="S160" s="900"/>
    </row>
    <row r="161" spans="2:17" ht="12.75" customHeight="1">
      <c r="B161" s="901" t="s">
        <v>57</v>
      </c>
      <c r="M161" s="7"/>
      <c r="N161" s="7"/>
      <c r="O161" s="7"/>
      <c r="P161" s="7"/>
      <c r="Q161" s="7"/>
    </row>
    <row r="162" spans="2:17" ht="12.75" customHeight="1">
      <c r="B162" s="109" t="str">
        <f>acq&amp;" Stand Alone"</f>
        <v>COLEMAN CO. Stand Alone</v>
      </c>
      <c r="M162" s="108">
        <f ca="1">'Acq Proj'!M26</f>
        <v>2.1640405822357822</v>
      </c>
      <c r="N162" s="108">
        <f ca="1">'Acq Proj'!N26</f>
        <v>2.4762479157706321</v>
      </c>
      <c r="O162" s="108">
        <f ca="1">'Acq Proj'!O26</f>
        <v>2.7895408393658023</v>
      </c>
      <c r="P162" s="108">
        <f ca="1">'Acq Proj'!P26</f>
        <v>3.1420904390886593</v>
      </c>
      <c r="Q162" s="108">
        <f ca="1">'Acq Proj'!Q26</f>
        <v>3.5387449129848649</v>
      </c>
    </row>
    <row r="163" spans="2:17" ht="12.75" customHeight="1">
      <c r="B163" s="3" t="s">
        <v>3</v>
      </c>
      <c r="M163" s="449">
        <f ca="1">M280</f>
        <v>2.6571492051681918</v>
      </c>
      <c r="N163" s="449">
        <f ca="1">N280</f>
        <v>3.3258329686735189</v>
      </c>
      <c r="O163" s="449">
        <f ca="1">O280</f>
        <v>3.8062700440329515</v>
      </c>
      <c r="P163" s="449">
        <f ca="1">P280</f>
        <v>4.3000024513078543</v>
      </c>
      <c r="Q163" s="449">
        <f ca="1">Q280</f>
        <v>4.8042545016373417</v>
      </c>
    </row>
    <row r="164" spans="2:17" ht="12.75" customHeight="1">
      <c r="B164" s="151" t="s">
        <v>6</v>
      </c>
      <c r="M164" s="141">
        <f ca="1">M163/M162-1</f>
        <v>0.22786477618777079</v>
      </c>
      <c r="N164" s="141">
        <f ca="1">N163/N162-1</f>
        <v>0.34309369732007933</v>
      </c>
      <c r="O164" s="141">
        <f ca="1">O163/O162-1</f>
        <v>0.36447905344103182</v>
      </c>
      <c r="P164" s="141">
        <f ca="1">P163/P162-1</f>
        <v>0.36851644937216999</v>
      </c>
      <c r="Q164" s="141">
        <f ca="1">Q163/Q162-1</f>
        <v>0.35761537487737227</v>
      </c>
    </row>
    <row r="165" spans="2:17" ht="12.75" customHeight="1">
      <c r="B165" s="151" t="s">
        <v>8</v>
      </c>
      <c r="M165" s="138">
        <f ca="1">M163-M162</f>
        <v>0.49310862293240953</v>
      </c>
      <c r="N165" s="138">
        <f ca="1">N163-N162</f>
        <v>0.84958505290288677</v>
      </c>
      <c r="O165" s="138">
        <f ca="1">O163-O162</f>
        <v>1.0167292046671492</v>
      </c>
      <c r="P165" s="138">
        <f ca="1">P163-P162</f>
        <v>1.157912012219195</v>
      </c>
      <c r="Q165" s="138">
        <f ca="1">Q163-Q162</f>
        <v>1.2655095886524768</v>
      </c>
    </row>
    <row r="166" spans="2:17" ht="12.75" customHeight="1">
      <c r="B166" s="151"/>
      <c r="M166" s="123"/>
      <c r="N166" s="123"/>
      <c r="O166" s="123"/>
      <c r="P166" s="123"/>
      <c r="Q166" s="123"/>
    </row>
    <row r="167" spans="2:17" ht="12.75" customHeight="1">
      <c r="B167" s="901" t="s">
        <v>58</v>
      </c>
    </row>
    <row r="168" spans="2:17" ht="12.75" customHeight="1">
      <c r="B168" s="3" t="str">
        <f>"Pre-Tax Cost Savings Needed For "&amp;TEXT(I168,"0.0%")&amp;" EPS Accretion"</f>
        <v>Pre-Tax Cost Savings Needed For 0.0% EPS Accretion</v>
      </c>
      <c r="I168" s="902">
        <v>0</v>
      </c>
      <c r="M168" s="874">
        <f ca="1">(((M$162*(1+$I168))*M$279)-M$274)/(1-M$286)</f>
        <v>-8.5969029732272535</v>
      </c>
      <c r="N168" s="874">
        <f ca="1">(((N$162*(1+$I168))*N$279)-N$274)/(1-N$286)</f>
        <v>-14.811747204654742</v>
      </c>
      <c r="O168" s="874">
        <f ca="1">(((O$162*(1+$I168))*O$279)-O$274)/(1-O$286)</f>
        <v>-17.725754359335337</v>
      </c>
      <c r="P168" s="874">
        <f ca="1">(((P$162*(1+$I168))*P$279)-P$274)/(1-P$286)</f>
        <v>-20.187148951859257</v>
      </c>
      <c r="Q168" s="874">
        <f ca="1">(((Q$162*(1+$I168))*Q$279)-Q$274)/(1-Q$286)</f>
        <v>-22.063015407510591</v>
      </c>
    </row>
    <row r="169" spans="2:17" ht="12.75" customHeight="1">
      <c r="B169" s="903" t="str">
        <f>"As a % of "&amp;tar&amp;" Stand Alone SG&amp;A"</f>
        <v>As a % of SG ENTERPRISES Stand Alone SG&amp;A</v>
      </c>
      <c r="I169" s="141"/>
      <c r="M169" s="889">
        <f ca="1">M168/M$228</f>
        <v>-0.62522930714380021</v>
      </c>
      <c r="N169" s="889">
        <f ca="1">N168/N$228</f>
        <v>-0.97928907138213139</v>
      </c>
      <c r="O169" s="889">
        <f ca="1">O168/O$228</f>
        <v>-1.0654097285851438</v>
      </c>
      <c r="P169" s="889">
        <f ca="1">P168/P$228</f>
        <v>-1.1030475487662998</v>
      </c>
      <c r="Q169" s="889">
        <f ca="1">Q168/Q$228</f>
        <v>-1.0959517374004795</v>
      </c>
    </row>
    <row r="170" spans="2:17" ht="12.75" customHeight="1">
      <c r="B170" s="904"/>
      <c r="I170" s="141"/>
      <c r="M170" s="905"/>
      <c r="N170" s="905"/>
      <c r="O170" s="905"/>
      <c r="P170" s="905"/>
      <c r="Q170" s="905"/>
    </row>
    <row r="171" spans="2:17" ht="12.75" customHeight="1">
      <c r="B171" s="3" t="str">
        <f>"Pre-Tax Cost Savings Needed For "&amp;TEXT(I171,"0.0%")&amp;" EPS Accretion"</f>
        <v>Pre-Tax Cost Savings Needed For 5.0% EPS Accretion</v>
      </c>
      <c r="I171" s="902">
        <v>0.05</v>
      </c>
      <c r="M171" s="874">
        <f ca="1">(((M$162*(1+$I171))*M$279)-M$274)/(1-M$286)</f>
        <v>-6.710498431670767</v>
      </c>
      <c r="N171" s="874">
        <f ca="1">(((N$162*(1+$I171))*N$279)-N$274)/(1-N$286)</f>
        <v>-12.653190034944251</v>
      </c>
      <c r="O171" s="874">
        <f ca="1">(((O$162*(1+$I171))*O$279)-O$274)/(1-O$286)</f>
        <v>-15.294098247415159</v>
      </c>
      <c r="P171" s="874">
        <f ca="1">(((P$162*(1+$I171))*P$279)-P$274)/(1-P$286)</f>
        <v>-17.448173665104559</v>
      </c>
      <c r="Q171" s="874">
        <f ca="1">(((Q$162*(1+$I171))*Q$279)-Q$274)/(1-Q$286)</f>
        <v>-18.978274515836659</v>
      </c>
    </row>
    <row r="172" spans="2:17" ht="12.75" customHeight="1">
      <c r="B172" s="151" t="str">
        <f>B169</f>
        <v>As a % of SG ENTERPRISES Stand Alone SG&amp;A</v>
      </c>
      <c r="I172" s="141"/>
      <c r="M172" s="889">
        <f ca="1">M171/M$228</f>
        <v>-0.48803624957605574</v>
      </c>
      <c r="N172" s="889">
        <f ca="1">N171/N$228</f>
        <v>-0.83657454776490892</v>
      </c>
      <c r="O172" s="889">
        <f ca="1">O171/O$228</f>
        <v>-0.91925459037807078</v>
      </c>
      <c r="P172" s="889">
        <f ca="1">P171/P$228</f>
        <v>-0.95338699078503097</v>
      </c>
      <c r="Q172" s="889">
        <f ca="1">Q171/Q$228</f>
        <v>-0.94272122574025108</v>
      </c>
    </row>
    <row r="173" spans="2:17" ht="12.75" customHeight="1">
      <c r="B173" s="904"/>
      <c r="I173" s="141"/>
      <c r="M173" s="905"/>
      <c r="N173" s="905"/>
      <c r="O173" s="905"/>
      <c r="P173" s="905"/>
      <c r="Q173" s="905"/>
    </row>
    <row r="174" spans="2:17" ht="12.75" customHeight="1">
      <c r="B174" s="3" t="str">
        <f>"Pre-Tax Cost Savings Needed For "&amp;TEXT(I174,"0.0%")&amp;" EPS Accretion"</f>
        <v>Pre-Tax Cost Savings Needed For 10.0% EPS Accretion</v>
      </c>
      <c r="I174" s="902">
        <v>0.1</v>
      </c>
      <c r="M174" s="874">
        <f ca="1">(((M$162*(1+$I174))*M$279)-M$274)/(1-M$286)</f>
        <v>-4.824093890114284</v>
      </c>
      <c r="N174" s="874">
        <f ca="1">(((N$162*(1+$I174))*N$279)-N$274)/(1-N$286)</f>
        <v>-10.494632865233759</v>
      </c>
      <c r="O174" s="874">
        <f ca="1">(((O$162*(1+$I174))*O$279)-O$274)/(1-O$286)</f>
        <v>-12.862442135494973</v>
      </c>
      <c r="P174" s="874">
        <f ca="1">(((P$162*(1+$I174))*P$279)-P$274)/(1-P$286)</f>
        <v>-14.709198378349848</v>
      </c>
      <c r="Q174" s="874">
        <f ca="1">(((Q$162*(1+$I174))*Q$279)-Q$274)/(1-Q$286)</f>
        <v>-15.893533624162728</v>
      </c>
    </row>
    <row r="175" spans="2:17" ht="12.75" customHeight="1">
      <c r="B175" s="151" t="str">
        <f>B172</f>
        <v>As a % of SG ENTERPRISES Stand Alone SG&amp;A</v>
      </c>
      <c r="M175" s="889">
        <f ca="1">M174/M$228</f>
        <v>-0.35084319200831154</v>
      </c>
      <c r="N175" s="889">
        <f ca="1">N174/N$228</f>
        <v>-0.69386002414768644</v>
      </c>
      <c r="O175" s="889">
        <f ca="1">O174/O$228</f>
        <v>-0.77309945217099729</v>
      </c>
      <c r="P175" s="889">
        <f ca="1">P174/P$228</f>
        <v>-0.80372643280376144</v>
      </c>
      <c r="Q175" s="889">
        <f ca="1">Q174/Q$228</f>
        <v>-0.7894907140800228</v>
      </c>
    </row>
    <row r="176" spans="2:17" ht="12.75" customHeight="1">
      <c r="B176" s="904"/>
      <c r="M176" s="905"/>
      <c r="N176" s="905"/>
      <c r="O176" s="905"/>
      <c r="P176" s="905"/>
      <c r="Q176" s="905"/>
    </row>
    <row r="177" spans="2:17" ht="12.75" customHeight="1">
      <c r="B177" s="901" t="s">
        <v>59</v>
      </c>
      <c r="M177" s="10"/>
      <c r="N177" s="10"/>
      <c r="O177" s="10"/>
      <c r="P177" s="10"/>
      <c r="Q177" s="10"/>
    </row>
    <row r="178" spans="2:17" ht="12.75" customHeight="1">
      <c r="B178" s="3" t="s">
        <v>61</v>
      </c>
      <c r="L178" s="144"/>
      <c r="M178" s="144"/>
      <c r="N178" s="144"/>
      <c r="O178" s="144"/>
      <c r="P178" s="144"/>
      <c r="Q178" s="144"/>
    </row>
    <row r="179" spans="2:17" ht="12.75" customHeight="1">
      <c r="B179" s="151" t="str">
        <f>$B$162</f>
        <v>COLEMAN CO. Stand Alone</v>
      </c>
      <c r="L179" s="906">
        <f ca="1">'Acq Proj'!L174</f>
        <v>0</v>
      </c>
      <c r="M179" s="906">
        <f ca="1">'Acq Proj'!M174</f>
        <v>0</v>
      </c>
      <c r="N179" s="906">
        <f ca="1">'Acq Proj'!N174</f>
        <v>0</v>
      </c>
      <c r="O179" s="906">
        <f ca="1">'Acq Proj'!O174</f>
        <v>0</v>
      </c>
      <c r="P179" s="906">
        <f ca="1">'Acq Proj'!P174</f>
        <v>0</v>
      </c>
      <c r="Q179" s="906">
        <f ca="1">'Acq Proj'!Q174</f>
        <v>0</v>
      </c>
    </row>
    <row r="180" spans="2:17" ht="12.75" customHeight="1">
      <c r="B180" s="151" t="s">
        <v>3</v>
      </c>
      <c r="L180" s="200">
        <f t="shared" ref="L180:Q180" ca="1" si="9">L341</f>
        <v>0.45258861904959424</v>
      </c>
      <c r="M180" s="200">
        <f t="shared" ca="1" si="9"/>
        <v>0.29318921482333138</v>
      </c>
      <c r="N180" s="200">
        <f t="shared" ca="1" si="9"/>
        <v>0.1690697407463744</v>
      </c>
      <c r="O180" s="200">
        <f t="shared" ca="1" si="9"/>
        <v>0.13998192816149443</v>
      </c>
      <c r="P180" s="200">
        <f t="shared" ca="1" si="9"/>
        <v>0.11717511227995994</v>
      </c>
      <c r="Q180" s="200">
        <f t="shared" ca="1" si="9"/>
        <v>9.911268129884411E-2</v>
      </c>
    </row>
    <row r="181" spans="2:17" ht="12.75" customHeight="1">
      <c r="B181" s="151"/>
      <c r="L181" s="200"/>
      <c r="M181" s="200"/>
      <c r="N181" s="200"/>
      <c r="O181" s="200"/>
      <c r="P181" s="200"/>
      <c r="Q181" s="200"/>
    </row>
    <row r="182" spans="2:17" ht="12.75" customHeight="1">
      <c r="B182" s="3" t="s">
        <v>62</v>
      </c>
      <c r="L182" s="200"/>
      <c r="M182" s="200"/>
      <c r="N182" s="200"/>
      <c r="O182" s="200"/>
      <c r="P182" s="200"/>
      <c r="Q182" s="200"/>
    </row>
    <row r="183" spans="2:17" ht="12.75" customHeight="1">
      <c r="B183" s="151" t="str">
        <f>$B$162</f>
        <v>COLEMAN CO. Stand Alone</v>
      </c>
      <c r="L183" s="906">
        <f ca="1">'Acq Proj'!L175</f>
        <v>-3.4064843150152959</v>
      </c>
      <c r="M183" s="906">
        <f ca="1">'Acq Proj'!M175</f>
        <v>-3.532818582822761</v>
      </c>
      <c r="N183" s="906">
        <f ca="1">'Acq Proj'!N175</f>
        <v>-3.6954871936984826</v>
      </c>
      <c r="O183" s="906">
        <f ca="1">'Acq Proj'!O175</f>
        <v>-3.8762642815283948</v>
      </c>
      <c r="P183" s="906">
        <f ca="1">'Acq Proj'!P175</f>
        <v>-4.0283806866311789</v>
      </c>
      <c r="Q183" s="906">
        <f ca="1">'Acq Proj'!Q175</f>
        <v>-4.1577276252937887</v>
      </c>
    </row>
    <row r="184" spans="2:17" ht="12.75" customHeight="1">
      <c r="B184" s="151" t="s">
        <v>3</v>
      </c>
      <c r="L184" s="200">
        <f t="shared" ref="L184:Q184" ca="1" si="10">L342</f>
        <v>0.376636990516794</v>
      </c>
      <c r="M184" s="200">
        <f t="shared" ca="1" si="10"/>
        <v>0.22160163813065076</v>
      </c>
      <c r="N184" s="200">
        <f t="shared" ca="1" si="10"/>
        <v>2.3382749943478529E-2</v>
      </c>
      <c r="O184" s="200">
        <f t="shared" ca="1" si="10"/>
        <v>-0.19572328949166282</v>
      </c>
      <c r="P184" s="200">
        <f t="shared" ca="1" si="10"/>
        <v>-0.43106729423533019</v>
      </c>
      <c r="Q184" s="200">
        <f t="shared" ca="1" si="10"/>
        <v>-0.67863265708155773</v>
      </c>
    </row>
    <row r="185" spans="2:17" ht="12.75" customHeight="1">
      <c r="B185" s="151"/>
      <c r="M185" s="687"/>
      <c r="N185" s="687"/>
      <c r="O185" s="687"/>
      <c r="P185" s="687"/>
      <c r="Q185" s="687"/>
    </row>
    <row r="186" spans="2:17" ht="12.75" customHeight="1">
      <c r="B186" s="3" t="s">
        <v>403</v>
      </c>
      <c r="E186" s="907">
        <f>'Acq Proj'!E186</f>
        <v>8</v>
      </c>
      <c r="L186" s="144"/>
      <c r="M186" s="144"/>
      <c r="N186" s="144"/>
      <c r="O186" s="144"/>
      <c r="P186" s="144"/>
      <c r="Q186" s="144"/>
    </row>
    <row r="187" spans="2:17" ht="12.75" customHeight="1">
      <c r="B187" s="151" t="str">
        <f>$B$162</f>
        <v>COLEMAN CO. Stand Alone</v>
      </c>
      <c r="L187" s="808">
        <f ca="1">'Acq Proj'!L186</f>
        <v>0.85714285714285721</v>
      </c>
      <c r="M187" s="808">
        <f ca="1">'Acq Proj'!M186</f>
        <v>0.88537549407114635</v>
      </c>
      <c r="N187" s="808">
        <f ca="1">'Acq Proj'!N186</f>
        <v>0.88537549407114624</v>
      </c>
      <c r="O187" s="808">
        <f ca="1">'Acq Proj'!O186</f>
        <v>0.88537549407114635</v>
      </c>
      <c r="P187" s="808">
        <f ca="1">'Acq Proj'!P186</f>
        <v>0.88537549407114635</v>
      </c>
      <c r="Q187" s="808">
        <f ca="1">'Acq Proj'!Q186</f>
        <v>0.88537549407114635</v>
      </c>
    </row>
    <row r="188" spans="2:17" ht="12.75" customHeight="1">
      <c r="B188" s="151" t="s">
        <v>3</v>
      </c>
      <c r="L188" s="808">
        <f ca="1">IF(AND((L329+L292*$E186)&gt;0,(('Acq Proj'!L184+'Tar Proj'!L184))&gt;0),(L329+$E186*('Acq Proj'!L37+'Tar Proj'!L37))/('Acq Proj'!L184+'Tar Proj'!L184),"NM")</f>
        <v>2.2558417837122882</v>
      </c>
      <c r="M188" s="908">
        <f ca="1">IF(AND((M329+M292*$E186)&gt;0,(M293+M210)&gt;0),(M329+M292*$E186)/(M293+M210),"NM")</f>
        <v>1.5833412430971976</v>
      </c>
      <c r="N188" s="908">
        <f ca="1">IF(AND((N329+N292*$E186)&gt;0,(N293+N210)&gt;0),(N329+N292*$E186)/(N293+N210),"NM")</f>
        <v>1.1750276691350428</v>
      </c>
      <c r="O188" s="908">
        <f ca="1">IF(AND((O329+O292*$E186)&gt;0,(O293+O210)&gt;0),(O329+O292*$E186)/(O293+O210),"NM")</f>
        <v>1.1292672082113395</v>
      </c>
      <c r="P188" s="908">
        <f ca="1">IF(AND((P329+P292*$E186)&gt;0,(P293+P210)&gt;0),(P329+P292*$E186)/(P293+P210),"NM")</f>
        <v>1.088431350679304</v>
      </c>
      <c r="Q188" s="908">
        <f ca="1">IF(AND((Q329+Q292*$E186)&gt;0,(Q293+Q210)&gt;0),(Q329+Q292*$E186)/(Q293+Q210),"NM")</f>
        <v>1.0591618833855261</v>
      </c>
    </row>
    <row r="189" spans="2:17" ht="12.75" customHeight="1">
      <c r="B189" s="151"/>
      <c r="L189" s="144"/>
      <c r="M189" s="144"/>
      <c r="N189" s="144"/>
      <c r="O189" s="144"/>
      <c r="P189" s="144"/>
      <c r="Q189" s="144"/>
    </row>
    <row r="190" spans="2:17" ht="12.75" customHeight="1">
      <c r="B190" s="3" t="s">
        <v>170</v>
      </c>
      <c r="L190" s="144"/>
      <c r="M190" s="144"/>
      <c r="N190" s="144"/>
      <c r="O190" s="144"/>
      <c r="P190" s="144"/>
      <c r="Q190" s="144"/>
    </row>
    <row r="191" spans="2:17" ht="12.75" customHeight="1">
      <c r="B191" s="151" t="str">
        <f>$B$162</f>
        <v>COLEMAN CO. Stand Alone</v>
      </c>
      <c r="L191" s="808" t="str">
        <f ca="1">'Acq Proj'!L187</f>
        <v>NM</v>
      </c>
      <c r="M191" s="808" t="str">
        <f ca="1">'Acq Proj'!M187</f>
        <v>NM</v>
      </c>
      <c r="N191" s="808" t="str">
        <f ca="1">'Acq Proj'!N187</f>
        <v>NM</v>
      </c>
      <c r="O191" s="808" t="str">
        <f ca="1">'Acq Proj'!O187</f>
        <v>NM</v>
      </c>
      <c r="P191" s="808" t="str">
        <f ca="1">'Acq Proj'!P187</f>
        <v>NM</v>
      </c>
      <c r="Q191" s="808" t="str">
        <f ca="1">'Acq Proj'!Q187</f>
        <v>NM</v>
      </c>
    </row>
    <row r="192" spans="2:17" ht="12.75" customHeight="1">
      <c r="B192" s="151" t="s">
        <v>3</v>
      </c>
      <c r="L192" s="144">
        <f ca="1">IF(AND(L329&gt;0,(L250+L210)&gt;0),L329/(L250+L210),"NM")</f>
        <v>1.6666666666666667</v>
      </c>
      <c r="M192" s="144">
        <f ca="1">IF(AND(M329&gt;0,(M291+M210)&gt;0),M329/(M291+M210),"NM")</f>
        <v>0.92404505500117595</v>
      </c>
      <c r="N192" s="144">
        <f ca="1">IF(AND(N329&gt;0,(N291+N210)&gt;0),N329/(N291+N210),"NM")</f>
        <v>0.49546391892903568</v>
      </c>
      <c r="O192" s="144">
        <f ca="1">IF(AND(O329&gt;0,(O291+O210)&gt;0),O329/(O291+O210),"NM")</f>
        <v>0.44348878657691015</v>
      </c>
      <c r="P192" s="144">
        <f ca="1">IF(AND(P329&gt;0,(P291+P210)&gt;0),P329/(P291+P210),"NM")</f>
        <v>0.39692327035187258</v>
      </c>
      <c r="Q192" s="144">
        <f ca="1">IF(AND(Q329&gt;0,(Q291+Q210)&gt;0),Q329/(Q291+Q210),"NM")</f>
        <v>0.3578683220444871</v>
      </c>
    </row>
    <row r="193" spans="2:17" ht="12.75" customHeight="1">
      <c r="B193" s="151"/>
      <c r="L193" s="144"/>
      <c r="M193" s="144"/>
      <c r="N193" s="144"/>
      <c r="O193" s="144"/>
      <c r="P193" s="144"/>
      <c r="Q193" s="144"/>
    </row>
    <row r="194" spans="2:17" ht="12.75" customHeight="1">
      <c r="B194" s="3" t="s">
        <v>279</v>
      </c>
      <c r="L194" s="144"/>
      <c r="M194" s="144"/>
      <c r="N194" s="144"/>
      <c r="O194" s="144"/>
      <c r="P194" s="144"/>
      <c r="Q194" s="144"/>
    </row>
    <row r="195" spans="2:17" ht="12.75" customHeight="1">
      <c r="B195" s="151" t="str">
        <f>$B$162</f>
        <v>COLEMAN CO. Stand Alone</v>
      </c>
      <c r="L195" s="808" t="str">
        <f ca="1">'Acq Proj'!L188</f>
        <v>NM</v>
      </c>
      <c r="M195" s="808" t="str">
        <f ca="1">'Acq Proj'!M188</f>
        <v>NM</v>
      </c>
      <c r="N195" s="808" t="str">
        <f ca="1">'Acq Proj'!N188</f>
        <v>NM</v>
      </c>
      <c r="O195" s="808" t="str">
        <f ca="1">'Acq Proj'!O188</f>
        <v>NM</v>
      </c>
      <c r="P195" s="808" t="str">
        <f ca="1">'Acq Proj'!P188</f>
        <v>NM</v>
      </c>
      <c r="Q195" s="808" t="str">
        <f ca="1">'Acq Proj'!Q188</f>
        <v>NM</v>
      </c>
    </row>
    <row r="196" spans="2:17" ht="12.75" customHeight="1">
      <c r="B196" s="151" t="s">
        <v>3</v>
      </c>
      <c r="L196" s="144">
        <f ca="1">IF(AND((L329-L313)&gt;0,(L250+L210)&gt;0),(L329-L313)/(L250+L210),"NM")</f>
        <v>1.217982046171044</v>
      </c>
      <c r="M196" s="144">
        <f ca="1">IF(AND((M329-M313)&gt;0,(M291+M210)&gt;0),(M329-M313)/(M291+M210),"NM")</f>
        <v>0.63418998253740777</v>
      </c>
      <c r="N196" s="144">
        <f ca="1">IF(AND((N329-N313)&gt;0,(N291+N210)&gt;0),(N329-N313)/(N291+N210),"NM")</f>
        <v>5.8301793599917266E-2</v>
      </c>
      <c r="O196" s="144" t="str">
        <f ca="1">IF(AND((O329-O313)&gt;0,(O291+O210)&gt;0),(O329-O313)/(O291+O210),"NM")</f>
        <v>NM</v>
      </c>
      <c r="P196" s="144" t="str">
        <f ca="1">IF(AND((P329-P313)&gt;0,(P291+P210)&gt;0),(P329-P313)/(P291+P210),"NM")</f>
        <v>NM</v>
      </c>
      <c r="Q196" s="144" t="str">
        <f ca="1">IF(AND((Q329-Q313)&gt;0,(Q291+Q210)&gt;0),(Q329-Q313)/(Q291+Q210),"NM")</f>
        <v>NM</v>
      </c>
    </row>
    <row r="197" spans="2:17" ht="12.75" customHeight="1">
      <c r="B197" s="151"/>
      <c r="L197" s="144"/>
      <c r="M197" s="144"/>
      <c r="N197" s="144"/>
      <c r="O197" s="144"/>
      <c r="P197" s="144"/>
      <c r="Q197" s="144"/>
    </row>
    <row r="198" spans="2:17" ht="12.75" customHeight="1">
      <c r="B198" s="3" t="s">
        <v>500</v>
      </c>
      <c r="L198" s="144"/>
      <c r="M198" s="144"/>
      <c r="N198" s="144"/>
      <c r="O198" s="144"/>
      <c r="P198" s="144"/>
      <c r="Q198" s="144"/>
    </row>
    <row r="199" spans="2:17" ht="12.75" customHeight="1">
      <c r="B199" s="151" t="str">
        <f>$B$162</f>
        <v>COLEMAN CO. Stand Alone</v>
      </c>
      <c r="L199" s="808" t="str">
        <f ca="1">'Acq Proj'!L189</f>
        <v>NM</v>
      </c>
      <c r="M199" s="808" t="str">
        <f ca="1">'Acq Proj'!M189</f>
        <v>NM</v>
      </c>
      <c r="N199" s="808" t="str">
        <f ca="1">'Acq Proj'!N189</f>
        <v>NM</v>
      </c>
      <c r="O199" s="808" t="str">
        <f ca="1">'Acq Proj'!O189</f>
        <v>NM</v>
      </c>
      <c r="P199" s="808" t="str">
        <f ca="1">'Acq Proj'!P189</f>
        <v>NM</v>
      </c>
      <c r="Q199" s="808" t="str">
        <f ca="1">'Acq Proj'!Q189</f>
        <v>NM</v>
      </c>
    </row>
    <row r="200" spans="2:17" ht="12.75" customHeight="1">
      <c r="B200" s="151" t="s">
        <v>3</v>
      </c>
      <c r="L200" s="144">
        <f ca="1">IF(AND((L390+L391+L394)&gt;0,(L250+L210)&gt;0),(L390+L391+L394)/(L250+L210),"NM")</f>
        <v>1</v>
      </c>
      <c r="M200" s="144">
        <f ca="1">IF(AND((M390+M391+M394)&gt;0,(M291+M210)&gt;0),(M390+M391+M394)/(M291+M210),"NM")</f>
        <v>0.3443349100736397</v>
      </c>
      <c r="N200" s="144" t="str">
        <f ca="1">IF(AND((N390+N391+N394)&gt;0,(N291+N210)&gt;0),(N390+N391+N394)/(N291+N210),"NM")</f>
        <v>NM</v>
      </c>
      <c r="O200" s="144" t="str">
        <f ca="1">IF(AND((O390+O391+O394)&gt;0,(O291+O210)&gt;0),(O390+O391+O394)/(O291+O210),"NM")</f>
        <v>NM</v>
      </c>
      <c r="P200" s="144" t="str">
        <f ca="1">IF(AND((P390+P391+P394)&gt;0,(P291+P210)&gt;0),(P390+P391+P394)/(P291+P210),"NM")</f>
        <v>NM</v>
      </c>
      <c r="Q200" s="144" t="str">
        <f ca="1">IF(AND((Q390+Q391+Q394)&gt;0,(Q291+Q210)&gt;0),(Q390+Q391+Q394)/(Q291+Q210),"NM")</f>
        <v>NM</v>
      </c>
    </row>
    <row r="201" spans="2:17" ht="12.75" customHeight="1">
      <c r="B201" s="151"/>
      <c r="L201" s="144"/>
      <c r="M201" s="144"/>
      <c r="N201" s="144"/>
      <c r="O201" s="144"/>
      <c r="P201" s="144"/>
      <c r="Q201" s="144"/>
    </row>
    <row r="202" spans="2:17" ht="12.75" customHeight="1">
      <c r="B202" s="3" t="s">
        <v>60</v>
      </c>
      <c r="L202" s="253"/>
      <c r="M202" s="882"/>
      <c r="N202" s="882"/>
      <c r="O202" s="882"/>
      <c r="P202" s="882"/>
      <c r="Q202" s="882"/>
    </row>
    <row r="203" spans="2:17" ht="12.75" customHeight="1">
      <c r="B203" s="151" t="str">
        <f>$B$162</f>
        <v>COLEMAN CO. Stand Alone</v>
      </c>
      <c r="L203" s="808" t="str">
        <f ca="1">'Acq Proj'!L191</f>
        <v>NM</v>
      </c>
      <c r="M203" s="110" t="str">
        <f ca="1">'Acq Proj'!M191</f>
        <v>NM</v>
      </c>
      <c r="N203" s="110" t="str">
        <f ca="1">'Acq Proj'!N191</f>
        <v>NM</v>
      </c>
      <c r="O203" s="110" t="str">
        <f ca="1">'Acq Proj'!O191</f>
        <v>NM</v>
      </c>
      <c r="P203" s="110" t="str">
        <f ca="1">'Acq Proj'!P191</f>
        <v>NM</v>
      </c>
      <c r="Q203" s="110" t="str">
        <f ca="1">'Acq Proj'!Q191</f>
        <v>NM</v>
      </c>
    </row>
    <row r="204" spans="2:17" ht="12.75" customHeight="1">
      <c r="B204" s="151" t="s">
        <v>3</v>
      </c>
      <c r="L204" s="887">
        <f ca="1">IF(AND((L250+L210)&gt;0,L435&gt;0),(L250+L210)/L435,"NM")</f>
        <v>8.7396464493929606</v>
      </c>
      <c r="M204" s="887">
        <f ca="1">IF(AND((M291+M210)&gt;0,M435&gt;0),(M291+M210)/M435,"NM")</f>
        <v>12.189111623990522</v>
      </c>
      <c r="N204" s="887">
        <f ca="1">IF(AND((N291+N210)&gt;0,N435&gt;0),(N291+N210)/N435,"NM")</f>
        <v>21.207761297023339</v>
      </c>
      <c r="O204" s="887">
        <f ca="1">IF(AND((O291+O210)&gt;0,O435&gt;0),(O291+O210)/O435,"NM")</f>
        <v>30.955100529727009</v>
      </c>
      <c r="P204" s="887">
        <f ca="1">IF(AND((P291+P210)&gt;0,P435&gt;0),(P291+P210)/P435,"NM")</f>
        <v>37.673120368957655</v>
      </c>
      <c r="Q204" s="887">
        <f ca="1">IF(AND((Q291+Q210)&gt;0,Q435&gt;0),(Q291+Q210)/Q435,"NM")</f>
        <v>46.415712647612445</v>
      </c>
    </row>
    <row r="205" spans="2:17" ht="12.75" customHeight="1">
      <c r="B205" s="151"/>
      <c r="L205" s="144"/>
      <c r="M205" s="887"/>
      <c r="N205" s="887"/>
      <c r="O205" s="887"/>
      <c r="P205" s="887"/>
      <c r="Q205" s="887"/>
    </row>
    <row r="206" spans="2:17" ht="12.75" customHeight="1">
      <c r="B206" s="3" t="s">
        <v>236</v>
      </c>
      <c r="L206" s="144"/>
      <c r="M206" s="144"/>
      <c r="N206" s="144"/>
      <c r="O206" s="144"/>
      <c r="P206" s="144"/>
      <c r="Q206" s="144"/>
    </row>
    <row r="207" spans="2:17" ht="12.75" customHeight="1">
      <c r="B207" s="151" t="str">
        <f>$B$162</f>
        <v>COLEMAN CO. Stand Alone</v>
      </c>
      <c r="L207" s="808" t="str">
        <f ca="1">'Acq Proj'!L192</f>
        <v>NM</v>
      </c>
      <c r="M207" s="808" t="str">
        <f ca="1">'Acq Proj'!M192</f>
        <v>NM</v>
      </c>
      <c r="N207" s="808" t="str">
        <f ca="1">'Acq Proj'!N192</f>
        <v>NM</v>
      </c>
      <c r="O207" s="808" t="str">
        <f ca="1">'Acq Proj'!O192</f>
        <v>NM</v>
      </c>
      <c r="P207" s="808" t="str">
        <f ca="1">'Acq Proj'!P192</f>
        <v>NM</v>
      </c>
      <c r="Q207" s="808" t="str">
        <f ca="1">'Acq Proj'!Q192</f>
        <v>NM</v>
      </c>
    </row>
    <row r="208" spans="2:17" ht="12.75" customHeight="1">
      <c r="B208" s="151" t="s">
        <v>3</v>
      </c>
      <c r="L208" s="808">
        <f ca="1">IF(AND((('Acq Proj'!L180+'Acq Proj'!L98+'Tar Proj'!L180+'Tar Proj'!L198))&gt;0,L435&gt;0),(('Acq Proj'!L180+'Acq Proj'!L98+'Tar Proj'!L180+'Tar Proj'!L198))/L435,"NM")</f>
        <v>7.2903217465352945</v>
      </c>
      <c r="M208" s="144">
        <f ca="1">IF(AND(((M291+M210)+M359)&gt;0,M435&gt;0),((M291+M210)+M359)/M435,"NM")</f>
        <v>9.0976702700798828</v>
      </c>
      <c r="N208" s="144">
        <f ca="1">IF(AND(((N291+N210)+N359)&gt;0,N435&gt;0),((N291+N210)+N359)/N435,"NM")</f>
        <v>16.015841295286311</v>
      </c>
      <c r="O208" s="144">
        <f ca="1">IF(AND(((O291+O210)+O359)&gt;0,O435&gt;0),((O291+O210)+O359)/O435,"NM")</f>
        <v>23.375886329308411</v>
      </c>
      <c r="P208" s="144">
        <f ca="1">IF(AND(((P291+P210)+P359)&gt;0,P435&gt;0),((P291+P210)+P359)/P435,"NM")</f>
        <v>28.447791914688047</v>
      </c>
      <c r="Q208" s="144">
        <f ca="1">IF(AND(((Q291+Q210)+Q359)&gt;0,Q435&gt;0),((Q291+Q210)+Q359)/Q435,"NM")</f>
        <v>34.962901751527298</v>
      </c>
    </row>
    <row r="209" spans="2:19" ht="12.75" customHeight="1">
      <c r="B209" s="151"/>
      <c r="L209" s="144"/>
      <c r="M209" s="144"/>
      <c r="N209" s="144"/>
      <c r="O209" s="144"/>
      <c r="P209" s="144"/>
      <c r="Q209" s="144"/>
    </row>
    <row r="210" spans="2:19" ht="12.75" customHeight="1">
      <c r="B210" s="109" t="str">
        <f>'Acq Proj'!B177</f>
        <v>Additional EBITDA Adjustments for Leverage Ratios</v>
      </c>
      <c r="L210" s="125">
        <f>'Acq Proj'!L179+'Tar Proj'!L179</f>
        <v>0</v>
      </c>
      <c r="M210" s="125">
        <f>'Acq Proj'!M179+'Tar Proj'!M179</f>
        <v>0</v>
      </c>
      <c r="N210" s="125">
        <f>'Acq Proj'!N179+'Tar Proj'!N179</f>
        <v>0</v>
      </c>
      <c r="O210" s="125">
        <f>'Acq Proj'!O179+'Tar Proj'!O179</f>
        <v>0</v>
      </c>
      <c r="P210" s="125">
        <f>'Acq Proj'!P179+'Tar Proj'!P179</f>
        <v>0</v>
      </c>
      <c r="Q210" s="125">
        <f>'Acq Proj'!Q179+'Tar Proj'!Q179</f>
        <v>0</v>
      </c>
    </row>
    <row r="211" spans="2:19" ht="12.75" customHeight="1">
      <c r="B211" s="901"/>
      <c r="L211" s="253"/>
      <c r="M211" s="882"/>
      <c r="N211" s="882"/>
      <c r="O211" s="882"/>
      <c r="P211" s="882"/>
      <c r="Q211" s="882"/>
    </row>
    <row r="212" spans="2:19" s="4" customFormat="1" ht="15.95" customHeight="1" collapsed="1" thickBot="1">
      <c r="B212" s="628" t="s">
        <v>66</v>
      </c>
      <c r="C212" s="628"/>
      <c r="D212" s="628"/>
      <c r="E212" s="629"/>
      <c r="F212" s="629"/>
      <c r="G212" s="629"/>
      <c r="H212" s="629"/>
      <c r="I212" s="629"/>
      <c r="J212" s="629"/>
      <c r="K212" s="629"/>
      <c r="L212" s="629"/>
      <c r="M212" s="629"/>
      <c r="N212" s="629"/>
      <c r="O212" s="630"/>
      <c r="P212" s="630"/>
      <c r="Q212" s="630"/>
      <c r="R212" s="631"/>
    </row>
    <row r="213" spans="2:19" s="4" customFormat="1">
      <c r="B213" s="895" t="str">
        <f>$B$160</f>
        <v>Fiscal Year Ended December 31,</v>
      </c>
      <c r="C213" s="896"/>
      <c r="D213" s="896"/>
      <c r="E213" s="897"/>
      <c r="F213" s="897"/>
      <c r="G213" s="897"/>
      <c r="H213" s="897"/>
      <c r="I213" s="897"/>
      <c r="J213" s="897"/>
      <c r="K213" s="898"/>
      <c r="L213" s="898"/>
      <c r="M213" s="463">
        <f>M$12</f>
        <v>2020</v>
      </c>
      <c r="N213" s="463">
        <f>+M213+1</f>
        <v>2021</v>
      </c>
      <c r="O213" s="463">
        <f>+N213+1</f>
        <v>2022</v>
      </c>
      <c r="P213" s="463">
        <f>+O213+1</f>
        <v>2023</v>
      </c>
      <c r="Q213" s="463">
        <f>+P213+1</f>
        <v>2024</v>
      </c>
      <c r="R213" s="900"/>
      <c r="S213" s="900"/>
    </row>
    <row r="214" spans="2:19" ht="18" customHeight="1">
      <c r="B214" s="139" t="s">
        <v>262</v>
      </c>
      <c r="M214" s="7"/>
      <c r="N214" s="7"/>
      <c r="O214" s="7"/>
      <c r="P214" s="7"/>
      <c r="Q214" s="7"/>
    </row>
    <row r="215" spans="2:19">
      <c r="B215" s="109" t="str">
        <f>acq&amp;" Stand Alone"</f>
        <v>COLEMAN CO. Stand Alone</v>
      </c>
      <c r="L215" s="621"/>
      <c r="M215" s="113">
        <f>'Acq Proj'!M8</f>
        <v>140</v>
      </c>
      <c r="N215" s="113">
        <f>'Acq Proj'!N8</f>
        <v>160</v>
      </c>
      <c r="O215" s="113">
        <f>'Acq Proj'!O8</f>
        <v>180</v>
      </c>
      <c r="P215" s="113">
        <f>'Acq Proj'!P8</f>
        <v>202.5</v>
      </c>
      <c r="Q215" s="113">
        <f>'Acq Proj'!Q8</f>
        <v>227.8125</v>
      </c>
    </row>
    <row r="216" spans="2:19">
      <c r="B216" s="109" t="str">
        <f>tar&amp;" Stand Alone"</f>
        <v>SG ENTERPRISES Stand Alone</v>
      </c>
      <c r="L216" s="436"/>
      <c r="M216" s="408">
        <f>'Tar Proj'!M8</f>
        <v>55.000000000000007</v>
      </c>
      <c r="N216" s="408">
        <f>'Tar Proj'!N8</f>
        <v>60.500000000000014</v>
      </c>
      <c r="O216" s="408">
        <f>'Tar Proj'!O8</f>
        <v>66.550000000000026</v>
      </c>
      <c r="P216" s="408">
        <f>'Tar Proj'!P8</f>
        <v>73.205000000000041</v>
      </c>
      <c r="Q216" s="408">
        <f>'Tar Proj'!Q8</f>
        <v>80.525500000000051</v>
      </c>
    </row>
    <row r="217" spans="2:19">
      <c r="B217" s="3" t="str">
        <f>"Lost Net Sales"</f>
        <v>Lost Net Sales</v>
      </c>
      <c r="L217" s="190"/>
      <c r="M217" s="190">
        <v>0</v>
      </c>
      <c r="N217" s="190">
        <v>0</v>
      </c>
      <c r="O217" s="190">
        <v>0</v>
      </c>
      <c r="P217" s="190">
        <v>0</v>
      </c>
      <c r="Q217" s="190">
        <v>0</v>
      </c>
    </row>
    <row r="218" spans="2:19">
      <c r="B218" s="151" t="s">
        <v>67</v>
      </c>
      <c r="L218" s="146"/>
      <c r="M218" s="909">
        <f>SUM(M215:M217)</f>
        <v>195</v>
      </c>
      <c r="N218" s="910">
        <f>SUM(N215:N217)</f>
        <v>220.5</v>
      </c>
      <c r="O218" s="827">
        <f>SUM(O215:O217)</f>
        <v>246.55</v>
      </c>
      <c r="P218" s="827">
        <f>SUM(P215:P217)</f>
        <v>275.70500000000004</v>
      </c>
      <c r="Q218" s="827">
        <f>SUM(Q215:Q217)</f>
        <v>308.33800000000008</v>
      </c>
    </row>
    <row r="219" spans="2:19">
      <c r="L219" s="236"/>
      <c r="M219" s="218"/>
      <c r="N219" s="218"/>
      <c r="O219" s="218"/>
      <c r="P219" s="218"/>
      <c r="Q219" s="218"/>
    </row>
    <row r="220" spans="2:19">
      <c r="B220" s="139" t="s">
        <v>68</v>
      </c>
      <c r="L220" s="236"/>
      <c r="M220" s="218"/>
      <c r="N220" s="218"/>
      <c r="O220" s="218"/>
      <c r="P220" s="218"/>
      <c r="Q220" s="218"/>
    </row>
    <row r="221" spans="2:19">
      <c r="B221" s="3" t="str">
        <f>$B$215</f>
        <v>COLEMAN CO. Stand Alone</v>
      </c>
      <c r="L221" s="621"/>
      <c r="M221" s="113">
        <f>'Acq Proj'!M10</f>
        <v>70</v>
      </c>
      <c r="N221" s="113">
        <f>'Acq Proj'!N10</f>
        <v>80</v>
      </c>
      <c r="O221" s="113">
        <f>'Acq Proj'!O10</f>
        <v>90</v>
      </c>
      <c r="P221" s="113">
        <f>'Acq Proj'!P10</f>
        <v>101.25</v>
      </c>
      <c r="Q221" s="113">
        <f>'Acq Proj'!Q10</f>
        <v>113.90625</v>
      </c>
    </row>
    <row r="222" spans="2:19">
      <c r="B222" s="3" t="str">
        <f>$B$216</f>
        <v>SG ENTERPRISES Stand Alone</v>
      </c>
      <c r="L222" s="436"/>
      <c r="M222" s="408">
        <f>'Tar Proj'!M10</f>
        <v>30.250000000000007</v>
      </c>
      <c r="N222" s="408">
        <f>'Tar Proj'!N10</f>
        <v>33.275000000000006</v>
      </c>
      <c r="O222" s="408">
        <f>'Tar Proj'!O10</f>
        <v>36.60250000000002</v>
      </c>
      <c r="P222" s="408">
        <f>'Tar Proj'!P10</f>
        <v>40.262750000000025</v>
      </c>
      <c r="Q222" s="408">
        <f>'Tar Proj'!Q10</f>
        <v>44.289025000000031</v>
      </c>
    </row>
    <row r="223" spans="2:19">
      <c r="B223" s="3" t="s">
        <v>594</v>
      </c>
      <c r="L223" s="190"/>
      <c r="M223" s="190">
        <v>0</v>
      </c>
      <c r="N223" s="190">
        <v>0</v>
      </c>
      <c r="O223" s="190">
        <v>0</v>
      </c>
      <c r="P223" s="190">
        <v>0</v>
      </c>
      <c r="Q223" s="190">
        <v>0</v>
      </c>
    </row>
    <row r="224" spans="2:19">
      <c r="B224" s="151" t="s">
        <v>67</v>
      </c>
      <c r="L224" s="146"/>
      <c r="M224" s="909">
        <f>SUM(M221:M223)</f>
        <v>100.25</v>
      </c>
      <c r="N224" s="910">
        <f>SUM(N221:N223)</f>
        <v>113.27500000000001</v>
      </c>
      <c r="O224" s="827">
        <f>SUM(O221:O223)</f>
        <v>126.60250000000002</v>
      </c>
      <c r="P224" s="827">
        <f>SUM(P221:P223)</f>
        <v>141.51275000000004</v>
      </c>
      <c r="Q224" s="827">
        <f>SUM(Q221:Q223)</f>
        <v>158.19527500000004</v>
      </c>
    </row>
    <row r="225" spans="2:17">
      <c r="L225" s="236"/>
      <c r="M225" s="218"/>
      <c r="N225" s="218"/>
      <c r="O225" s="218"/>
      <c r="P225" s="218"/>
      <c r="Q225" s="218"/>
    </row>
    <row r="226" spans="2:17">
      <c r="B226" s="139" t="s">
        <v>69</v>
      </c>
      <c r="L226" s="236"/>
      <c r="M226" s="218"/>
      <c r="N226" s="218"/>
      <c r="O226" s="218"/>
      <c r="P226" s="218"/>
      <c r="Q226" s="218"/>
    </row>
    <row r="227" spans="2:17">
      <c r="B227" s="3" t="str">
        <f>$B$215</f>
        <v>COLEMAN CO. Stand Alone</v>
      </c>
      <c r="L227" s="911"/>
      <c r="M227" s="444">
        <f>'Acq Proj'!M11</f>
        <v>35</v>
      </c>
      <c r="N227" s="444">
        <f>'Acq Proj'!N11</f>
        <v>40</v>
      </c>
      <c r="O227" s="444">
        <f>'Acq Proj'!O11</f>
        <v>45</v>
      </c>
      <c r="P227" s="444">
        <f>'Acq Proj'!P11</f>
        <v>50.625</v>
      </c>
      <c r="Q227" s="444">
        <f>'Acq Proj'!Q11</f>
        <v>56.953125</v>
      </c>
    </row>
    <row r="228" spans="2:17">
      <c r="B228" s="3" t="str">
        <f>$B$216</f>
        <v>SG ENTERPRISES Stand Alone</v>
      </c>
      <c r="L228" s="436"/>
      <c r="M228" s="408">
        <f>'Tar Proj'!M11</f>
        <v>13.750000000000002</v>
      </c>
      <c r="N228" s="408">
        <f>'Tar Proj'!N11</f>
        <v>15.125000000000004</v>
      </c>
      <c r="O228" s="408">
        <f>'Tar Proj'!O11</f>
        <v>16.637500000000006</v>
      </c>
      <c r="P228" s="408">
        <f>'Tar Proj'!P11</f>
        <v>18.30125000000001</v>
      </c>
      <c r="Q228" s="408">
        <f>'Tar Proj'!Q11</f>
        <v>20.131375000000013</v>
      </c>
    </row>
    <row r="229" spans="2:17">
      <c r="B229" s="3" t="s">
        <v>595</v>
      </c>
      <c r="L229" s="37"/>
      <c r="M229" s="40">
        <f>-M29</f>
        <v>-2.5</v>
      </c>
      <c r="N229" s="40">
        <f>-N29</f>
        <v>-5.6538461538461533</v>
      </c>
      <c r="O229" s="40">
        <f>-O29</f>
        <v>-6.3217948717948707</v>
      </c>
      <c r="P229" s="40">
        <f>-P29</f>
        <v>-7.0693589743589742</v>
      </c>
      <c r="Q229" s="40">
        <f>+P229</f>
        <v>-7.0693589743589742</v>
      </c>
    </row>
    <row r="230" spans="2:17">
      <c r="B230" s="3" t="s">
        <v>596</v>
      </c>
      <c r="L230" s="37"/>
      <c r="M230" s="912">
        <v>0</v>
      </c>
      <c r="N230" s="912">
        <v>0</v>
      </c>
      <c r="O230" s="912">
        <v>0</v>
      </c>
      <c r="P230" s="912">
        <v>0</v>
      </c>
      <c r="Q230" s="912">
        <v>0</v>
      </c>
    </row>
    <row r="231" spans="2:17">
      <c r="B231" s="151" t="s">
        <v>67</v>
      </c>
      <c r="L231" s="146"/>
      <c r="M231" s="909">
        <f>SUM(M227:M230)</f>
        <v>46.25</v>
      </c>
      <c r="N231" s="910">
        <f>SUM(N227:N230)</f>
        <v>49.471153846153847</v>
      </c>
      <c r="O231" s="827">
        <f>SUM(O227:O230)</f>
        <v>55.315705128205131</v>
      </c>
      <c r="P231" s="827">
        <f>SUM(P227:P230)</f>
        <v>61.856891025641033</v>
      </c>
      <c r="Q231" s="827">
        <f>SUM(Q227:Q230)</f>
        <v>70.015141025641043</v>
      </c>
    </row>
    <row r="232" spans="2:17">
      <c r="L232" s="236"/>
      <c r="M232" s="218"/>
      <c r="N232" s="218"/>
      <c r="O232" s="218"/>
      <c r="P232" s="218"/>
      <c r="Q232" s="218"/>
    </row>
    <row r="233" spans="2:17">
      <c r="B233" s="139" t="s">
        <v>512</v>
      </c>
      <c r="L233" s="236"/>
      <c r="M233" s="218"/>
      <c r="N233" s="218"/>
      <c r="O233" s="218"/>
      <c r="P233" s="218"/>
      <c r="Q233" s="218"/>
    </row>
    <row r="234" spans="2:17">
      <c r="B234" s="3" t="str">
        <f>$B$215</f>
        <v>COLEMAN CO. Stand Alone</v>
      </c>
      <c r="L234" s="911"/>
      <c r="M234" s="444">
        <f ca="1">'Acq Proj'!M12</f>
        <v>0</v>
      </c>
      <c r="N234" s="444">
        <f>'Acq Proj'!N12</f>
        <v>0</v>
      </c>
      <c r="O234" s="444">
        <f>'Acq Proj'!O12</f>
        <v>0</v>
      </c>
      <c r="P234" s="444">
        <f>'Acq Proj'!P12</f>
        <v>0</v>
      </c>
      <c r="Q234" s="444">
        <f>'Acq Proj'!Q12</f>
        <v>0</v>
      </c>
    </row>
    <row r="235" spans="2:17">
      <c r="B235" s="3" t="str">
        <f>$B$216</f>
        <v>SG ENTERPRISES Stand Alone</v>
      </c>
      <c r="L235" s="436"/>
      <c r="M235" s="408">
        <f>'Tar Proj'!M12</f>
        <v>0</v>
      </c>
      <c r="N235" s="408">
        <f>'Tar Proj'!N12</f>
        <v>0</v>
      </c>
      <c r="O235" s="408">
        <f>'Tar Proj'!O12</f>
        <v>0</v>
      </c>
      <c r="P235" s="408">
        <f>'Tar Proj'!P12</f>
        <v>0</v>
      </c>
      <c r="Q235" s="408">
        <f>'Tar Proj'!Q12</f>
        <v>0</v>
      </c>
    </row>
    <row r="236" spans="2:17">
      <c r="B236" s="3" t="s">
        <v>597</v>
      </c>
      <c r="L236" s="37"/>
      <c r="M236" s="453">
        <v>0</v>
      </c>
      <c r="N236" s="453">
        <v>0</v>
      </c>
      <c r="O236" s="453">
        <v>0</v>
      </c>
      <c r="P236" s="453">
        <v>0</v>
      </c>
      <c r="Q236" s="453">
        <v>0</v>
      </c>
    </row>
    <row r="237" spans="2:17">
      <c r="B237" s="151" t="s">
        <v>67</v>
      </c>
      <c r="L237" s="146"/>
      <c r="M237" s="909">
        <f ca="1">SUM(M234:M236)</f>
        <v>0</v>
      </c>
      <c r="N237" s="910">
        <f>SUM(N234:N236)</f>
        <v>0</v>
      </c>
      <c r="O237" s="827">
        <f>SUM(O234:O236)</f>
        <v>0</v>
      </c>
      <c r="P237" s="827">
        <f>SUM(P234:P236)</f>
        <v>0</v>
      </c>
      <c r="Q237" s="827">
        <f>SUM(Q234:Q236)</f>
        <v>0</v>
      </c>
    </row>
    <row r="238" spans="2:17">
      <c r="L238" s="236"/>
      <c r="M238" s="218"/>
      <c r="N238" s="218"/>
      <c r="O238" s="218"/>
      <c r="P238" s="218"/>
      <c r="Q238" s="218"/>
    </row>
    <row r="239" spans="2:17">
      <c r="B239" s="139" t="s">
        <v>70</v>
      </c>
      <c r="L239" s="236"/>
      <c r="M239" s="218"/>
      <c r="N239" s="218"/>
      <c r="O239" s="218"/>
      <c r="P239" s="218"/>
      <c r="Q239" s="218"/>
    </row>
    <row r="240" spans="2:17">
      <c r="B240" s="3" t="str">
        <f>$B$215</f>
        <v>COLEMAN CO. Stand Alone</v>
      </c>
      <c r="L240" s="621"/>
      <c r="M240" s="113">
        <f>'Acq Proj'!M35</f>
        <v>10</v>
      </c>
      <c r="N240" s="113">
        <f>'Acq Proj'!N35</f>
        <v>11.428571428571427</v>
      </c>
      <c r="O240" s="113">
        <f>'Acq Proj'!O35</f>
        <v>12.857142857142856</v>
      </c>
      <c r="P240" s="113">
        <f>'Acq Proj'!P35</f>
        <v>14.464285714285714</v>
      </c>
      <c r="Q240" s="113">
        <f>'Acq Proj'!Q35</f>
        <v>16.272321428571427</v>
      </c>
    </row>
    <row r="241" spans="2:17">
      <c r="B241" s="3" t="str">
        <f>$B$216</f>
        <v>SG ENTERPRISES Stand Alone</v>
      </c>
      <c r="L241" s="147"/>
      <c r="M241" s="115">
        <f>'Tar Proj'!M35</f>
        <v>5.0000000000000009</v>
      </c>
      <c r="N241" s="115">
        <f>'Tar Proj'!N35</f>
        <v>5.5000000000000018</v>
      </c>
      <c r="O241" s="115">
        <f>'Tar Proj'!O35</f>
        <v>6.0500000000000025</v>
      </c>
      <c r="P241" s="115">
        <f>'Tar Proj'!P35</f>
        <v>6.6550000000000038</v>
      </c>
      <c r="Q241" s="115">
        <f>'Tar Proj'!Q35</f>
        <v>7.3205000000000044</v>
      </c>
    </row>
    <row r="242" spans="2:17">
      <c r="B242" s="3" t="s">
        <v>598</v>
      </c>
      <c r="L242" s="190"/>
      <c r="M242" s="268">
        <f ca="1">$F$80</f>
        <v>2.0142162932686287</v>
      </c>
      <c r="N242" s="268">
        <f ca="1">$F$80</f>
        <v>2.0142162932686287</v>
      </c>
      <c r="O242" s="268">
        <f ca="1">$F$80</f>
        <v>2.0142162932686287</v>
      </c>
      <c r="P242" s="268">
        <f ca="1">$F$80</f>
        <v>2.0142162932686287</v>
      </c>
      <c r="Q242" s="268">
        <f ca="1">$F$80</f>
        <v>2.0142162932686287</v>
      </c>
    </row>
    <row r="243" spans="2:17">
      <c r="B243" s="151" t="s">
        <v>67</v>
      </c>
      <c r="L243" s="146"/>
      <c r="M243" s="909">
        <f ca="1">SUM(M240:M242)</f>
        <v>17.014216293268628</v>
      </c>
      <c r="N243" s="910">
        <f ca="1">SUM(N240:N242)</f>
        <v>18.942787721840059</v>
      </c>
      <c r="O243" s="827">
        <f ca="1">SUM(O240:O242)</f>
        <v>20.921359150411487</v>
      </c>
      <c r="P243" s="827">
        <f ca="1">SUM(P240:P242)</f>
        <v>23.133502007554345</v>
      </c>
      <c r="Q243" s="827">
        <f ca="1">SUM(Q240:Q242)</f>
        <v>25.607037721840062</v>
      </c>
    </row>
    <row r="244" spans="2:17">
      <c r="L244" s="236"/>
      <c r="M244" s="218"/>
      <c r="N244" s="218"/>
      <c r="O244" s="218"/>
      <c r="P244" s="218"/>
      <c r="Q244" s="218"/>
    </row>
    <row r="245" spans="2:17">
      <c r="B245" s="139" t="s">
        <v>77</v>
      </c>
      <c r="L245" s="218"/>
      <c r="M245" s="218"/>
      <c r="N245" s="218"/>
      <c r="O245" s="218"/>
      <c r="P245" s="218"/>
      <c r="Q245" s="218"/>
    </row>
    <row r="246" spans="2:17">
      <c r="B246" s="3" t="str">
        <f>$B$215</f>
        <v>COLEMAN CO. Stand Alone</v>
      </c>
      <c r="L246" s="113">
        <f>'Acq Proj'!L36</f>
        <v>40</v>
      </c>
      <c r="M246" s="113">
        <f>'Acq Proj'!M36</f>
        <v>45</v>
      </c>
      <c r="N246" s="113">
        <f>'Acq Proj'!N36</f>
        <v>51.428571428571431</v>
      </c>
      <c r="O246" s="113">
        <f>'Acq Proj'!O36</f>
        <v>57.857142857142854</v>
      </c>
      <c r="P246" s="113">
        <f>'Acq Proj'!P36</f>
        <v>65.089285714285708</v>
      </c>
      <c r="Q246" s="113">
        <f>'Acq Proj'!Q36</f>
        <v>73.225446428571431</v>
      </c>
    </row>
    <row r="247" spans="2:17">
      <c r="B247" s="3" t="str">
        <f>$B$216</f>
        <v>SG ENTERPRISES Stand Alone</v>
      </c>
      <c r="L247" s="115">
        <f>'Tar Proj'!L36</f>
        <v>20.000000000000004</v>
      </c>
      <c r="M247" s="115">
        <f>'Tar Proj'!M36</f>
        <v>21.500000000000007</v>
      </c>
      <c r="N247" s="115">
        <f>'Tar Proj'!N36</f>
        <v>23.650000000000006</v>
      </c>
      <c r="O247" s="115">
        <f>'Tar Proj'!O36</f>
        <v>26.015000000000015</v>
      </c>
      <c r="P247" s="115">
        <f>'Tar Proj'!P36</f>
        <v>28.61650000000002</v>
      </c>
      <c r="Q247" s="115">
        <f>'Tar Proj'!Q36</f>
        <v>31.478150000000021</v>
      </c>
    </row>
    <row r="248" spans="2:17">
      <c r="B248" s="3" t="str">
        <f>B223</f>
        <v>Less: Gross Profit Reduction from Lost Net Sales</v>
      </c>
      <c r="L248" s="453">
        <v>0</v>
      </c>
      <c r="M248" s="40">
        <f>+M223</f>
        <v>0</v>
      </c>
      <c r="N248" s="40">
        <f t="shared" ref="N248:Q248" si="11">+N223</f>
        <v>0</v>
      </c>
      <c r="O248" s="40">
        <f t="shared" si="11"/>
        <v>0</v>
      </c>
      <c r="P248" s="40">
        <f t="shared" si="11"/>
        <v>0</v>
      </c>
      <c r="Q248" s="40">
        <f t="shared" si="11"/>
        <v>0</v>
      </c>
    </row>
    <row r="249" spans="2:17">
      <c r="B249" s="3" t="str">
        <f>B229&amp;" (SG&amp;A - including Reduction from Lost Sales | Other Expenses)"</f>
        <v>Less: Cost Savings/Synergies (SG&amp;A) (SG&amp;A - including Reduction from Lost Sales | Other Expenses)</v>
      </c>
      <c r="L249" s="37">
        <v>0</v>
      </c>
      <c r="M249" s="19">
        <f>-SUM(M229,M230,M236)</f>
        <v>2.5</v>
      </c>
      <c r="N249" s="19">
        <f>-SUM(N229,N230,N236)</f>
        <v>5.6538461538461533</v>
      </c>
      <c r="O249" s="19">
        <f>-SUM(O229,O230,O236)</f>
        <v>6.3217948717948707</v>
      </c>
      <c r="P249" s="19">
        <f>-SUM(P229,P230,P236)</f>
        <v>7.0693589743589742</v>
      </c>
      <c r="Q249" s="19">
        <f>-SUM(Q229,Q230,Q236)</f>
        <v>7.0693589743589742</v>
      </c>
    </row>
    <row r="250" spans="2:17">
      <c r="B250" s="151" t="s">
        <v>67</v>
      </c>
      <c r="L250" s="909">
        <f t="shared" ref="L250:Q250" si="12">SUM(L246:L249)</f>
        <v>60</v>
      </c>
      <c r="M250" s="909">
        <f t="shared" si="12"/>
        <v>69</v>
      </c>
      <c r="N250" s="910">
        <f t="shared" si="12"/>
        <v>80.732417582417582</v>
      </c>
      <c r="O250" s="827">
        <f t="shared" si="12"/>
        <v>90.19393772893774</v>
      </c>
      <c r="P250" s="827">
        <f t="shared" si="12"/>
        <v>100.7751446886447</v>
      </c>
      <c r="Q250" s="827">
        <f t="shared" si="12"/>
        <v>111.77295540293042</v>
      </c>
    </row>
    <row r="251" spans="2:17">
      <c r="L251" s="218"/>
      <c r="M251" s="218"/>
      <c r="N251" s="218"/>
      <c r="O251" s="218"/>
      <c r="P251" s="218"/>
      <c r="Q251" s="218"/>
    </row>
    <row r="252" spans="2:17">
      <c r="B252" s="139" t="s">
        <v>71</v>
      </c>
      <c r="L252" s="236"/>
      <c r="M252" s="218"/>
      <c r="N252" s="218"/>
      <c r="O252" s="218"/>
      <c r="P252" s="218"/>
      <c r="Q252" s="218"/>
    </row>
    <row r="253" spans="2:17">
      <c r="B253" s="3" t="str">
        <f>$B$215</f>
        <v>COLEMAN CO. Stand Alone</v>
      </c>
      <c r="L253" s="621"/>
      <c r="M253" s="113">
        <f>-'Acq Proj'!M98</f>
        <v>12</v>
      </c>
      <c r="N253" s="113">
        <f>-'Acq Proj'!N98</f>
        <v>13.714285714285715</v>
      </c>
      <c r="O253" s="113">
        <f>-'Acq Proj'!O98</f>
        <v>15.428571428571429</v>
      </c>
      <c r="P253" s="113">
        <f>-'Acq Proj'!P98</f>
        <v>17.357142857142858</v>
      </c>
      <c r="Q253" s="113">
        <f>-'Acq Proj'!Q98</f>
        <v>19.526785714285715</v>
      </c>
    </row>
    <row r="254" spans="2:17">
      <c r="B254" s="3" t="str">
        <f>$B$216</f>
        <v>SG ENTERPRISES Stand Alone</v>
      </c>
      <c r="L254" s="147"/>
      <c r="M254" s="143">
        <f>-'Tar Proj'!M98</f>
        <v>5.5000000000000009</v>
      </c>
      <c r="N254" s="143">
        <f>-'Tar Proj'!N98</f>
        <v>6.0500000000000016</v>
      </c>
      <c r="O254" s="143">
        <f>-'Tar Proj'!O98</f>
        <v>6.6550000000000029</v>
      </c>
      <c r="P254" s="143">
        <f>-'Tar Proj'!P98</f>
        <v>7.3205000000000044</v>
      </c>
      <c r="Q254" s="143">
        <f>-'Tar Proj'!Q98</f>
        <v>8.0525500000000054</v>
      </c>
    </row>
    <row r="255" spans="2:17">
      <c r="B255" s="151" t="s">
        <v>67</v>
      </c>
      <c r="L255" s="146"/>
      <c r="M255" s="909">
        <f>SUM(M253:M254)</f>
        <v>17.5</v>
      </c>
      <c r="N255" s="910">
        <f>SUM(N253:N254)</f>
        <v>19.764285714285716</v>
      </c>
      <c r="O255" s="827">
        <f>SUM(O253:O254)</f>
        <v>22.083571428571432</v>
      </c>
      <c r="P255" s="827">
        <f>SUM(P253:P254)</f>
        <v>24.677642857142864</v>
      </c>
      <c r="Q255" s="827">
        <f>SUM(Q253:Q254)</f>
        <v>27.579335714285719</v>
      </c>
    </row>
    <row r="256" spans="2:17">
      <c r="L256" s="4"/>
      <c r="O256" s="294"/>
      <c r="P256" s="294"/>
      <c r="Q256" s="294"/>
    </row>
    <row r="257" spans="2:19" s="4" customFormat="1">
      <c r="O257" s="294"/>
      <c r="P257" s="294"/>
      <c r="Q257" s="294"/>
    </row>
    <row r="258" spans="2:19" s="4" customFormat="1" ht="15.95" customHeight="1" collapsed="1" thickBot="1">
      <c r="B258" s="628" t="str">
        <f>acq&amp;" Pro Forma Income Statement"</f>
        <v>COLEMAN CO. Pro Forma Income Statement</v>
      </c>
      <c r="C258" s="628"/>
      <c r="D258" s="628"/>
      <c r="E258" s="629"/>
      <c r="F258" s="629"/>
      <c r="G258" s="629"/>
      <c r="H258" s="629"/>
      <c r="I258" s="629"/>
      <c r="J258" s="629"/>
      <c r="K258" s="629"/>
      <c r="L258" s="629"/>
      <c r="M258" s="629"/>
      <c r="N258" s="629"/>
      <c r="O258" s="630"/>
      <c r="P258" s="630"/>
      <c r="Q258" s="630"/>
      <c r="R258" s="631"/>
    </row>
    <row r="259" spans="2:19" s="4" customFormat="1" ht="15" customHeight="1">
      <c r="B259" s="896"/>
      <c r="C259" s="896"/>
      <c r="D259" s="896"/>
      <c r="E259" s="896"/>
      <c r="F259" s="896"/>
      <c r="G259" s="896"/>
      <c r="H259" s="896"/>
      <c r="I259" s="717" t="str">
        <f>acq&amp;" Stand Alone"</f>
        <v>COLEMAN CO. Stand Alone</v>
      </c>
      <c r="J259" s="462"/>
      <c r="K259" s="462"/>
      <c r="L259" s="717"/>
      <c r="M259" s="717" t="s">
        <v>72</v>
      </c>
      <c r="N259" s="462"/>
      <c r="O259" s="462"/>
      <c r="P259" s="462"/>
      <c r="Q259" s="462"/>
    </row>
    <row r="260" spans="2:19" s="4" customFormat="1">
      <c r="B260" s="895" t="str">
        <f>$B$160</f>
        <v>Fiscal Year Ended December 31,</v>
      </c>
      <c r="C260" s="896"/>
      <c r="D260" s="896"/>
      <c r="E260" s="897"/>
      <c r="F260" s="897"/>
      <c r="G260" s="897"/>
      <c r="H260" s="897"/>
      <c r="I260" s="913">
        <f>J260-1</f>
        <v>2016</v>
      </c>
      <c r="J260" s="913">
        <f>K260-1</f>
        <v>2017</v>
      </c>
      <c r="K260" s="913">
        <f>M260-2</f>
        <v>2018</v>
      </c>
      <c r="L260" s="914">
        <f>M260-1</f>
        <v>2019</v>
      </c>
      <c r="M260" s="915">
        <f>M$12</f>
        <v>2020</v>
      </c>
      <c r="N260" s="915">
        <f>+M260+1</f>
        <v>2021</v>
      </c>
      <c r="O260" s="915">
        <f>+N260+1</f>
        <v>2022</v>
      </c>
      <c r="P260" s="915">
        <f>+O260+1</f>
        <v>2023</v>
      </c>
      <c r="Q260" s="915">
        <f>+P260+1</f>
        <v>2024</v>
      </c>
      <c r="R260" s="900"/>
      <c r="S260" s="900"/>
    </row>
    <row r="261" spans="2:19" s="4" customFormat="1" ht="12.75" customHeight="1">
      <c r="B261" s="3" t="str">
        <f>'Acq Proj'!B8</f>
        <v>Net Sales</v>
      </c>
      <c r="C261" s="3"/>
      <c r="D261" s="3"/>
      <c r="E261" s="3"/>
      <c r="F261" s="3"/>
      <c r="G261" s="3"/>
      <c r="H261" s="3"/>
      <c r="I261" s="352">
        <f>'Acq Proj'!I8</f>
        <v>80</v>
      </c>
      <c r="J261" s="352">
        <f>'Acq Proj'!J8</f>
        <v>90</v>
      </c>
      <c r="K261" s="352">
        <f>'Acq Proj'!K8</f>
        <v>100</v>
      </c>
      <c r="L261" s="352">
        <f>'Acq Proj'!L8</f>
        <v>120</v>
      </c>
      <c r="M261" s="353">
        <f>M218</f>
        <v>195</v>
      </c>
      <c r="N261" s="353">
        <f>N218</f>
        <v>220.5</v>
      </c>
      <c r="O261" s="353">
        <f>O218</f>
        <v>246.55</v>
      </c>
      <c r="P261" s="353">
        <f>P218</f>
        <v>275.70500000000004</v>
      </c>
      <c r="Q261" s="353">
        <f>Q218</f>
        <v>308.33800000000008</v>
      </c>
    </row>
    <row r="262" spans="2:19" s="4" customFormat="1" ht="12.75" customHeight="1">
      <c r="B262" s="3" t="str">
        <f>'Acq Proj'!B9</f>
        <v>Cost of Goods Sold</v>
      </c>
      <c r="C262" s="3"/>
      <c r="D262" s="3"/>
      <c r="E262" s="3"/>
      <c r="F262" s="3"/>
      <c r="G262" s="3"/>
      <c r="H262" s="3"/>
      <c r="I262" s="916">
        <f>'Acq Proj'!I9</f>
        <v>40</v>
      </c>
      <c r="J262" s="916">
        <f>'Acq Proj'!J9</f>
        <v>43.7</v>
      </c>
      <c r="K262" s="916">
        <f>'Acq Proj'!K9</f>
        <v>49.5</v>
      </c>
      <c r="L262" s="916">
        <f>'Acq Proj'!L9</f>
        <v>60</v>
      </c>
      <c r="M262" s="917">
        <f>M261-M263</f>
        <v>94.75</v>
      </c>
      <c r="N262" s="917">
        <f>N261-N263</f>
        <v>107.22499999999999</v>
      </c>
      <c r="O262" s="917">
        <f>O261-O263</f>
        <v>119.94749999999999</v>
      </c>
      <c r="P262" s="917">
        <f>P261-P263</f>
        <v>134.19225</v>
      </c>
      <c r="Q262" s="917">
        <f>Q261-Q263</f>
        <v>150.14272500000004</v>
      </c>
    </row>
    <row r="263" spans="2:19" s="4" customFormat="1" ht="12.75" customHeight="1">
      <c r="B263" s="3" t="str">
        <f>'Acq Proj'!B10</f>
        <v>Gross Profit</v>
      </c>
      <c r="C263" s="3"/>
      <c r="D263" s="3"/>
      <c r="E263" s="3"/>
      <c r="F263" s="3"/>
      <c r="G263" s="3"/>
      <c r="H263" s="3"/>
      <c r="I263" s="918">
        <f>I261-I262</f>
        <v>40</v>
      </c>
      <c r="J263" s="919">
        <f>J261-J262</f>
        <v>46.3</v>
      </c>
      <c r="K263" s="919">
        <f>K261-K262</f>
        <v>50.5</v>
      </c>
      <c r="L263" s="919">
        <f>L261-L262</f>
        <v>60</v>
      </c>
      <c r="M263" s="919">
        <f>M224</f>
        <v>100.25</v>
      </c>
      <c r="N263" s="919">
        <f>N224</f>
        <v>113.27500000000001</v>
      </c>
      <c r="O263" s="857">
        <f>O224</f>
        <v>126.60250000000002</v>
      </c>
      <c r="P263" s="857">
        <f>P224</f>
        <v>141.51275000000004</v>
      </c>
      <c r="Q263" s="857">
        <f>Q224</f>
        <v>158.19527500000004</v>
      </c>
    </row>
    <row r="264" spans="2:19" s="4" customFormat="1" ht="12.75" customHeight="1">
      <c r="B264" s="3" t="str">
        <f>'Acq Proj'!B11</f>
        <v>SG&amp;A Expenses</v>
      </c>
      <c r="C264" s="3"/>
      <c r="D264" s="3"/>
      <c r="E264" s="3"/>
      <c r="F264" s="3"/>
      <c r="G264" s="3"/>
      <c r="H264" s="3"/>
      <c r="I264" s="103">
        <f>'Acq Proj'!I11</f>
        <v>18.150000000000002</v>
      </c>
      <c r="J264" s="103">
        <f>'Acq Proj'!J11</f>
        <v>19.465000000000003</v>
      </c>
      <c r="K264" s="103">
        <f>'Acq Proj'!K11</f>
        <v>20.961500000000004</v>
      </c>
      <c r="L264" s="103">
        <f>'Acq Proj'!L11</f>
        <v>30</v>
      </c>
      <c r="M264" s="343">
        <f>M231</f>
        <v>46.25</v>
      </c>
      <c r="N264" s="343">
        <f>N231</f>
        <v>49.471153846153847</v>
      </c>
      <c r="O264" s="343">
        <f>O231</f>
        <v>55.315705128205131</v>
      </c>
      <c r="P264" s="343">
        <f>P231</f>
        <v>61.856891025641033</v>
      </c>
      <c r="Q264" s="343">
        <f>Q231</f>
        <v>70.015141025641043</v>
      </c>
    </row>
    <row r="265" spans="2:19" s="4" customFormat="1" ht="12.75" customHeight="1">
      <c r="B265" s="3" t="s">
        <v>277</v>
      </c>
      <c r="C265" s="3"/>
      <c r="D265" s="3"/>
      <c r="E265" s="3"/>
      <c r="F265" s="3"/>
      <c r="G265" s="3"/>
      <c r="H265" s="3"/>
      <c r="I265" s="920">
        <v>0</v>
      </c>
      <c r="J265" s="920">
        <v>0</v>
      </c>
      <c r="K265" s="920">
        <v>0</v>
      </c>
      <c r="L265" s="920">
        <v>0</v>
      </c>
      <c r="M265" s="822">
        <f ca="1">$F$80</f>
        <v>2.0142162932686287</v>
      </c>
      <c r="N265" s="822">
        <f ca="1">$F$80</f>
        <v>2.0142162932686287</v>
      </c>
      <c r="O265" s="822">
        <f ca="1">$F$80</f>
        <v>2.0142162932686287</v>
      </c>
      <c r="P265" s="822">
        <f ca="1">$F$80</f>
        <v>2.0142162932686287</v>
      </c>
      <c r="Q265" s="822">
        <f ca="1">$F$80</f>
        <v>2.0142162932686287</v>
      </c>
    </row>
    <row r="266" spans="2:19" s="4" customFormat="1" ht="12.75" customHeight="1">
      <c r="B266" s="3" t="str">
        <f>'Acq Proj'!B12</f>
        <v>Other Expense, Net</v>
      </c>
      <c r="C266" s="3"/>
      <c r="D266" s="3"/>
      <c r="E266" s="3"/>
      <c r="F266" s="3"/>
      <c r="G266" s="3"/>
      <c r="H266" s="3"/>
      <c r="I266" s="916">
        <f>'Acq Proj'!I12</f>
        <v>0.5</v>
      </c>
      <c r="J266" s="916">
        <f>'Acq Proj'!J12</f>
        <v>0.5</v>
      </c>
      <c r="K266" s="916">
        <f>'Acq Proj'!K12</f>
        <v>0.5</v>
      </c>
      <c r="L266" s="916">
        <f>'Acq Proj'!L12</f>
        <v>0</v>
      </c>
      <c r="M266" s="877">
        <f ca="1">+M237</f>
        <v>0</v>
      </c>
      <c r="N266" s="877">
        <f>+N237</f>
        <v>0</v>
      </c>
      <c r="O266" s="877">
        <f>+O237</f>
        <v>0</v>
      </c>
      <c r="P266" s="877">
        <f>+P237</f>
        <v>0</v>
      </c>
      <c r="Q266" s="877">
        <f>+Q237</f>
        <v>0</v>
      </c>
    </row>
    <row r="267" spans="2:19" s="4" customFormat="1" ht="12.75" customHeight="1">
      <c r="B267" s="3" t="str">
        <f>'Acq Proj'!B13</f>
        <v>EBIT</v>
      </c>
      <c r="C267" s="3"/>
      <c r="D267" s="3"/>
      <c r="E267" s="3"/>
      <c r="F267" s="3"/>
      <c r="G267" s="3"/>
      <c r="H267" s="3"/>
      <c r="I267" s="918">
        <f>I263-SUM(I264:I266)</f>
        <v>21.349999999999998</v>
      </c>
      <c r="J267" s="919">
        <f t="shared" ref="J267:P267" si="13">J263-SUM(J264:J266)</f>
        <v>26.334999999999994</v>
      </c>
      <c r="K267" s="919">
        <f t="shared" si="13"/>
        <v>29.038499999999996</v>
      </c>
      <c r="L267" s="919">
        <f>L263-SUM(L264:L266)</f>
        <v>30</v>
      </c>
      <c r="M267" s="919">
        <f ca="1">M263-SUM(M264:M266)</f>
        <v>51.985783706731368</v>
      </c>
      <c r="N267" s="919">
        <f t="shared" ca="1" si="13"/>
        <v>61.789629860577527</v>
      </c>
      <c r="O267" s="857">
        <f t="shared" ca="1" si="13"/>
        <v>69.272578578526264</v>
      </c>
      <c r="P267" s="857">
        <f t="shared" ca="1" si="13"/>
        <v>77.641642681090374</v>
      </c>
      <c r="Q267" s="857">
        <f ca="1">Q263-SUM(Q264:Q266)</f>
        <v>86.165917681090363</v>
      </c>
    </row>
    <row r="268" spans="2:19" s="4" customFormat="1" ht="12.75" customHeight="1">
      <c r="B268" s="3" t="str">
        <f>'Acq Proj'!B14</f>
        <v>Other Expense, Net</v>
      </c>
      <c r="I268" s="921">
        <f>'Acq Proj'!I14</f>
        <v>0.2</v>
      </c>
      <c r="J268" s="921">
        <f>'Acq Proj'!J14</f>
        <v>0.2</v>
      </c>
      <c r="K268" s="921">
        <f>'Acq Proj'!K14</f>
        <v>0.2</v>
      </c>
      <c r="L268" s="921">
        <f>'Acq Proj'!L14</f>
        <v>0</v>
      </c>
      <c r="M268" s="920">
        <v>0</v>
      </c>
      <c r="N268" s="920">
        <v>0</v>
      </c>
      <c r="O268" s="920">
        <v>0</v>
      </c>
      <c r="P268" s="920">
        <v>0</v>
      </c>
      <c r="Q268" s="920">
        <v>0</v>
      </c>
    </row>
    <row r="269" spans="2:19" s="4" customFormat="1" ht="12.75" customHeight="1">
      <c r="B269" s="3" t="str">
        <f>'Acq Proj'!B15</f>
        <v>Interest Expense, Net</v>
      </c>
      <c r="C269" s="3"/>
      <c r="D269" s="3"/>
      <c r="E269" s="3"/>
      <c r="F269" s="3"/>
      <c r="G269" s="3"/>
      <c r="H269" s="3"/>
      <c r="I269" s="916">
        <f>'Acq Proj'!I15</f>
        <v>0.67410000000000014</v>
      </c>
      <c r="J269" s="916">
        <f>'Acq Proj'!J15</f>
        <v>0.66500000000000004</v>
      </c>
      <c r="K269" s="916">
        <f>'Acq Proj'!K15</f>
        <v>0.65800000000000014</v>
      </c>
      <c r="L269" s="916">
        <f ca="1">'Acq Proj'!L15</f>
        <v>-0.12554092977362888</v>
      </c>
      <c r="M269" s="917">
        <f ca="1">M435</f>
        <v>5.6607899023744022</v>
      </c>
      <c r="N269" s="917">
        <f ca="1">N435</f>
        <v>3.8067392617130671</v>
      </c>
      <c r="O269" s="917">
        <f ca="1">O435</f>
        <v>2.9137019807873701</v>
      </c>
      <c r="P269" s="917">
        <f ca="1">P435</f>
        <v>2.6749879941371306</v>
      </c>
      <c r="Q269" s="917">
        <f ca="1">Q435</f>
        <v>2.4080844401013382</v>
      </c>
    </row>
    <row r="270" spans="2:19" s="4" customFormat="1" ht="12.75" customHeight="1">
      <c r="B270" s="3" t="str">
        <f>'Acq Proj'!B16</f>
        <v>Pre-Tax Income</v>
      </c>
      <c r="C270" s="3"/>
      <c r="D270" s="3"/>
      <c r="E270" s="3"/>
      <c r="F270" s="3"/>
      <c r="G270" s="3"/>
      <c r="H270" s="3"/>
      <c r="I270" s="918">
        <f t="shared" ref="I270:P270" si="14">I267-SUM(I268:I269)</f>
        <v>20.475899999999999</v>
      </c>
      <c r="J270" s="919">
        <f t="shared" si="14"/>
        <v>25.469999999999995</v>
      </c>
      <c r="K270" s="919">
        <f t="shared" si="14"/>
        <v>28.180499999999995</v>
      </c>
      <c r="L270" s="919">
        <f ca="1">L267-SUM(L268:L269)</f>
        <v>30.125540929773628</v>
      </c>
      <c r="M270" s="919">
        <f t="shared" ca="1" si="14"/>
        <v>46.324993804356964</v>
      </c>
      <c r="N270" s="919">
        <f t="shared" ca="1" si="14"/>
        <v>57.982890598864458</v>
      </c>
      <c r="O270" s="857">
        <f t="shared" ca="1" si="14"/>
        <v>66.358876597738899</v>
      </c>
      <c r="P270" s="857">
        <f t="shared" ca="1" si="14"/>
        <v>74.966654686953248</v>
      </c>
      <c r="Q270" s="857">
        <f ca="1">Q267-SUM(Q268:Q269)</f>
        <v>83.757833240989029</v>
      </c>
    </row>
    <row r="271" spans="2:19" s="17" customFormat="1" ht="12.75" customHeight="1">
      <c r="B271" s="3" t="str">
        <f>'Acq Proj'!B17</f>
        <v>Income Taxes</v>
      </c>
      <c r="C271" s="10"/>
      <c r="D271" s="922"/>
      <c r="E271" s="10"/>
      <c r="G271" s="10"/>
      <c r="H271" s="10"/>
      <c r="I271" s="876">
        <f>'Acq Proj'!I17</f>
        <v>5.4624999999999995</v>
      </c>
      <c r="J271" s="876">
        <f>'Acq Proj'!J17</f>
        <v>6.7087499999999993</v>
      </c>
      <c r="K271" s="876">
        <f>'Acq Proj'!K17</f>
        <v>7.3846249999999989</v>
      </c>
      <c r="L271" s="876">
        <f ca="1">'Acq Proj'!L17</f>
        <v>7.531385232443407</v>
      </c>
      <c r="M271" s="877">
        <f ca="1">M270*M$286</f>
        <v>11.581248451089241</v>
      </c>
      <c r="N271" s="877">
        <f ca="1">N270*N$286</f>
        <v>14.495722649716114</v>
      </c>
      <c r="O271" s="877">
        <f ca="1">O270*O$286</f>
        <v>16.589719149434725</v>
      </c>
      <c r="P271" s="877">
        <f ca="1">P270*P$286</f>
        <v>18.741663671738312</v>
      </c>
      <c r="Q271" s="877">
        <f ca="1">Q270*Q$286</f>
        <v>20.939458310247257</v>
      </c>
    </row>
    <row r="272" spans="2:19" s="17" customFormat="1" ht="12.75" customHeight="1" outlineLevel="1">
      <c r="B272" s="3" t="str">
        <f>'Acq Proj'!B18</f>
        <v>Net Income</v>
      </c>
      <c r="C272" s="10"/>
      <c r="D272" s="922"/>
      <c r="E272" s="10"/>
      <c r="G272" s="10"/>
      <c r="H272" s="10"/>
      <c r="I272" s="923">
        <f t="shared" ref="I272:Q272" si="15">+I270-I271</f>
        <v>15.013400000000001</v>
      </c>
      <c r="J272" s="923">
        <f t="shared" si="15"/>
        <v>18.761249999999997</v>
      </c>
      <c r="K272" s="923">
        <f t="shared" si="15"/>
        <v>20.795874999999995</v>
      </c>
      <c r="L272" s="923">
        <f t="shared" ca="1" si="15"/>
        <v>22.594155697330223</v>
      </c>
      <c r="M272" s="923">
        <f t="shared" ca="1" si="15"/>
        <v>34.743745353267727</v>
      </c>
      <c r="N272" s="923">
        <f t="shared" ca="1" si="15"/>
        <v>43.487167949148343</v>
      </c>
      <c r="O272" s="923">
        <f t="shared" ca="1" si="15"/>
        <v>49.769157448304171</v>
      </c>
      <c r="P272" s="923">
        <f t="shared" ca="1" si="15"/>
        <v>56.22499101521494</v>
      </c>
      <c r="Q272" s="923">
        <f t="shared" ca="1" si="15"/>
        <v>62.818374930741768</v>
      </c>
    </row>
    <row r="273" spans="2:21" s="17" customFormat="1" ht="12.75" customHeight="1" outlineLevel="1">
      <c r="B273" s="3" t="str">
        <f>'Acq Proj'!B19</f>
        <v>Less: NI Attributable to Minority Interest, Net of Tax</v>
      </c>
      <c r="C273" s="10"/>
      <c r="D273" s="922"/>
      <c r="E273" s="10"/>
      <c r="G273" s="10"/>
      <c r="H273" s="10"/>
      <c r="I273" s="876">
        <f>'Acq Proj'!I19</f>
        <v>0</v>
      </c>
      <c r="J273" s="876">
        <f>'Acq Proj'!J19</f>
        <v>0</v>
      </c>
      <c r="K273" s="876">
        <f>'Acq Proj'!K19</f>
        <v>0</v>
      </c>
      <c r="L273" s="876">
        <f>'Acq Proj'!L19</f>
        <v>0</v>
      </c>
      <c r="M273" s="876">
        <f>'Acq Proj'!M19</f>
        <v>0</v>
      </c>
      <c r="N273" s="876">
        <f>'Acq Proj'!N19</f>
        <v>0</v>
      </c>
      <c r="O273" s="876">
        <f>'Acq Proj'!O19</f>
        <v>0</v>
      </c>
      <c r="P273" s="876">
        <f>'Acq Proj'!P19</f>
        <v>0</v>
      </c>
      <c r="Q273" s="876">
        <f>'Acq Proj'!Q19</f>
        <v>0</v>
      </c>
    </row>
    <row r="274" spans="2:21" s="4" customFormat="1" ht="12.75" customHeight="1">
      <c r="B274" s="3" t="str">
        <f>'Acq Proj'!B20</f>
        <v>Net Income</v>
      </c>
      <c r="C274" s="3"/>
      <c r="D274" s="3"/>
      <c r="E274" s="3"/>
      <c r="F274" s="3"/>
      <c r="G274" s="3"/>
      <c r="H274" s="3"/>
      <c r="I274" s="924">
        <f>+I272-I273</f>
        <v>15.013400000000001</v>
      </c>
      <c r="J274" s="924">
        <f t="shared" ref="J274:Q274" si="16">+J272-J273</f>
        <v>18.761249999999997</v>
      </c>
      <c r="K274" s="924">
        <f t="shared" si="16"/>
        <v>20.795874999999995</v>
      </c>
      <c r="L274" s="924">
        <f t="shared" ca="1" si="16"/>
        <v>22.594155697330223</v>
      </c>
      <c r="M274" s="924">
        <f t="shared" ca="1" si="16"/>
        <v>34.743745353267727</v>
      </c>
      <c r="N274" s="924">
        <f t="shared" ca="1" si="16"/>
        <v>43.487167949148343</v>
      </c>
      <c r="O274" s="924">
        <f t="shared" ca="1" si="16"/>
        <v>49.769157448304171</v>
      </c>
      <c r="P274" s="924">
        <f t="shared" ca="1" si="16"/>
        <v>56.22499101521494</v>
      </c>
      <c r="Q274" s="924">
        <f t="shared" ca="1" si="16"/>
        <v>62.818374930741768</v>
      </c>
    </row>
    <row r="275" spans="2:21" s="4" customFormat="1" ht="12.75" customHeight="1" outlineLevel="1">
      <c r="B275" s="3" t="str">
        <f>'Acq Proj'!B21</f>
        <v>Plus: Income (Loss) from Disc. Operations, Net of Tax</v>
      </c>
      <c r="C275" s="3"/>
      <c r="D275" s="3"/>
      <c r="E275" s="3"/>
      <c r="F275" s="3"/>
      <c r="G275" s="3"/>
      <c r="H275" s="3"/>
      <c r="I275" s="925">
        <f>'Acq Proj'!I21</f>
        <v>0</v>
      </c>
      <c r="J275" s="925">
        <f>'Acq Proj'!J21</f>
        <v>0</v>
      </c>
      <c r="K275" s="925">
        <f>'Acq Proj'!K21</f>
        <v>0</v>
      </c>
      <c r="L275" s="925">
        <f>'Acq Proj'!L21</f>
        <v>0</v>
      </c>
      <c r="M275" s="35">
        <v>0</v>
      </c>
      <c r="N275" s="35">
        <v>0</v>
      </c>
      <c r="O275" s="35">
        <v>0</v>
      </c>
      <c r="P275" s="35">
        <v>0</v>
      </c>
      <c r="Q275" s="35">
        <v>0</v>
      </c>
      <c r="R275" s="926"/>
    </row>
    <row r="276" spans="2:21" s="4" customFormat="1" ht="12.75" customHeight="1" outlineLevel="1">
      <c r="B276" s="3" t="s">
        <v>539</v>
      </c>
      <c r="C276" s="3"/>
      <c r="D276" s="3"/>
      <c r="E276" s="3"/>
      <c r="F276" s="3"/>
      <c r="G276" s="3"/>
      <c r="H276" s="3"/>
      <c r="I276" s="925">
        <f>'Acq Proj'!I22</f>
        <v>0</v>
      </c>
      <c r="J276" s="925">
        <f>'Acq Proj'!J22</f>
        <v>-1.35</v>
      </c>
      <c r="K276" s="925">
        <f>'Acq Proj'!K22</f>
        <v>-1.125</v>
      </c>
      <c r="L276" s="925">
        <f>'Acq Proj'!L22</f>
        <v>0</v>
      </c>
      <c r="M276" s="32">
        <f ca="1">M30*(1-M286)</f>
        <v>-1.3798709296874998</v>
      </c>
      <c r="N276" s="32">
        <f ca="1">N30*(1-N286)</f>
        <v>0</v>
      </c>
      <c r="O276" s="32">
        <f ca="1">O30*(1-O286)</f>
        <v>0</v>
      </c>
      <c r="P276" s="32">
        <f ca="1">P30*(1-P286)</f>
        <v>0</v>
      </c>
      <c r="Q276" s="32">
        <f ca="1">Q30*(1-Q286)</f>
        <v>0</v>
      </c>
    </row>
    <row r="277" spans="2:21" s="4" customFormat="1" ht="12.75" customHeight="1" outlineLevel="1">
      <c r="B277" s="3" t="str">
        <f>'Acq Proj'!B23</f>
        <v>Net Income, As Reported</v>
      </c>
      <c r="C277" s="3"/>
      <c r="D277" s="3"/>
      <c r="E277" s="3"/>
      <c r="F277" s="3"/>
      <c r="G277" s="3"/>
      <c r="H277" s="3"/>
      <c r="I277" s="927">
        <f>SUM(I274:I276)</f>
        <v>15.013400000000001</v>
      </c>
      <c r="J277" s="927">
        <f t="shared" ref="J277:Q277" si="17">SUM(J274:J276)</f>
        <v>17.411249999999995</v>
      </c>
      <c r="K277" s="927">
        <f t="shared" si="17"/>
        <v>19.670874999999995</v>
      </c>
      <c r="L277" s="927">
        <f t="shared" ca="1" si="17"/>
        <v>22.594155697330223</v>
      </c>
      <c r="M277" s="927">
        <f t="shared" ca="1" si="17"/>
        <v>33.363874423580228</v>
      </c>
      <c r="N277" s="927">
        <f t="shared" ca="1" si="17"/>
        <v>43.487167949148343</v>
      </c>
      <c r="O277" s="927">
        <f t="shared" ca="1" si="17"/>
        <v>49.769157448304171</v>
      </c>
      <c r="P277" s="927">
        <f t="shared" ca="1" si="17"/>
        <v>56.22499101521494</v>
      </c>
      <c r="Q277" s="927">
        <f t="shared" ca="1" si="17"/>
        <v>62.818374930741768</v>
      </c>
    </row>
    <row r="278" spans="2:21" s="4" customFormat="1" ht="12.75" customHeight="1">
      <c r="B278" s="3"/>
      <c r="C278" s="3"/>
      <c r="D278" s="3"/>
      <c r="E278" s="3"/>
      <c r="F278" s="3"/>
      <c r="G278" s="3"/>
      <c r="H278" s="3"/>
      <c r="I278" s="840"/>
      <c r="J278" s="840"/>
      <c r="K278" s="840"/>
      <c r="L278" s="840"/>
      <c r="M278" s="840"/>
      <c r="N278" s="840"/>
      <c r="O278" s="840"/>
      <c r="P278" s="840"/>
      <c r="Q278" s="840"/>
    </row>
    <row r="279" spans="2:21" s="4" customFormat="1" ht="12.75" customHeight="1">
      <c r="B279" s="3" t="str">
        <f>'Acq Proj'!B25</f>
        <v>Diluted Weighted Average Shares</v>
      </c>
      <c r="C279" s="3"/>
      <c r="D279" s="3"/>
      <c r="E279" s="3"/>
      <c r="F279" s="3"/>
      <c r="G279" s="3"/>
      <c r="H279" s="3"/>
      <c r="I279" s="103">
        <f>'Acq Proj'!I25</f>
        <v>10.8</v>
      </c>
      <c r="J279" s="103">
        <f>'Acq Proj'!J25</f>
        <v>11</v>
      </c>
      <c r="K279" s="103">
        <f>'Acq Proj'!K25</f>
        <v>11.2</v>
      </c>
      <c r="L279" s="103">
        <f>'Acq Proj'!L25</f>
        <v>12.283795925925926</v>
      </c>
      <c r="M279" s="343">
        <f ca="1">+M482</f>
        <v>13.075571851851851</v>
      </c>
      <c r="N279" s="343">
        <f ca="1">+N482</f>
        <v>13.075571851851851</v>
      </c>
      <c r="O279" s="343">
        <f ca="1">+O482</f>
        <v>13.075571851851851</v>
      </c>
      <c r="P279" s="343">
        <f ca="1">+P482</f>
        <v>13.075571851851851</v>
      </c>
      <c r="Q279" s="343">
        <f ca="1">+Q482</f>
        <v>13.075571851851851</v>
      </c>
    </row>
    <row r="280" spans="2:21" s="4" customFormat="1" ht="12.75" customHeight="1">
      <c r="B280" s="205" t="str">
        <f>'Acq Proj'!B26</f>
        <v>Diluted EPS</v>
      </c>
      <c r="C280" s="3"/>
      <c r="D280" s="3"/>
      <c r="E280" s="3"/>
      <c r="F280" s="3"/>
      <c r="G280" s="3"/>
      <c r="H280" s="3"/>
      <c r="I280" s="928">
        <f>I274/I$279</f>
        <v>1.3901296296296297</v>
      </c>
      <c r="J280" s="928">
        <f t="shared" ref="J280:Q280" si="18">J274/J$279</f>
        <v>1.7055681818181816</v>
      </c>
      <c r="K280" s="928">
        <f t="shared" si="18"/>
        <v>1.8567745535714282</v>
      </c>
      <c r="L280" s="928">
        <f t="shared" ca="1" si="18"/>
        <v>1.8393463904462517</v>
      </c>
      <c r="M280" s="928">
        <f t="shared" ca="1" si="18"/>
        <v>2.6571492051681918</v>
      </c>
      <c r="N280" s="928">
        <f t="shared" ca="1" si="18"/>
        <v>3.3258329686735189</v>
      </c>
      <c r="O280" s="928">
        <f t="shared" ca="1" si="18"/>
        <v>3.8062700440329515</v>
      </c>
      <c r="P280" s="928">
        <f t="shared" ca="1" si="18"/>
        <v>4.3000024513078543</v>
      </c>
      <c r="Q280" s="928">
        <f t="shared" ca="1" si="18"/>
        <v>4.8042545016373417</v>
      </c>
    </row>
    <row r="281" spans="2:21" s="4" customFormat="1" ht="12.75" customHeight="1" outlineLevel="1">
      <c r="B281" s="3" t="str">
        <f>+B275</f>
        <v>Plus: Income (Loss) from Disc. Operations, Net of Tax</v>
      </c>
      <c r="C281" s="3"/>
      <c r="D281" s="3"/>
      <c r="E281" s="3"/>
      <c r="F281" s="3"/>
      <c r="G281" s="3"/>
      <c r="H281" s="3"/>
      <c r="I281" s="929">
        <f t="shared" ref="I281:Q282" si="19">I275/I$279</f>
        <v>0</v>
      </c>
      <c r="J281" s="929">
        <f t="shared" si="19"/>
        <v>0</v>
      </c>
      <c r="K281" s="929">
        <f t="shared" si="19"/>
        <v>0</v>
      </c>
      <c r="L281" s="929">
        <f t="shared" si="19"/>
        <v>0</v>
      </c>
      <c r="M281" s="929">
        <f t="shared" ca="1" si="19"/>
        <v>0</v>
      </c>
      <c r="N281" s="929">
        <f t="shared" ca="1" si="19"/>
        <v>0</v>
      </c>
      <c r="O281" s="929">
        <f t="shared" ca="1" si="19"/>
        <v>0</v>
      </c>
      <c r="P281" s="929">
        <f t="shared" ca="1" si="19"/>
        <v>0</v>
      </c>
      <c r="Q281" s="929">
        <f t="shared" ca="1" si="19"/>
        <v>0</v>
      </c>
    </row>
    <row r="282" spans="2:21" s="4" customFormat="1" ht="12.75" customHeight="1" outlineLevel="1">
      <c r="B282" s="3" t="str">
        <f>+B276</f>
        <v>Less: Non-Recurring Items, Net of Tax</v>
      </c>
      <c r="C282" s="3"/>
      <c r="D282" s="3"/>
      <c r="E282" s="3"/>
      <c r="F282" s="3"/>
      <c r="G282" s="3"/>
      <c r="H282" s="3"/>
      <c r="I282" s="929">
        <f t="shared" si="19"/>
        <v>0</v>
      </c>
      <c r="J282" s="929">
        <f t="shared" si="19"/>
        <v>-0.12272727272727274</v>
      </c>
      <c r="K282" s="929">
        <f t="shared" si="19"/>
        <v>-0.10044642857142858</v>
      </c>
      <c r="L282" s="929">
        <f t="shared" si="19"/>
        <v>0</v>
      </c>
      <c r="M282" s="929">
        <f t="shared" ca="1" si="19"/>
        <v>-0.10553044603491457</v>
      </c>
      <c r="N282" s="929">
        <f t="shared" ca="1" si="19"/>
        <v>0</v>
      </c>
      <c r="O282" s="929">
        <f t="shared" ca="1" si="19"/>
        <v>0</v>
      </c>
      <c r="P282" s="929">
        <f t="shared" ca="1" si="19"/>
        <v>0</v>
      </c>
      <c r="Q282" s="929">
        <f t="shared" ca="1" si="19"/>
        <v>0</v>
      </c>
    </row>
    <row r="283" spans="2:21" s="4" customFormat="1" ht="12.75" customHeight="1" outlineLevel="1">
      <c r="B283" s="3" t="s">
        <v>540</v>
      </c>
      <c r="C283" s="3"/>
      <c r="D283" s="3"/>
      <c r="E283" s="3"/>
      <c r="F283" s="3"/>
      <c r="G283" s="3"/>
      <c r="H283" s="3"/>
      <c r="I283" s="930">
        <f>SUM(I280:I282)</f>
        <v>1.3901296296296297</v>
      </c>
      <c r="J283" s="931">
        <f t="shared" ref="J283:Q283" si="20">SUM(J280:J282)</f>
        <v>1.5828409090909088</v>
      </c>
      <c r="K283" s="931">
        <f t="shared" si="20"/>
        <v>1.7563281249999996</v>
      </c>
      <c r="L283" s="931">
        <f t="shared" ca="1" si="20"/>
        <v>1.8393463904462517</v>
      </c>
      <c r="M283" s="931">
        <f t="shared" ca="1" si="20"/>
        <v>2.5516187591332771</v>
      </c>
      <c r="N283" s="931">
        <f t="shared" ca="1" si="20"/>
        <v>3.3258329686735189</v>
      </c>
      <c r="O283" s="931">
        <f t="shared" ca="1" si="20"/>
        <v>3.8062700440329515</v>
      </c>
      <c r="P283" s="931">
        <f t="shared" ca="1" si="20"/>
        <v>4.3000024513078543</v>
      </c>
      <c r="Q283" s="932">
        <f t="shared" ca="1" si="20"/>
        <v>4.8042545016373417</v>
      </c>
    </row>
    <row r="284" spans="2:21" s="4" customFormat="1" ht="12.75" customHeight="1">
      <c r="B284" s="3"/>
      <c r="C284" s="3"/>
      <c r="D284" s="3"/>
      <c r="E284" s="3"/>
      <c r="F284" s="3"/>
      <c r="G284" s="3"/>
      <c r="H284" s="3"/>
      <c r="I284" s="933"/>
      <c r="J284" s="933"/>
      <c r="K284" s="933"/>
      <c r="L284" s="933"/>
      <c r="M284" s="933"/>
      <c r="N284" s="933"/>
      <c r="O284" s="933"/>
      <c r="P284" s="933"/>
      <c r="Q284" s="933"/>
      <c r="T284" s="653"/>
      <c r="U284" s="653"/>
    </row>
    <row r="285" spans="2:21" s="4" customFormat="1" ht="12.75" customHeight="1" outlineLevel="1">
      <c r="B285" s="139" t="s">
        <v>503</v>
      </c>
      <c r="C285" s="3"/>
      <c r="D285" s="3"/>
      <c r="E285" s="3"/>
      <c r="F285" s="3"/>
      <c r="H285" s="3"/>
      <c r="I285" s="253"/>
      <c r="J285" s="253"/>
      <c r="K285" s="253"/>
      <c r="L285" s="253"/>
      <c r="M285" s="253"/>
      <c r="N285" s="253"/>
      <c r="O285" s="253"/>
      <c r="P285" s="253"/>
      <c r="Q285" s="249"/>
    </row>
    <row r="286" spans="2:21" s="4" customFormat="1" ht="12.75" customHeight="1" outlineLevel="1">
      <c r="B286" s="3" t="s">
        <v>511</v>
      </c>
      <c r="C286" s="3"/>
      <c r="D286" s="3"/>
      <c r="E286" s="3"/>
      <c r="F286" s="3"/>
      <c r="G286" s="649"/>
      <c r="H286" s="200"/>
      <c r="I286" s="934"/>
      <c r="J286" s="934"/>
      <c r="K286" s="934"/>
      <c r="L286" s="934"/>
      <c r="M286" s="906">
        <f ca="1">+('Acq Proj'!M31*'Acq Proj'!M16+'Tar Proj'!M31*'Tar Proj'!M16)/('Acq Proj'!M16+'Tar Proj'!M16)</f>
        <v>0.25</v>
      </c>
      <c r="N286" s="906">
        <f ca="1">+('Acq Proj'!N31*'Acq Proj'!N16+'Tar Proj'!N31*'Tar Proj'!N16)/('Acq Proj'!N16+'Tar Proj'!N16)</f>
        <v>0.25</v>
      </c>
      <c r="O286" s="906">
        <f ca="1">+('Acq Proj'!O31*'Acq Proj'!O16+'Tar Proj'!O31*'Tar Proj'!O16)/('Acq Proj'!O16+'Tar Proj'!O16)</f>
        <v>0.25</v>
      </c>
      <c r="P286" s="906">
        <f ca="1">+('Acq Proj'!P31*'Acq Proj'!P16+'Tar Proj'!P31*'Tar Proj'!P16)/('Acq Proj'!P16+'Tar Proj'!P16)</f>
        <v>0.25</v>
      </c>
      <c r="Q286" s="906">
        <f ca="1">+('Acq Proj'!Q31*'Acq Proj'!Q16+'Tar Proj'!Q31*'Tar Proj'!Q16)/('Acq Proj'!Q16+'Tar Proj'!Q16)</f>
        <v>0.25</v>
      </c>
      <c r="T286" s="150"/>
    </row>
    <row r="287" spans="2:21" s="4" customFormat="1" ht="12.75" customHeight="1" outlineLevel="1">
      <c r="B287" s="3"/>
      <c r="C287" s="3"/>
      <c r="D287" s="3"/>
      <c r="E287" s="3"/>
      <c r="F287" s="3"/>
      <c r="G287" s="935"/>
      <c r="H287" s="350"/>
      <c r="I287" s="936"/>
      <c r="J287" s="936"/>
      <c r="K287" s="937"/>
      <c r="L287" s="938"/>
      <c r="M287" s="938"/>
      <c r="N287" s="938"/>
      <c r="O287" s="938"/>
      <c r="P287" s="938"/>
      <c r="Q287" s="249"/>
    </row>
    <row r="288" spans="2:21" s="4" customFormat="1" ht="12.75" customHeight="1">
      <c r="B288" s="139" t="s">
        <v>77</v>
      </c>
      <c r="C288" s="3"/>
      <c r="D288" s="3"/>
      <c r="E288" s="3"/>
      <c r="F288" s="3"/>
      <c r="G288" s="3"/>
      <c r="H288" s="3"/>
      <c r="I288" s="253"/>
      <c r="J288" s="253"/>
      <c r="K288" s="253"/>
      <c r="L288" s="253"/>
      <c r="M288" s="253"/>
      <c r="N288" s="253"/>
      <c r="O288" s="253"/>
      <c r="P288" s="253"/>
      <c r="Q288" s="253"/>
    </row>
    <row r="289" spans="2:17" s="4" customFormat="1" ht="12.75" customHeight="1">
      <c r="B289" s="3" t="s">
        <v>64</v>
      </c>
      <c r="C289" s="3"/>
      <c r="D289" s="3"/>
      <c r="E289" s="3"/>
      <c r="F289" s="3"/>
      <c r="G289" s="3"/>
      <c r="H289" s="3"/>
      <c r="I289" s="353">
        <f t="shared" ref="I289:Q289" si="21">I267</f>
        <v>21.349999999999998</v>
      </c>
      <c r="J289" s="353">
        <f t="shared" si="21"/>
        <v>26.334999999999994</v>
      </c>
      <c r="K289" s="353">
        <f t="shared" si="21"/>
        <v>29.038499999999996</v>
      </c>
      <c r="L289" s="353">
        <f t="shared" si="21"/>
        <v>30</v>
      </c>
      <c r="M289" s="353">
        <f t="shared" ca="1" si="21"/>
        <v>51.985783706731368</v>
      </c>
      <c r="N289" s="353">
        <f t="shared" ca="1" si="21"/>
        <v>61.789629860577527</v>
      </c>
      <c r="O289" s="353">
        <f t="shared" ca="1" si="21"/>
        <v>69.272578578526264</v>
      </c>
      <c r="P289" s="353">
        <f t="shared" ca="1" si="21"/>
        <v>77.641642681090374</v>
      </c>
      <c r="Q289" s="353">
        <f t="shared" ca="1" si="21"/>
        <v>86.165917681090363</v>
      </c>
    </row>
    <row r="290" spans="2:17" s="4" customFormat="1" ht="12.75" customHeight="1">
      <c r="B290" s="3" t="s">
        <v>78</v>
      </c>
      <c r="C290" s="3"/>
      <c r="D290" s="3"/>
      <c r="E290" s="3"/>
      <c r="F290" s="3"/>
      <c r="G290" s="3"/>
      <c r="H290" s="3"/>
      <c r="I290" s="916">
        <f>'Acq Proj'!I35</f>
        <v>2.6</v>
      </c>
      <c r="J290" s="916">
        <f>'Acq Proj'!J35</f>
        <v>2.7</v>
      </c>
      <c r="K290" s="916">
        <f>'Acq Proj'!K35</f>
        <v>2.9</v>
      </c>
      <c r="L290" s="916">
        <f>'Acq Proj'!L35</f>
        <v>10</v>
      </c>
      <c r="M290" s="917">
        <f ca="1">SUM(M347:M348)</f>
        <v>17.014216293268628</v>
      </c>
      <c r="N290" s="917">
        <f ca="1">SUM(N347:N348)</f>
        <v>18.942787721840059</v>
      </c>
      <c r="O290" s="917">
        <f ca="1">SUM(O347:O348)</f>
        <v>20.921359150411487</v>
      </c>
      <c r="P290" s="917">
        <f ca="1">SUM(P347:P348)</f>
        <v>23.133502007554345</v>
      </c>
      <c r="Q290" s="917">
        <f ca="1">SUM(Q347:Q348)</f>
        <v>25.607037721840062</v>
      </c>
    </row>
    <row r="291" spans="2:17" s="4" customFormat="1" ht="12.75" customHeight="1">
      <c r="B291" s="3" t="s">
        <v>63</v>
      </c>
      <c r="C291" s="3"/>
      <c r="D291" s="3"/>
      <c r="E291" s="3"/>
      <c r="F291" s="3"/>
      <c r="G291" s="3"/>
      <c r="H291" s="3"/>
      <c r="I291" s="757">
        <f>SUM(I289:I290)</f>
        <v>23.95</v>
      </c>
      <c r="J291" s="757">
        <f t="shared" ref="J291:P291" si="22">SUM(J289:J290)</f>
        <v>29.034999999999993</v>
      </c>
      <c r="K291" s="757">
        <f t="shared" si="22"/>
        <v>31.938499999999994</v>
      </c>
      <c r="L291" s="757">
        <f t="shared" si="22"/>
        <v>40</v>
      </c>
      <c r="M291" s="757">
        <f t="shared" ca="1" si="22"/>
        <v>69</v>
      </c>
      <c r="N291" s="757">
        <f t="shared" ca="1" si="22"/>
        <v>80.732417582417582</v>
      </c>
      <c r="O291" s="757">
        <f t="shared" ca="1" si="22"/>
        <v>90.193937728937755</v>
      </c>
      <c r="P291" s="757">
        <f t="shared" ca="1" si="22"/>
        <v>100.77514468864472</v>
      </c>
      <c r="Q291" s="757">
        <f ca="1">SUM(Q289:Q290)</f>
        <v>111.77295540293042</v>
      </c>
    </row>
    <row r="292" spans="2:17" s="4" customFormat="1" ht="12.75" customHeight="1">
      <c r="B292" s="3" t="s">
        <v>305</v>
      </c>
      <c r="C292" s="3"/>
      <c r="D292" s="3"/>
      <c r="E292" s="3"/>
      <c r="F292" s="3"/>
      <c r="G292" s="3"/>
      <c r="H292" s="3"/>
      <c r="I292" s="921">
        <f>'Acq Proj'!I37</f>
        <v>3.4</v>
      </c>
      <c r="J292" s="921">
        <f>'Acq Proj'!J37</f>
        <v>3.6</v>
      </c>
      <c r="K292" s="921">
        <f>'Acq Proj'!K37</f>
        <v>4</v>
      </c>
      <c r="L292" s="921">
        <f>'Acq Proj'!L37</f>
        <v>4.8</v>
      </c>
      <c r="M292" s="925">
        <f>'Acq Proj'!M37+'Tar Proj'!M37</f>
        <v>7.0895833333333336</v>
      </c>
      <c r="N292" s="925">
        <f>'Acq Proj'!N37+'Tar Proj'!N37</f>
        <v>8.0385416666666671</v>
      </c>
      <c r="O292" s="925">
        <f>'Acq Proj'!O37+'Tar Proj'!O37</f>
        <v>9.0023958333333347</v>
      </c>
      <c r="P292" s="925">
        <f>'Acq Proj'!P37+'Tar Proj'!P37</f>
        <v>10.082635416666667</v>
      </c>
      <c r="Q292" s="925">
        <f>'Acq Proj'!Q37+'Tar Proj'!Q37</f>
        <v>11.293398958333336</v>
      </c>
    </row>
    <row r="293" spans="2:17" s="4" customFormat="1" ht="12.75" customHeight="1">
      <c r="B293" s="3" t="s">
        <v>306</v>
      </c>
      <c r="C293" s="3"/>
      <c r="D293" s="3"/>
      <c r="E293" s="3"/>
      <c r="F293" s="3"/>
      <c r="G293" s="3"/>
      <c r="H293" s="3"/>
      <c r="I293" s="757">
        <f t="shared" ref="I293:P293" si="23">SUM(I291:I292)</f>
        <v>27.349999999999998</v>
      </c>
      <c r="J293" s="757">
        <f t="shared" si="23"/>
        <v>32.634999999999991</v>
      </c>
      <c r="K293" s="757">
        <f t="shared" si="23"/>
        <v>35.938499999999991</v>
      </c>
      <c r="L293" s="757">
        <f t="shared" si="23"/>
        <v>44.8</v>
      </c>
      <c r="M293" s="757">
        <f t="shared" ca="1" si="23"/>
        <v>76.089583333333337</v>
      </c>
      <c r="N293" s="757">
        <f t="shared" ca="1" si="23"/>
        <v>88.770959249084257</v>
      </c>
      <c r="O293" s="757">
        <f t="shared" ca="1" si="23"/>
        <v>99.196333562271093</v>
      </c>
      <c r="P293" s="757">
        <f t="shared" ca="1" si="23"/>
        <v>110.85778010531138</v>
      </c>
      <c r="Q293" s="757">
        <f ca="1">SUM(Q291:Q292)</f>
        <v>123.06635436126376</v>
      </c>
    </row>
    <row r="294" spans="2:17" s="4" customFormat="1" ht="12.75" customHeight="1">
      <c r="B294" s="3"/>
      <c r="C294" s="3"/>
      <c r="D294" s="3"/>
      <c r="E294" s="3"/>
      <c r="F294" s="3"/>
      <c r="G294" s="3"/>
      <c r="H294" s="3"/>
      <c r="I294" s="939"/>
      <c r="J294" s="939"/>
      <c r="K294" s="939"/>
      <c r="L294" s="939"/>
      <c r="M294" s="939"/>
      <c r="N294" s="939"/>
      <c r="O294" s="939"/>
      <c r="P294" s="939"/>
      <c r="Q294" s="939"/>
    </row>
    <row r="295" spans="2:17" s="4" customFormat="1" ht="12.75" customHeight="1">
      <c r="B295" s="139" t="s">
        <v>184</v>
      </c>
      <c r="C295" s="3"/>
      <c r="D295" s="3"/>
      <c r="E295" s="3"/>
      <c r="F295" s="3"/>
      <c r="G295" s="3"/>
      <c r="H295" s="3"/>
      <c r="I295" s="253"/>
      <c r="J295" s="253"/>
      <c r="K295" s="253"/>
      <c r="L295" s="253"/>
      <c r="M295" s="253"/>
      <c r="N295" s="253"/>
      <c r="O295" s="253"/>
      <c r="P295" s="253"/>
      <c r="Q295" s="253"/>
    </row>
    <row r="296" spans="2:17" s="4" customFormat="1" ht="12.75" customHeight="1">
      <c r="B296" s="3" t="s">
        <v>74</v>
      </c>
      <c r="C296" s="3"/>
      <c r="D296" s="3"/>
      <c r="E296" s="3"/>
      <c r="F296" s="3"/>
      <c r="G296" s="3"/>
      <c r="H296" s="3"/>
      <c r="I296" s="200">
        <f t="shared" ref="I296:Q296" si="24">I263/I261</f>
        <v>0.5</v>
      </c>
      <c r="J296" s="200">
        <f t="shared" si="24"/>
        <v>0.51444444444444437</v>
      </c>
      <c r="K296" s="200">
        <f t="shared" si="24"/>
        <v>0.505</v>
      </c>
      <c r="L296" s="200">
        <f t="shared" si="24"/>
        <v>0.5</v>
      </c>
      <c r="M296" s="200">
        <f t="shared" si="24"/>
        <v>0.51410256410256405</v>
      </c>
      <c r="N296" s="200">
        <f t="shared" si="24"/>
        <v>0.51371882086167808</v>
      </c>
      <c r="O296" s="200">
        <f t="shared" si="24"/>
        <v>0.5134962482255121</v>
      </c>
      <c r="P296" s="200">
        <f t="shared" si="24"/>
        <v>0.51327596525271579</v>
      </c>
      <c r="Q296" s="200">
        <f t="shared" si="24"/>
        <v>0.51305799155472243</v>
      </c>
    </row>
    <row r="297" spans="2:17" s="4" customFormat="1" ht="12.75" customHeight="1">
      <c r="B297" s="3" t="str">
        <f>B264</f>
        <v>SG&amp;A Expenses</v>
      </c>
      <c r="C297" s="3"/>
      <c r="D297" s="3"/>
      <c r="E297" s="3"/>
      <c r="F297" s="3"/>
      <c r="G297" s="3"/>
      <c r="H297" s="3"/>
      <c r="I297" s="200">
        <f t="shared" ref="I297:Q297" si="25">I264/I261</f>
        <v>0.22687500000000002</v>
      </c>
      <c r="J297" s="200">
        <f t="shared" si="25"/>
        <v>0.21627777777777782</v>
      </c>
      <c r="K297" s="200">
        <f t="shared" si="25"/>
        <v>0.20961500000000005</v>
      </c>
      <c r="L297" s="200">
        <f t="shared" si="25"/>
        <v>0.25</v>
      </c>
      <c r="M297" s="200">
        <f t="shared" si="25"/>
        <v>0.23717948717948717</v>
      </c>
      <c r="N297" s="200">
        <f t="shared" si="25"/>
        <v>0.22435897435897437</v>
      </c>
      <c r="O297" s="200">
        <f t="shared" si="25"/>
        <v>0.22435897435897437</v>
      </c>
      <c r="P297" s="200">
        <f t="shared" si="25"/>
        <v>0.22435897435897437</v>
      </c>
      <c r="Q297" s="200">
        <f t="shared" si="25"/>
        <v>0.22707269628018936</v>
      </c>
    </row>
    <row r="298" spans="2:17" s="4" customFormat="1" ht="12.75" customHeight="1">
      <c r="B298" s="3" t="s">
        <v>63</v>
      </c>
      <c r="C298" s="3"/>
      <c r="D298" s="3"/>
      <c r="E298" s="3"/>
      <c r="F298" s="3"/>
      <c r="G298" s="3"/>
      <c r="H298" s="3"/>
      <c r="I298" s="200">
        <f t="shared" ref="I298:Q298" si="26">I291/I261</f>
        <v>0.299375</v>
      </c>
      <c r="J298" s="200">
        <f t="shared" si="26"/>
        <v>0.32261111111111102</v>
      </c>
      <c r="K298" s="200">
        <f t="shared" si="26"/>
        <v>0.31938499999999992</v>
      </c>
      <c r="L298" s="200">
        <f t="shared" si="26"/>
        <v>0.33333333333333331</v>
      </c>
      <c r="M298" s="200">
        <f t="shared" ca="1" si="26"/>
        <v>0.35384615384615387</v>
      </c>
      <c r="N298" s="200">
        <f t="shared" ca="1" si="26"/>
        <v>0.36613341307218861</v>
      </c>
      <c r="O298" s="200">
        <f t="shared" ca="1" si="26"/>
        <v>0.3658241238245295</v>
      </c>
      <c r="P298" s="200">
        <f t="shared" ca="1" si="26"/>
        <v>0.36551801631687747</v>
      </c>
      <c r="Q298" s="200">
        <f t="shared" ca="1" si="26"/>
        <v>0.36250139588026903</v>
      </c>
    </row>
    <row r="299" spans="2:17" s="4" customFormat="1" ht="12.75" customHeight="1">
      <c r="B299" s="3" t="s">
        <v>64</v>
      </c>
      <c r="C299" s="3"/>
      <c r="D299" s="3"/>
      <c r="E299" s="3"/>
      <c r="F299" s="3"/>
      <c r="G299" s="3"/>
      <c r="H299" s="3"/>
      <c r="I299" s="200">
        <f t="shared" ref="I299:Q299" si="27">I289/I261</f>
        <v>0.26687499999999997</v>
      </c>
      <c r="J299" s="200">
        <f t="shared" si="27"/>
        <v>0.29261111111111104</v>
      </c>
      <c r="K299" s="200">
        <f t="shared" si="27"/>
        <v>0.29038499999999995</v>
      </c>
      <c r="L299" s="200">
        <f t="shared" si="27"/>
        <v>0.25</v>
      </c>
      <c r="M299" s="200">
        <f t="shared" ca="1" si="27"/>
        <v>0.26659376259862239</v>
      </c>
      <c r="N299" s="200">
        <f t="shared" ca="1" si="27"/>
        <v>0.28022507873277791</v>
      </c>
      <c r="O299" s="200">
        <f t="shared" ca="1" si="27"/>
        <v>0.28096766813435919</v>
      </c>
      <c r="P299" s="200">
        <f t="shared" ca="1" si="27"/>
        <v>0.28161129715126809</v>
      </c>
      <c r="Q299" s="200">
        <f t="shared" ca="1" si="27"/>
        <v>0.27945280076114637</v>
      </c>
    </row>
    <row r="300" spans="2:17" s="4" customFormat="1" ht="12.75" customHeight="1">
      <c r="B300" s="3" t="s">
        <v>65</v>
      </c>
      <c r="C300" s="3"/>
      <c r="D300" s="3"/>
      <c r="E300" s="3"/>
      <c r="F300" s="3"/>
      <c r="G300" s="3"/>
      <c r="H300" s="3"/>
      <c r="I300" s="200">
        <f t="shared" ref="I300:Q300" si="28">I274/I261</f>
        <v>0.18766750000000001</v>
      </c>
      <c r="J300" s="200">
        <f t="shared" si="28"/>
        <v>0.2084583333333333</v>
      </c>
      <c r="K300" s="200">
        <f t="shared" si="28"/>
        <v>0.20795874999999994</v>
      </c>
      <c r="L300" s="200">
        <f t="shared" ca="1" si="28"/>
        <v>0.18828463081108518</v>
      </c>
      <c r="M300" s="200">
        <f t="shared" ca="1" si="28"/>
        <v>0.17817305309368064</v>
      </c>
      <c r="N300" s="200">
        <f t="shared" ca="1" si="28"/>
        <v>0.19722071632266822</v>
      </c>
      <c r="O300" s="200">
        <f t="shared" ca="1" si="28"/>
        <v>0.20186232994647807</v>
      </c>
      <c r="P300" s="200">
        <f t="shared" ca="1" si="28"/>
        <v>0.20393170604528366</v>
      </c>
      <c r="Q300" s="200">
        <f t="shared" ca="1" si="28"/>
        <v>0.2037321865314744</v>
      </c>
    </row>
    <row r="301" spans="2:17" s="4" customFormat="1" ht="12.75" customHeight="1">
      <c r="B301" s="3"/>
      <c r="C301" s="3"/>
      <c r="D301" s="3"/>
      <c r="E301" s="3"/>
      <c r="F301" s="3"/>
      <c r="G301" s="3"/>
      <c r="H301" s="3"/>
      <c r="I301" s="232"/>
      <c r="J301" s="232"/>
      <c r="K301" s="232"/>
      <c r="L301" s="232"/>
      <c r="M301" s="232"/>
      <c r="N301" s="232"/>
      <c r="O301" s="232"/>
      <c r="P301" s="232"/>
      <c r="Q301" s="232"/>
    </row>
    <row r="302" spans="2:17" s="4" customFormat="1" ht="12.75" customHeight="1">
      <c r="B302" s="139" t="s">
        <v>79</v>
      </c>
      <c r="C302" s="3"/>
      <c r="D302" s="3"/>
      <c r="E302" s="3"/>
      <c r="F302" s="3"/>
      <c r="G302" s="3"/>
      <c r="H302" s="3"/>
      <c r="I302" s="232"/>
      <c r="J302" s="232"/>
      <c r="K302" s="232"/>
      <c r="L302" s="232"/>
      <c r="M302" s="232"/>
      <c r="N302" s="232"/>
      <c r="O302" s="232"/>
      <c r="P302" s="232"/>
      <c r="Q302" s="232"/>
    </row>
    <row r="303" spans="2:17" s="4" customFormat="1" ht="12.75" customHeight="1">
      <c r="B303" s="3" t="s">
        <v>254</v>
      </c>
      <c r="C303" s="3"/>
      <c r="D303" s="3"/>
      <c r="E303" s="3"/>
      <c r="F303" s="3"/>
      <c r="G303" s="3"/>
      <c r="H303" s="3"/>
      <c r="I303" s="128">
        <v>0</v>
      </c>
      <c r="J303" s="200">
        <f t="shared" ref="J303:Q303" si="29">J261/I261-1</f>
        <v>0.125</v>
      </c>
      <c r="K303" s="200">
        <f t="shared" si="29"/>
        <v>0.11111111111111116</v>
      </c>
      <c r="L303" s="200">
        <f t="shared" si="29"/>
        <v>0.19999999999999996</v>
      </c>
      <c r="M303" s="200">
        <f t="shared" si="29"/>
        <v>0.625</v>
      </c>
      <c r="N303" s="200">
        <f t="shared" si="29"/>
        <v>0.13076923076923075</v>
      </c>
      <c r="O303" s="200">
        <f t="shared" si="29"/>
        <v>0.11814058956916096</v>
      </c>
      <c r="P303" s="200">
        <f t="shared" si="29"/>
        <v>0.11825187588724417</v>
      </c>
      <c r="Q303" s="200">
        <f t="shared" si="29"/>
        <v>0.11836201737364216</v>
      </c>
    </row>
    <row r="304" spans="2:17" s="4" customFormat="1" ht="12.75" customHeight="1">
      <c r="B304" s="3" t="s">
        <v>63</v>
      </c>
      <c r="C304" s="3"/>
      <c r="D304" s="3"/>
      <c r="E304" s="3"/>
      <c r="F304" s="3"/>
      <c r="G304" s="3"/>
      <c r="H304" s="3"/>
      <c r="I304" s="128">
        <v>0</v>
      </c>
      <c r="J304" s="200">
        <f>IF(AND(J291&gt;=0,I291&gt;0),J291/I291-1,"NM")</f>
        <v>0.21231732776617918</v>
      </c>
      <c r="K304" s="200">
        <f t="shared" ref="K304:Q304" si="30">IF(AND(K291&gt;=0,J291&gt;0),K291/J291-1,"NM")</f>
        <v>0.10000000000000009</v>
      </c>
      <c r="L304" s="200">
        <f t="shared" si="30"/>
        <v>0.25240696964478637</v>
      </c>
      <c r="M304" s="200">
        <f t="shared" ca="1" si="30"/>
        <v>0.72500000000000009</v>
      </c>
      <c r="N304" s="200">
        <f t="shared" ca="1" si="30"/>
        <v>0.17003503742634174</v>
      </c>
      <c r="O304" s="200">
        <f t="shared" ca="1" si="30"/>
        <v>0.1171960462705226</v>
      </c>
      <c r="P304" s="200">
        <f ca="1">IF(AND(P291&gt;=0,O291&gt;0),P291/O291-1,"NM")</f>
        <v>0.1173161658769899</v>
      </c>
      <c r="Q304" s="200">
        <f t="shared" ca="1" si="30"/>
        <v>0.10913217488562865</v>
      </c>
    </row>
    <row r="305" spans="2:18" s="4" customFormat="1" ht="12.75" customHeight="1">
      <c r="B305" s="3" t="s">
        <v>64</v>
      </c>
      <c r="C305" s="3"/>
      <c r="D305" s="3"/>
      <c r="E305" s="3"/>
      <c r="F305" s="3"/>
      <c r="G305" s="3"/>
      <c r="H305" s="3"/>
      <c r="I305" s="128">
        <v>0</v>
      </c>
      <c r="J305" s="200">
        <f>IF(AND(J289&gt;=0,I289&gt;0),J289/I289-1,"NM")</f>
        <v>0.23348946135831361</v>
      </c>
      <c r="K305" s="200">
        <f t="shared" ref="K305:Q305" si="31">IF(AND(K289&gt;=0,J289&gt;0),K289/J289-1,"NM")</f>
        <v>0.10265805961648011</v>
      </c>
      <c r="L305" s="200">
        <f t="shared" si="31"/>
        <v>3.3111214422232749E-2</v>
      </c>
      <c r="M305" s="200">
        <f t="shared" ca="1" si="31"/>
        <v>0.73285945689104559</v>
      </c>
      <c r="N305" s="200">
        <f t="shared" ca="1" si="31"/>
        <v>0.18858706082325938</v>
      </c>
      <c r="O305" s="200">
        <f t="shared" ca="1" si="31"/>
        <v>0.12110363397277668</v>
      </c>
      <c r="P305" s="200">
        <f ca="1">IF(AND(P289&gt;=0,O289&gt;0),P289/O289-1,"NM")</f>
        <v>0.12081352064983508</v>
      </c>
      <c r="Q305" s="200">
        <f t="shared" ca="1" si="31"/>
        <v>0.10978998776485294</v>
      </c>
    </row>
    <row r="306" spans="2:18" s="4" customFormat="1" ht="12.75" customHeight="1">
      <c r="B306" s="3" t="str">
        <f>B274</f>
        <v>Net Income</v>
      </c>
      <c r="C306" s="3"/>
      <c r="D306" s="3"/>
      <c r="E306" s="3"/>
      <c r="F306" s="3"/>
      <c r="G306" s="3"/>
      <c r="H306" s="3"/>
      <c r="I306" s="128">
        <v>0</v>
      </c>
      <c r="J306" s="200">
        <f t="shared" ref="J306:Q306" si="32">IF(AND(J274&gt;=0,I274&gt;0),J274/I274-1,"NM")</f>
        <v>0.24963366059653347</v>
      </c>
      <c r="K306" s="200">
        <f t="shared" si="32"/>
        <v>0.10844826437470845</v>
      </c>
      <c r="L306" s="200">
        <f t="shared" ca="1" si="32"/>
        <v>8.6472951839257961E-2</v>
      </c>
      <c r="M306" s="200">
        <f t="shared" ca="1" si="32"/>
        <v>0.53773151865874436</v>
      </c>
      <c r="N306" s="200">
        <f t="shared" ca="1" si="32"/>
        <v>0.25165457860052731</v>
      </c>
      <c r="O306" s="200">
        <f t="shared" ca="1" si="32"/>
        <v>0.14445616478179635</v>
      </c>
      <c r="P306" s="200">
        <f t="shared" ca="1" si="32"/>
        <v>0.12971554870336166</v>
      </c>
      <c r="Q306" s="200">
        <f t="shared" ca="1" si="32"/>
        <v>0.11726785183020483</v>
      </c>
    </row>
    <row r="307" spans="2:18" s="4" customFormat="1" ht="12.75" customHeight="1">
      <c r="B307" s="3" t="str">
        <f>B280</f>
        <v>Diluted EPS</v>
      </c>
      <c r="C307" s="3"/>
      <c r="D307" s="3"/>
      <c r="E307" s="3"/>
      <c r="F307" s="3"/>
      <c r="G307" s="3"/>
      <c r="H307" s="3"/>
      <c r="I307" s="128">
        <v>0</v>
      </c>
      <c r="J307" s="200">
        <f t="shared" ref="J307:Q307" si="33">IF(AND(J280&gt;=0,I280&gt;0),J280/I280-1,"NM")</f>
        <v>0.22691304858568739</v>
      </c>
      <c r="K307" s="200">
        <f t="shared" si="33"/>
        <v>8.8654545368017201E-2</v>
      </c>
      <c r="L307" s="200">
        <f t="shared" ca="1" si="33"/>
        <v>-9.3862569861560274E-3</v>
      </c>
      <c r="M307" s="200">
        <f t="shared" ca="1" si="33"/>
        <v>0.44461598911966194</v>
      </c>
      <c r="N307" s="200">
        <f t="shared" ca="1" si="33"/>
        <v>0.25165457860052731</v>
      </c>
      <c r="O307" s="200">
        <f t="shared" ca="1" si="33"/>
        <v>0.14445616478179635</v>
      </c>
      <c r="P307" s="200">
        <f t="shared" ca="1" si="33"/>
        <v>0.12971554870336166</v>
      </c>
      <c r="Q307" s="200">
        <f t="shared" ca="1" si="33"/>
        <v>0.11726785183020483</v>
      </c>
    </row>
    <row r="308" spans="2:18" s="4" customFormat="1">
      <c r="K308" s="249"/>
      <c r="L308" s="303"/>
      <c r="M308" s="303"/>
      <c r="N308" s="303"/>
      <c r="O308" s="303"/>
      <c r="P308" s="303"/>
      <c r="Q308" s="303"/>
    </row>
    <row r="309" spans="2:18" s="4" customFormat="1" ht="15.95" customHeight="1" collapsed="1" thickBot="1">
      <c r="B309" s="628" t="str">
        <f>acq&amp;" Pro Forma Balance Sheet"</f>
        <v>COLEMAN CO. Pro Forma Balance Sheet</v>
      </c>
      <c r="C309" s="628"/>
      <c r="D309" s="628"/>
      <c r="E309" s="629"/>
      <c r="F309" s="629"/>
      <c r="G309" s="629"/>
      <c r="H309" s="629"/>
      <c r="I309" s="629"/>
      <c r="J309" s="629"/>
      <c r="K309" s="629"/>
      <c r="L309" s="629"/>
      <c r="M309" s="629"/>
      <c r="N309" s="629"/>
      <c r="O309" s="630"/>
      <c r="P309" s="630"/>
      <c r="Q309" s="630"/>
      <c r="R309" s="631"/>
    </row>
    <row r="310" spans="2:18" s="4" customFormat="1">
      <c r="B310" s="896"/>
      <c r="C310" s="896"/>
      <c r="D310" s="896"/>
      <c r="E310" s="896"/>
      <c r="F310" s="896"/>
      <c r="G310" s="896"/>
      <c r="H310" s="896"/>
      <c r="I310" s="896"/>
      <c r="J310" s="717" t="str">
        <f>I259</f>
        <v>COLEMAN CO. Stand Alone</v>
      </c>
      <c r="K310" s="462"/>
      <c r="L310" s="717" t="s">
        <v>29</v>
      </c>
      <c r="M310" s="717" t="str">
        <f>M259</f>
        <v>Projected Combined</v>
      </c>
      <c r="N310" s="462"/>
      <c r="O310" s="462"/>
      <c r="P310" s="462"/>
      <c r="Q310" s="462"/>
    </row>
    <row r="311" spans="2:18" s="4" customFormat="1">
      <c r="B311" s="895" t="str">
        <f>$B$160</f>
        <v>Fiscal Year Ended December 31,</v>
      </c>
      <c r="C311" s="896"/>
      <c r="D311" s="896"/>
      <c r="E311" s="897"/>
      <c r="F311" s="897"/>
      <c r="G311" s="897"/>
      <c r="H311" s="897"/>
      <c r="I311" s="897"/>
      <c r="J311" s="913">
        <f>K311-1</f>
        <v>2017</v>
      </c>
      <c r="K311" s="913">
        <f>L311-1</f>
        <v>2018</v>
      </c>
      <c r="L311" s="899">
        <f>M311-1</f>
        <v>2019</v>
      </c>
      <c r="M311" s="915">
        <f>M$12</f>
        <v>2020</v>
      </c>
      <c r="N311" s="915">
        <f>+M311+1</f>
        <v>2021</v>
      </c>
      <c r="O311" s="915">
        <f>+N311+1</f>
        <v>2022</v>
      </c>
      <c r="P311" s="915">
        <f>+O311+1</f>
        <v>2023</v>
      </c>
      <c r="Q311" s="915">
        <f>+P311+1</f>
        <v>2024</v>
      </c>
    </row>
    <row r="312" spans="2:18" s="4" customFormat="1" ht="18" customHeight="1">
      <c r="B312" s="139" t="s">
        <v>35</v>
      </c>
      <c r="C312" s="3"/>
      <c r="D312" s="3"/>
      <c r="E312" s="3"/>
      <c r="F312" s="3"/>
      <c r="G312" s="3"/>
      <c r="H312" s="3"/>
      <c r="I312" s="3"/>
      <c r="J312" s="7"/>
      <c r="K312" s="7"/>
      <c r="L312" s="291"/>
      <c r="M312" s="7"/>
      <c r="N312" s="7"/>
      <c r="O312" s="7"/>
      <c r="P312" s="7"/>
      <c r="Q312" s="7"/>
    </row>
    <row r="313" spans="2:18" s="4" customFormat="1">
      <c r="B313" s="3" t="s">
        <v>38</v>
      </c>
      <c r="C313" s="3"/>
      <c r="D313" s="3"/>
      <c r="E313" s="3"/>
      <c r="F313" s="3"/>
      <c r="G313" s="3"/>
      <c r="H313" s="3"/>
      <c r="I313" s="3"/>
      <c r="J313" s="352">
        <f>'Acq Proj'!J58</f>
        <v>54.879538888888952</v>
      </c>
      <c r="K313" s="352">
        <f>'Acq Proj'!K58</f>
        <v>68.872413888888943</v>
      </c>
      <c r="L313" s="353">
        <f ca="1">P116</f>
        <v>26.921077229737357</v>
      </c>
      <c r="M313" s="353">
        <f ca="1">M374</f>
        <v>20.000000000000007</v>
      </c>
      <c r="N313" s="353">
        <f ca="1">N374</f>
        <v>35.293155253287559</v>
      </c>
      <c r="O313" s="353">
        <f ca="1">O374</f>
        <v>80.22605243176443</v>
      </c>
      <c r="P313" s="353">
        <f ca="1">P374</f>
        <v>130.77874991338345</v>
      </c>
      <c r="Q313" s="353">
        <f ca="1">Q374</f>
        <v>186.98747404608122</v>
      </c>
    </row>
    <row r="314" spans="2:18" s="4" customFormat="1">
      <c r="B314" s="3" t="s">
        <v>39</v>
      </c>
      <c r="C314" s="3"/>
      <c r="D314" s="3"/>
      <c r="E314" s="3"/>
      <c r="F314" s="3"/>
      <c r="G314" s="3"/>
      <c r="H314" s="3"/>
      <c r="I314" s="3"/>
      <c r="J314" s="103">
        <f>'Acq Proj'!J59</f>
        <v>16.681000000000001</v>
      </c>
      <c r="K314" s="103">
        <f>'Acq Proj'!K59</f>
        <v>12.850999999999999</v>
      </c>
      <c r="L314" s="343">
        <f>P117</f>
        <v>25.310783333333333</v>
      </c>
      <c r="M314" s="343">
        <f>M492</f>
        <v>28.869941666666669</v>
      </c>
      <c r="N314" s="343">
        <f>N492</f>
        <v>32.527995833333335</v>
      </c>
      <c r="O314" s="343">
        <f>O492</f>
        <v>36.294835416666672</v>
      </c>
      <c r="P314" s="343">
        <f>P492</f>
        <v>40.502613958333335</v>
      </c>
      <c r="Q314" s="343">
        <f>Q492</f>
        <v>45.203457229166673</v>
      </c>
    </row>
    <row r="315" spans="2:18" s="4" customFormat="1">
      <c r="B315" s="3" t="s">
        <v>40</v>
      </c>
      <c r="C315" s="3"/>
      <c r="D315" s="3"/>
      <c r="E315" s="3"/>
      <c r="F315" s="3"/>
      <c r="G315" s="3"/>
      <c r="H315" s="3"/>
      <c r="I315" s="3"/>
      <c r="J315" s="103">
        <f>'Acq Proj'!J60</f>
        <v>10.482666666666701</v>
      </c>
      <c r="K315" s="103">
        <f>'Acq Proj'!K60</f>
        <v>11.956666666666701</v>
      </c>
      <c r="L315" s="343">
        <f>P118</f>
        <v>18.896366792929332</v>
      </c>
      <c r="M315" s="343">
        <f>M496</f>
        <v>21.752198758417553</v>
      </c>
      <c r="N315" s="343">
        <f>N496</f>
        <v>24.65206509890578</v>
      </c>
      <c r="O315" s="343">
        <f>O496</f>
        <v>27.600369251894001</v>
      </c>
      <c r="P315" s="343">
        <f>P496</f>
        <v>30.903891025568253</v>
      </c>
      <c r="Q315" s="343">
        <f>Q496</f>
        <v>34.605700582670536</v>
      </c>
    </row>
    <row r="316" spans="2:18" s="4" customFormat="1">
      <c r="B316" s="3" t="s">
        <v>41</v>
      </c>
      <c r="C316" s="3"/>
      <c r="D316" s="3"/>
      <c r="E316" s="3"/>
      <c r="F316" s="3"/>
      <c r="G316" s="3"/>
      <c r="H316" s="3"/>
      <c r="I316" s="3"/>
      <c r="J316" s="916">
        <f>'Acq Proj'!J61</f>
        <v>4.2530000000000001</v>
      </c>
      <c r="K316" s="916">
        <f>'Acq Proj'!K61</f>
        <v>5.8770000000000007</v>
      </c>
      <c r="L316" s="917">
        <f>P119</f>
        <v>8.7149000000000019</v>
      </c>
      <c r="M316" s="917">
        <f>M500</f>
        <v>10.056550000000001</v>
      </c>
      <c r="N316" s="917">
        <f>N500</f>
        <v>11.414825000000002</v>
      </c>
      <c r="O316" s="917">
        <f>O500</f>
        <v>12.791387500000003</v>
      </c>
      <c r="P316" s="917">
        <f>P500</f>
        <v>14.334991250000005</v>
      </c>
      <c r="Q316" s="917">
        <f>Q500</f>
        <v>16.066013500000004</v>
      </c>
    </row>
    <row r="317" spans="2:18" s="4" customFormat="1">
      <c r="B317" s="151" t="s">
        <v>42</v>
      </c>
      <c r="C317" s="3"/>
      <c r="D317" s="3"/>
      <c r="E317" s="3"/>
      <c r="F317" s="3"/>
      <c r="G317" s="3"/>
      <c r="H317" s="3"/>
      <c r="I317" s="3"/>
      <c r="J317" s="918">
        <f t="shared" ref="J317:P317" si="34">SUM(J313:J316)</f>
        <v>86.296205555555659</v>
      </c>
      <c r="K317" s="918">
        <f t="shared" si="34"/>
        <v>99.557080555555643</v>
      </c>
      <c r="L317" s="918">
        <f t="shared" ca="1" si="34"/>
        <v>79.843127356000025</v>
      </c>
      <c r="M317" s="918">
        <f t="shared" ca="1" si="34"/>
        <v>80.678690425084227</v>
      </c>
      <c r="N317" s="918">
        <f t="shared" ca="1" si="34"/>
        <v>103.88804118552667</v>
      </c>
      <c r="O317" s="918">
        <f t="shared" ca="1" si="34"/>
        <v>156.91264460032511</v>
      </c>
      <c r="P317" s="918">
        <f t="shared" ca="1" si="34"/>
        <v>216.52024614728504</v>
      </c>
      <c r="Q317" s="918">
        <f ca="1">SUM(Q313:Q316)</f>
        <v>282.86264535791844</v>
      </c>
    </row>
    <row r="318" spans="2:18" s="4" customFormat="1">
      <c r="B318" s="3" t="s">
        <v>43</v>
      </c>
      <c r="C318" s="3"/>
      <c r="D318" s="3"/>
      <c r="E318" s="3"/>
      <c r="F318" s="3"/>
      <c r="G318" s="3"/>
      <c r="H318" s="3"/>
      <c r="I318" s="3"/>
      <c r="J318" s="103">
        <f>'Acq Proj'!J63</f>
        <v>4.5</v>
      </c>
      <c r="K318" s="103">
        <f>'Acq Proj'!K63</f>
        <v>4.5999999999999996</v>
      </c>
      <c r="L318" s="343">
        <f>P121</f>
        <v>7.8780000000000001</v>
      </c>
      <c r="M318" s="343">
        <f>L318-M347-M361</f>
        <v>10.378</v>
      </c>
      <c r="N318" s="343">
        <f>M318-N347-N361</f>
        <v>13.213714285714286</v>
      </c>
      <c r="O318" s="343">
        <f>N318-O347-O361</f>
        <v>16.390142857142859</v>
      </c>
      <c r="P318" s="343">
        <f>O318-P347-P361</f>
        <v>19.948500000000006</v>
      </c>
      <c r="Q318" s="343">
        <f>P318-Q347-Q361</f>
        <v>23.935014285714292</v>
      </c>
    </row>
    <row r="319" spans="2:18" s="4" customFormat="1">
      <c r="B319" s="3" t="s">
        <v>332</v>
      </c>
      <c r="C319" s="3"/>
      <c r="D319" s="3"/>
      <c r="E319" s="3"/>
      <c r="F319" s="3"/>
      <c r="G319" s="3"/>
      <c r="H319" s="3"/>
      <c r="I319" s="3"/>
      <c r="J319" s="103">
        <f>'Acq Proj'!J64</f>
        <v>2</v>
      </c>
      <c r="K319" s="103">
        <f>'Acq Proj'!K64</f>
        <v>0.21</v>
      </c>
      <c r="L319" s="343">
        <f ca="1">P122+P124</f>
        <v>150.77246401839383</v>
      </c>
      <c r="M319" s="343">
        <f ca="1">L319</f>
        <v>150.77246401839383</v>
      </c>
      <c r="N319" s="343">
        <f ca="1">M319</f>
        <v>150.77246401839383</v>
      </c>
      <c r="O319" s="343">
        <f ca="1">N319</f>
        <v>150.77246401839383</v>
      </c>
      <c r="P319" s="343">
        <f ca="1">O319</f>
        <v>150.77246401839383</v>
      </c>
      <c r="Q319" s="343">
        <f ca="1">P319</f>
        <v>150.77246401839383</v>
      </c>
    </row>
    <row r="320" spans="2:18" s="4" customFormat="1">
      <c r="B320" s="3" t="s">
        <v>356</v>
      </c>
      <c r="C320" s="3"/>
      <c r="D320" s="3"/>
      <c r="E320" s="3"/>
      <c r="F320" s="3"/>
      <c r="G320" s="3"/>
      <c r="H320" s="3"/>
      <c r="I320" s="3"/>
      <c r="J320" s="103">
        <f>'Acq Proj'!J65</f>
        <v>0.57199999999999995</v>
      </c>
      <c r="K320" s="103">
        <f>'Acq Proj'!K65</f>
        <v>0.437</v>
      </c>
      <c r="L320" s="343">
        <f ca="1">P123</f>
        <v>21.022162932686289</v>
      </c>
      <c r="M320" s="343">
        <f t="shared" ref="M320:Q321" ca="1" si="35">L320-M348</f>
        <v>19.007946639417661</v>
      </c>
      <c r="N320" s="343">
        <f t="shared" ca="1" si="35"/>
        <v>16.993730346149032</v>
      </c>
      <c r="O320" s="343">
        <f t="shared" ca="1" si="35"/>
        <v>14.979514052880404</v>
      </c>
      <c r="P320" s="343">
        <f t="shared" ca="1" si="35"/>
        <v>12.965297759611776</v>
      </c>
      <c r="Q320" s="343">
        <f t="shared" ca="1" si="35"/>
        <v>10.951081466343147</v>
      </c>
    </row>
    <row r="321" spans="2:17" s="17" customFormat="1">
      <c r="B321" s="10" t="s">
        <v>374</v>
      </c>
      <c r="C321" s="10"/>
      <c r="D321" s="10"/>
      <c r="E321" s="10"/>
      <c r="F321" s="10"/>
      <c r="G321" s="10"/>
      <c r="H321" s="10"/>
      <c r="I321" s="10"/>
      <c r="J321" s="600">
        <v>0</v>
      </c>
      <c r="K321" s="600">
        <v>0</v>
      </c>
      <c r="L321" s="595">
        <f ca="1">P125</f>
        <v>5.5500000000000007</v>
      </c>
      <c r="M321" s="595">
        <f t="shared" ca="1" si="35"/>
        <v>4.5075000000000003</v>
      </c>
      <c r="N321" s="595">
        <f t="shared" ca="1" si="35"/>
        <v>3.4650000000000003</v>
      </c>
      <c r="O321" s="595">
        <f t="shared" ca="1" si="35"/>
        <v>2.4225000000000003</v>
      </c>
      <c r="P321" s="595">
        <f t="shared" ca="1" si="35"/>
        <v>1.3800000000000003</v>
      </c>
      <c r="Q321" s="595">
        <f t="shared" ca="1" si="35"/>
        <v>0.33750000000000036</v>
      </c>
    </row>
    <row r="322" spans="2:17" s="17" customFormat="1">
      <c r="B322" s="10" t="s">
        <v>232</v>
      </c>
      <c r="C322" s="10"/>
      <c r="D322" s="10"/>
      <c r="E322" s="10"/>
      <c r="F322" s="10"/>
      <c r="G322" s="10"/>
      <c r="H322" s="10"/>
      <c r="I322" s="10"/>
      <c r="J322" s="876">
        <f>'Acq Proj'!J66</f>
        <v>8</v>
      </c>
      <c r="K322" s="876">
        <f>'Acq Proj'!K66</f>
        <v>3.621</v>
      </c>
      <c r="L322" s="877">
        <f>P126</f>
        <v>9.9370000000000012</v>
      </c>
      <c r="M322" s="876">
        <f>'Acq Proj'!M66+'Tar Proj'!M66</f>
        <v>9.9370000000000012</v>
      </c>
      <c r="N322" s="876">
        <f>'Acq Proj'!N66+'Tar Proj'!N66</f>
        <v>9.9370000000000012</v>
      </c>
      <c r="O322" s="876">
        <f>'Acq Proj'!O66+'Tar Proj'!O66</f>
        <v>9.9370000000000012</v>
      </c>
      <c r="P322" s="876">
        <f>'Acq Proj'!P66+'Tar Proj'!P66</f>
        <v>9.9370000000000012</v>
      </c>
      <c r="Q322" s="876">
        <f>'Acq Proj'!Q66+'Tar Proj'!Q66</f>
        <v>9.9370000000000012</v>
      </c>
    </row>
    <row r="323" spans="2:17" s="4" customFormat="1">
      <c r="B323" s="151" t="s">
        <v>46</v>
      </c>
      <c r="C323" s="3"/>
      <c r="D323" s="3"/>
      <c r="E323" s="3"/>
      <c r="F323" s="3"/>
      <c r="G323" s="3"/>
      <c r="H323" s="3"/>
      <c r="I323" s="3"/>
      <c r="J323" s="757">
        <f t="shared" ref="J323:P323" si="36">SUM(J317:J322)</f>
        <v>101.36820555555566</v>
      </c>
      <c r="K323" s="757">
        <f t="shared" si="36"/>
        <v>108.42508055555562</v>
      </c>
      <c r="L323" s="757">
        <f t="shared" ca="1" si="36"/>
        <v>275.00275430708018</v>
      </c>
      <c r="M323" s="757">
        <f t="shared" ca="1" si="36"/>
        <v>275.28160108289569</v>
      </c>
      <c r="N323" s="757">
        <f t="shared" ca="1" si="36"/>
        <v>298.26994983578385</v>
      </c>
      <c r="O323" s="757">
        <f t="shared" ca="1" si="36"/>
        <v>351.41426552874225</v>
      </c>
      <c r="P323" s="757">
        <f t="shared" ca="1" si="36"/>
        <v>411.52350792529063</v>
      </c>
      <c r="Q323" s="757">
        <f ca="1">SUM(Q317:Q322)</f>
        <v>478.79570512836978</v>
      </c>
    </row>
    <row r="324" spans="2:17" s="4" customFormat="1">
      <c r="B324" s="3"/>
      <c r="C324" s="3"/>
      <c r="D324" s="3"/>
      <c r="E324" s="3"/>
      <c r="F324" s="3"/>
      <c r="G324" s="3"/>
      <c r="H324" s="3"/>
      <c r="I324" s="3"/>
      <c r="J324" s="253"/>
      <c r="K324" s="253"/>
      <c r="L324" s="253"/>
      <c r="M324" s="253"/>
      <c r="N324" s="253"/>
      <c r="O324" s="253"/>
      <c r="P324" s="253"/>
      <c r="Q324" s="253"/>
    </row>
    <row r="325" spans="2:17" s="4" customFormat="1">
      <c r="B325" s="139" t="s">
        <v>47</v>
      </c>
      <c r="C325" s="3"/>
      <c r="D325" s="3"/>
      <c r="E325" s="3"/>
      <c r="F325" s="3"/>
      <c r="G325" s="3"/>
      <c r="H325" s="3"/>
      <c r="I325" s="3"/>
      <c r="J325" s="253"/>
      <c r="K325" s="253"/>
      <c r="L325" s="253"/>
      <c r="M325" s="253"/>
      <c r="N325" s="253"/>
      <c r="O325" s="253"/>
      <c r="P325" s="253"/>
      <c r="Q325" s="253"/>
    </row>
    <row r="326" spans="2:17" s="4" customFormat="1">
      <c r="B326" s="3" t="s">
        <v>48</v>
      </c>
      <c r="C326" s="3"/>
      <c r="D326" s="3"/>
      <c r="E326" s="3"/>
      <c r="F326" s="3"/>
      <c r="G326" s="3"/>
      <c r="H326" s="3"/>
      <c r="I326" s="3"/>
      <c r="J326" s="352">
        <f>'Acq Proj'!J71</f>
        <v>7.3150000000000004</v>
      </c>
      <c r="K326" s="352">
        <f>'Acq Proj'!K71</f>
        <v>6.3860000000000001</v>
      </c>
      <c r="L326" s="353">
        <f>P130</f>
        <v>12.100918560606061</v>
      </c>
      <c r="M326" s="353">
        <f>M503</f>
        <v>13.827050820707072</v>
      </c>
      <c r="N326" s="353">
        <f>N503</f>
        <v>15.596786205808083</v>
      </c>
      <c r="O326" s="353">
        <f>O503</f>
        <v>17.414485028409093</v>
      </c>
      <c r="P326" s="353">
        <f>P503</f>
        <v>19.446206258522729</v>
      </c>
      <c r="Q326" s="353">
        <f>Q503</f>
        <v>21.717383702556823</v>
      </c>
    </row>
    <row r="327" spans="2:17" s="4" customFormat="1">
      <c r="B327" s="3" t="s">
        <v>49</v>
      </c>
      <c r="C327" s="3"/>
      <c r="D327" s="3"/>
      <c r="E327" s="3"/>
      <c r="F327" s="3"/>
      <c r="G327" s="3"/>
      <c r="H327" s="3"/>
      <c r="I327" s="3"/>
      <c r="J327" s="916">
        <f>'Acq Proj'!J72</f>
        <v>8.3670000000000009</v>
      </c>
      <c r="K327" s="916">
        <f>'Acq Proj'!K72</f>
        <v>8.859</v>
      </c>
      <c r="L327" s="917">
        <f>P131</f>
        <v>16.713091666666667</v>
      </c>
      <c r="M327" s="917">
        <f>M507</f>
        <v>19.093120833333334</v>
      </c>
      <c r="N327" s="917">
        <f>N507</f>
        <v>21.53397291666667</v>
      </c>
      <c r="O327" s="917">
        <f>O507</f>
        <v>24.041730208333338</v>
      </c>
      <c r="P327" s="917">
        <f>P507</f>
        <v>26.844558229166672</v>
      </c>
      <c r="Q327" s="917">
        <f>Q507</f>
        <v>29.977500927083341</v>
      </c>
    </row>
    <row r="328" spans="2:17" s="4" customFormat="1">
      <c r="B328" s="151" t="s">
        <v>50</v>
      </c>
      <c r="C328" s="3"/>
      <c r="D328" s="3"/>
      <c r="E328" s="3"/>
      <c r="F328" s="3"/>
      <c r="G328" s="3"/>
      <c r="H328" s="3"/>
      <c r="I328" s="3"/>
      <c r="J328" s="918">
        <f t="shared" ref="J328:P328" si="37">SUM(J326:J327)</f>
        <v>15.682000000000002</v>
      </c>
      <c r="K328" s="918">
        <f t="shared" si="37"/>
        <v>15.245000000000001</v>
      </c>
      <c r="L328" s="918">
        <f t="shared" si="37"/>
        <v>28.814010227272728</v>
      </c>
      <c r="M328" s="918">
        <f t="shared" si="37"/>
        <v>32.920171654040402</v>
      </c>
      <c r="N328" s="918">
        <f t="shared" si="37"/>
        <v>37.130759122474757</v>
      </c>
      <c r="O328" s="918">
        <f t="shared" si="37"/>
        <v>41.45621523674243</v>
      </c>
      <c r="P328" s="918">
        <f t="shared" si="37"/>
        <v>46.290764487689401</v>
      </c>
      <c r="Q328" s="918">
        <f>SUM(Q326:Q327)</f>
        <v>51.694884629640164</v>
      </c>
    </row>
    <row r="329" spans="2:17" s="4" customFormat="1">
      <c r="B329" s="3" t="s">
        <v>51</v>
      </c>
      <c r="C329" s="3"/>
      <c r="D329" s="3"/>
      <c r="E329" s="3"/>
      <c r="F329" s="3"/>
      <c r="G329" s="3"/>
      <c r="H329" s="3"/>
      <c r="I329" s="3"/>
      <c r="J329" s="103">
        <f>'Acq Proj'!J70+'Acq Proj'!J74</f>
        <v>9.6</v>
      </c>
      <c r="K329" s="103">
        <f>'Acq Proj'!K70+'Acq Proj'!K74</f>
        <v>9.5</v>
      </c>
      <c r="L329" s="343">
        <f t="shared" ref="L329:L335" ca="1" si="38">P133</f>
        <v>100</v>
      </c>
      <c r="M329" s="343">
        <f ca="1">M397</f>
        <v>63.75910879508114</v>
      </c>
      <c r="N329" s="343">
        <f ca="1">N397</f>
        <v>40</v>
      </c>
      <c r="O329" s="343">
        <f ca="1">O397</f>
        <v>40</v>
      </c>
      <c r="P329" s="343">
        <f ca="1">P397</f>
        <v>40</v>
      </c>
      <c r="Q329" s="343">
        <f ca="1">Q397</f>
        <v>40</v>
      </c>
    </row>
    <row r="330" spans="2:17" s="17" customFormat="1">
      <c r="B330" s="10" t="s">
        <v>233</v>
      </c>
      <c r="C330" s="10"/>
      <c r="D330" s="10"/>
      <c r="E330" s="10"/>
      <c r="F330" s="10"/>
      <c r="G330" s="10"/>
      <c r="H330" s="10"/>
      <c r="I330" s="10"/>
      <c r="J330" s="608">
        <f>'Acq Proj'!J75</f>
        <v>5.43</v>
      </c>
      <c r="K330" s="608">
        <f>'Acq Proj'!K75</f>
        <v>4.4939999999999998</v>
      </c>
      <c r="L330" s="595">
        <f t="shared" si="38"/>
        <v>8.0969999999999995</v>
      </c>
      <c r="M330" s="608">
        <f>'Acq Proj'!M75+'Tar Proj'!M75</f>
        <v>8.0969999999999995</v>
      </c>
      <c r="N330" s="608">
        <f>'Acq Proj'!N75+'Tar Proj'!N75</f>
        <v>8.0969999999999995</v>
      </c>
      <c r="O330" s="608">
        <f>'Acq Proj'!O75+'Tar Proj'!O75</f>
        <v>8.0969999999999995</v>
      </c>
      <c r="P330" s="608">
        <f>'Acq Proj'!P75+'Tar Proj'!P75</f>
        <v>8.0969999999999995</v>
      </c>
      <c r="Q330" s="608">
        <f>'Acq Proj'!Q75+'Tar Proj'!Q75</f>
        <v>8.0969999999999995</v>
      </c>
    </row>
    <row r="331" spans="2:17" s="17" customFormat="1">
      <c r="B331" s="10" t="s">
        <v>475</v>
      </c>
      <c r="C331" s="10"/>
      <c r="D331" s="10"/>
      <c r="E331" s="10"/>
      <c r="F331" s="10"/>
      <c r="G331" s="10"/>
      <c r="H331" s="10"/>
      <c r="I331" s="10"/>
      <c r="J331" s="600">
        <v>0</v>
      </c>
      <c r="K331" s="600">
        <v>0</v>
      </c>
      <c r="L331" s="595">
        <f t="shared" ca="1" si="38"/>
        <v>-1.100000000000001</v>
      </c>
      <c r="M331" s="595">
        <f t="shared" ref="M331:Q332" ca="1" si="39">+L331+M350</f>
        <v>-0.94000000000000083</v>
      </c>
      <c r="N331" s="595">
        <f t="shared" ca="1" si="39"/>
        <v>-0.78000000000000069</v>
      </c>
      <c r="O331" s="595">
        <f t="shared" ca="1" si="39"/>
        <v>-0.62000000000000055</v>
      </c>
      <c r="P331" s="595">
        <f t="shared" ca="1" si="39"/>
        <v>-0.46000000000000041</v>
      </c>
      <c r="Q331" s="595">
        <f t="shared" ca="1" si="39"/>
        <v>-0.30000000000000027</v>
      </c>
    </row>
    <row r="332" spans="2:17" s="17" customFormat="1">
      <c r="B332" s="10" t="s">
        <v>518</v>
      </c>
      <c r="C332" s="10"/>
      <c r="D332" s="10"/>
      <c r="E332" s="10"/>
      <c r="F332" s="10"/>
      <c r="G332" s="10"/>
      <c r="H332" s="10"/>
      <c r="I332" s="10"/>
      <c r="J332" s="600">
        <v>0</v>
      </c>
      <c r="K332" s="600">
        <v>0</v>
      </c>
      <c r="L332" s="595">
        <f t="shared" ca="1" si="38"/>
        <v>5.0355407331715716</v>
      </c>
      <c r="M332" s="595">
        <f t="shared" ca="1" si="39"/>
        <v>4.5319866598544136</v>
      </c>
      <c r="N332" s="595">
        <f t="shared" ca="1" si="39"/>
        <v>4.0284325865372557</v>
      </c>
      <c r="O332" s="595">
        <f t="shared" ca="1" si="39"/>
        <v>3.5248785132200977</v>
      </c>
      <c r="P332" s="595">
        <f t="shared" ca="1" si="39"/>
        <v>3.0213244399029398</v>
      </c>
      <c r="Q332" s="595">
        <f t="shared" ca="1" si="39"/>
        <v>2.5177703665857818</v>
      </c>
    </row>
    <row r="333" spans="2:17" s="17" customFormat="1">
      <c r="B333" s="10" t="s">
        <v>52</v>
      </c>
      <c r="C333" s="10"/>
      <c r="D333" s="10"/>
      <c r="E333" s="10"/>
      <c r="F333" s="10"/>
      <c r="G333" s="10"/>
      <c r="H333" s="10"/>
      <c r="I333" s="10"/>
      <c r="J333" s="608">
        <f>'Acq Proj'!J76</f>
        <v>1</v>
      </c>
      <c r="K333" s="608">
        <f>'Acq Proj'!K76</f>
        <v>1</v>
      </c>
      <c r="L333" s="595">
        <f t="shared" si="38"/>
        <v>1.2</v>
      </c>
      <c r="M333" s="608">
        <f>'Acq Proj'!M76+'Tar Proj'!M76</f>
        <v>1.2</v>
      </c>
      <c r="N333" s="608">
        <f>'Acq Proj'!N76+'Tar Proj'!N76</f>
        <v>1.2</v>
      </c>
      <c r="O333" s="608">
        <f>'Acq Proj'!O76+'Tar Proj'!O76</f>
        <v>1.2</v>
      </c>
      <c r="P333" s="608">
        <f>'Acq Proj'!P76+'Tar Proj'!P76</f>
        <v>1.2</v>
      </c>
      <c r="Q333" s="608">
        <f>'Acq Proj'!Q76+'Tar Proj'!Q76</f>
        <v>1.2</v>
      </c>
    </row>
    <row r="334" spans="2:17" s="17" customFormat="1">
      <c r="B334" s="10" t="s">
        <v>53</v>
      </c>
      <c r="C334" s="10"/>
      <c r="D334" s="10"/>
      <c r="E334" s="10"/>
      <c r="F334" s="10"/>
      <c r="G334" s="10"/>
      <c r="H334" s="10"/>
      <c r="I334" s="10"/>
      <c r="J334" s="608">
        <f>'Acq Proj'!J77</f>
        <v>0.5</v>
      </c>
      <c r="K334" s="608">
        <f>'Acq Proj'!K77</f>
        <v>0.5</v>
      </c>
      <c r="L334" s="595">
        <f t="shared" si="38"/>
        <v>0.5</v>
      </c>
      <c r="M334" s="608">
        <f>'Acq Proj'!M77+'Tar Proj'!M77</f>
        <v>0.5</v>
      </c>
      <c r="N334" s="608">
        <f>'Acq Proj'!N77+'Tar Proj'!N77</f>
        <v>0.5</v>
      </c>
      <c r="O334" s="608">
        <f>'Acq Proj'!O77+'Tar Proj'!O77</f>
        <v>0.5</v>
      </c>
      <c r="P334" s="608">
        <f>'Acq Proj'!P77+'Tar Proj'!P77</f>
        <v>0.5</v>
      </c>
      <c r="Q334" s="608">
        <f>'Acq Proj'!Q77+'Tar Proj'!Q77</f>
        <v>0.5</v>
      </c>
    </row>
    <row r="335" spans="2:17" s="4" customFormat="1">
      <c r="B335" s="3" t="s">
        <v>150</v>
      </c>
      <c r="C335" s="3"/>
      <c r="D335" s="3"/>
      <c r="E335" s="3"/>
      <c r="F335" s="3"/>
      <c r="G335" s="3"/>
      <c r="H335" s="3"/>
      <c r="I335" s="3"/>
      <c r="J335" s="916">
        <f>'Acq Proj'!J78</f>
        <v>69.156205555555658</v>
      </c>
      <c r="K335" s="916">
        <f>'Acq Proj'!K78</f>
        <v>77.686080555555634</v>
      </c>
      <c r="L335" s="917">
        <f t="shared" ca="1" si="38"/>
        <v>119.25120334663585</v>
      </c>
      <c r="M335" s="941">
        <f ca="1">L335+M277+M364+M365+M366+M352+M353</f>
        <v>152.0083339739198</v>
      </c>
      <c r="N335" s="941">
        <f ca="1">M335+N277+N364+N365+N366+N352+N353</f>
        <v>194.88875812677188</v>
      </c>
      <c r="O335" s="941">
        <f ca="1">N335+O277+O364+O365+O366+O352+O353</f>
        <v>244.05117177877977</v>
      </c>
      <c r="P335" s="941">
        <f ca="1">O335+P277+P364+P365+P366+P352+P353</f>
        <v>299.66941899769841</v>
      </c>
      <c r="Q335" s="941">
        <f ca="1">P335+Q277+Q364+Q365+Q366+Q352+Q353</f>
        <v>361.88105013214386</v>
      </c>
    </row>
    <row r="336" spans="2:17" s="4" customFormat="1">
      <c r="B336" s="151" t="s">
        <v>54</v>
      </c>
      <c r="C336" s="3"/>
      <c r="D336" s="3"/>
      <c r="E336" s="3"/>
      <c r="F336" s="3"/>
      <c r="G336" s="3"/>
      <c r="H336" s="3"/>
      <c r="I336" s="3"/>
      <c r="J336" s="757">
        <f t="shared" ref="J336:P336" si="40">SUM(J328:J335)</f>
        <v>101.36820555555566</v>
      </c>
      <c r="K336" s="757">
        <f t="shared" si="40"/>
        <v>108.42508055555564</v>
      </c>
      <c r="L336" s="757">
        <f t="shared" ca="1" si="40"/>
        <v>261.79775430708014</v>
      </c>
      <c r="M336" s="757">
        <f t="shared" ca="1" si="40"/>
        <v>262.07660108289576</v>
      </c>
      <c r="N336" s="757">
        <f t="shared" ca="1" si="40"/>
        <v>285.06494983578386</v>
      </c>
      <c r="O336" s="757">
        <f t="shared" ca="1" si="40"/>
        <v>338.20926552874232</v>
      </c>
      <c r="P336" s="757">
        <f t="shared" ca="1" si="40"/>
        <v>398.31850792529076</v>
      </c>
      <c r="Q336" s="757">
        <f ca="1">SUM(Q328:Q335)</f>
        <v>465.59070512836979</v>
      </c>
    </row>
    <row r="337" spans="2:18" s="4" customFormat="1">
      <c r="B337" s="3"/>
      <c r="C337" s="3"/>
      <c r="D337" s="3"/>
      <c r="E337" s="3"/>
      <c r="F337" s="3"/>
      <c r="G337" s="3"/>
      <c r="H337" s="3"/>
      <c r="I337" s="3"/>
      <c r="J337" s="253"/>
      <c r="K337" s="253"/>
      <c r="L337" s="253"/>
      <c r="M337" s="253"/>
      <c r="N337" s="253"/>
      <c r="O337" s="253"/>
      <c r="P337" s="253"/>
      <c r="Q337" s="253"/>
    </row>
    <row r="338" spans="2:18" s="4" customFormat="1">
      <c r="B338" s="3" t="s">
        <v>34</v>
      </c>
      <c r="C338" s="3"/>
      <c r="D338" s="3"/>
      <c r="E338" s="3"/>
      <c r="F338" s="3"/>
      <c r="G338" s="3"/>
      <c r="H338" s="3"/>
      <c r="I338" s="3"/>
      <c r="J338" s="343">
        <f t="shared" ref="J338:P338" si="41">J323-J336</f>
        <v>0</v>
      </c>
      <c r="K338" s="343">
        <f t="shared" si="41"/>
        <v>0</v>
      </c>
      <c r="L338" s="343">
        <f t="shared" ca="1" si="41"/>
        <v>13.205000000000041</v>
      </c>
      <c r="M338" s="343">
        <f t="shared" ca="1" si="41"/>
        <v>13.204999999999927</v>
      </c>
      <c r="N338" s="343">
        <f t="shared" ca="1" si="41"/>
        <v>13.204999999999984</v>
      </c>
      <c r="O338" s="343">
        <f t="shared" ca="1" si="41"/>
        <v>13.204999999999927</v>
      </c>
      <c r="P338" s="343">
        <f t="shared" ca="1" si="41"/>
        <v>13.20499999999987</v>
      </c>
      <c r="Q338" s="343">
        <f ca="1">Q323-Q336</f>
        <v>13.204999999999984</v>
      </c>
    </row>
    <row r="339" spans="2:18" s="4" customFormat="1">
      <c r="B339" s="3"/>
      <c r="C339" s="3"/>
      <c r="D339" s="3"/>
      <c r="E339" s="3"/>
      <c r="F339" s="3"/>
      <c r="G339" s="3"/>
      <c r="H339" s="3"/>
      <c r="I339" s="3"/>
      <c r="J339" s="253"/>
      <c r="K339" s="253"/>
      <c r="L339" s="253"/>
      <c r="M339" s="253"/>
      <c r="N339" s="253"/>
      <c r="O339" s="253"/>
      <c r="P339" s="253"/>
      <c r="Q339" s="253"/>
    </row>
    <row r="340" spans="2:18" s="4" customFormat="1" ht="12.75" customHeight="1">
      <c r="B340" s="3" t="s">
        <v>55</v>
      </c>
      <c r="C340" s="3"/>
      <c r="D340" s="3"/>
      <c r="E340" s="3"/>
      <c r="F340" s="3"/>
      <c r="G340" s="3"/>
      <c r="H340" s="3"/>
      <c r="I340" s="3"/>
      <c r="J340" s="875">
        <f t="shared" ref="J340:P340" si="42">SUM(J314:J316)-SUM(J326:J327)</f>
        <v>15.734666666666698</v>
      </c>
      <c r="K340" s="875">
        <f t="shared" si="42"/>
        <v>15.4396666666667</v>
      </c>
      <c r="L340" s="875">
        <f t="shared" si="42"/>
        <v>24.108039898989933</v>
      </c>
      <c r="M340" s="875">
        <f t="shared" si="42"/>
        <v>27.758518771043825</v>
      </c>
      <c r="N340" s="875">
        <f t="shared" si="42"/>
        <v>31.464126809764366</v>
      </c>
      <c r="O340" s="875">
        <f t="shared" si="42"/>
        <v>35.230376931818249</v>
      </c>
      <c r="P340" s="875">
        <f t="shared" si="42"/>
        <v>39.450731746212185</v>
      </c>
      <c r="Q340" s="875">
        <f>SUM(Q314:Q316)-SUM(Q326:Q327)</f>
        <v>44.180286682197057</v>
      </c>
    </row>
    <row r="341" spans="2:18" s="4" customFormat="1" ht="12.75" customHeight="1">
      <c r="B341" s="3" t="s">
        <v>61</v>
      </c>
      <c r="C341" s="3"/>
      <c r="D341" s="3"/>
      <c r="E341" s="3"/>
      <c r="F341" s="3"/>
      <c r="G341" s="3"/>
      <c r="H341" s="3"/>
      <c r="I341" s="3"/>
      <c r="J341" s="200">
        <f t="shared" ref="J341:O341" si="43">IF(J329+SUM(J333:J335)&gt;0,J329/(J329+SUM(J333:J335)),"NM")</f>
        <v>0.11961691851173556</v>
      </c>
      <c r="K341" s="200">
        <f t="shared" si="43"/>
        <v>0.10711940296029786</v>
      </c>
      <c r="L341" s="200">
        <f t="shared" ca="1" si="43"/>
        <v>0.45258861904959424</v>
      </c>
      <c r="M341" s="200">
        <f t="shared" ca="1" si="43"/>
        <v>0.29318921482333138</v>
      </c>
      <c r="N341" s="200">
        <f t="shared" ca="1" si="43"/>
        <v>0.1690697407463744</v>
      </c>
      <c r="O341" s="200">
        <f t="shared" ca="1" si="43"/>
        <v>0.13998192816149443</v>
      </c>
      <c r="P341" s="200">
        <f ca="1">IF(P329+SUM(P333:P335)&gt;0,P329/(P329+SUM(P333:P335)),"NM")</f>
        <v>0.11717511227995994</v>
      </c>
      <c r="Q341" s="200">
        <f ca="1">IF(Q329+SUM(Q333:Q335)&gt;0,Q329/(Q329+SUM(Q333:Q335)),"NM")</f>
        <v>9.911268129884411E-2</v>
      </c>
    </row>
    <row r="342" spans="2:18" s="4" customFormat="1" ht="12.75" customHeight="1">
      <c r="B342" s="3" t="s">
        <v>62</v>
      </c>
      <c r="C342" s="3"/>
      <c r="D342" s="3"/>
      <c r="E342" s="3"/>
      <c r="F342" s="3"/>
      <c r="G342" s="3"/>
      <c r="H342" s="3"/>
      <c r="I342" s="3"/>
      <c r="J342" s="200">
        <f t="shared" ref="J342:O342" si="44">IF(J329+SUM(J333:J335)-J313&gt;0,(J329-J313)/(J329+SUM(J333:J335)-J313),"NM")</f>
        <v>-1.7842981303909979</v>
      </c>
      <c r="K342" s="200">
        <f t="shared" si="44"/>
        <v>-2.9965384442836864</v>
      </c>
      <c r="L342" s="200">
        <f t="shared" ca="1" si="44"/>
        <v>0.376636990516794</v>
      </c>
      <c r="M342" s="200">
        <f t="shared" ca="1" si="44"/>
        <v>0.22160163813065076</v>
      </c>
      <c r="N342" s="200">
        <f t="shared" ca="1" si="44"/>
        <v>2.3382749943478529E-2</v>
      </c>
      <c r="O342" s="200">
        <f t="shared" ca="1" si="44"/>
        <v>-0.19572328949166282</v>
      </c>
      <c r="P342" s="200">
        <f ca="1">IF(P329+SUM(P333:P335)-P313&gt;0,(P329-P313)/(P329+SUM(P333:P335)-P313),"NM")</f>
        <v>-0.43106729423533019</v>
      </c>
      <c r="Q342" s="200">
        <f ca="1">IF(Q329+SUM(Q333:Q335)-Q313&gt;0,(Q329-Q313)/(Q329+SUM(Q333:Q335)-Q313),"NM")</f>
        <v>-0.67863265708155773</v>
      </c>
    </row>
    <row r="343" spans="2:18" s="4" customFormat="1" ht="12.75" customHeight="1">
      <c r="B343" s="3"/>
      <c r="C343" s="3"/>
      <c r="D343" s="3"/>
      <c r="E343" s="3"/>
      <c r="F343" s="3"/>
      <c r="G343" s="3"/>
      <c r="H343" s="3"/>
      <c r="I343" s="3"/>
      <c r="J343" s="200"/>
      <c r="K343" s="200"/>
      <c r="L343" s="200"/>
      <c r="M343" s="200"/>
      <c r="N343" s="200"/>
      <c r="O343" s="200"/>
      <c r="P343" s="200"/>
      <c r="Q343" s="200"/>
    </row>
    <row r="344" spans="2:18" s="4" customFormat="1" ht="15.95" customHeight="1" collapsed="1" thickBot="1">
      <c r="B344" s="459" t="str">
        <f>acq&amp;" Pro Forma Cash Flow Statement"</f>
        <v>COLEMAN CO. Pro Forma Cash Flow Statement</v>
      </c>
      <c r="C344" s="459"/>
      <c r="D344" s="459"/>
      <c r="E344" s="666"/>
      <c r="F344" s="666"/>
      <c r="G344" s="666"/>
      <c r="H344" s="666"/>
      <c r="I344" s="666"/>
      <c r="J344" s="666"/>
      <c r="K344" s="666"/>
      <c r="L344" s="666"/>
      <c r="M344" s="666"/>
      <c r="N344" s="666"/>
      <c r="O344" s="667"/>
      <c r="P344" s="667"/>
      <c r="Q344" s="667"/>
      <c r="R344" s="631"/>
    </row>
    <row r="345" spans="2:18" s="4" customFormat="1">
      <c r="B345" s="895" t="str">
        <f>$B$160</f>
        <v>Fiscal Year Ended December 31,</v>
      </c>
      <c r="C345" s="896"/>
      <c r="D345" s="896"/>
      <c r="E345" s="897"/>
      <c r="F345" s="897"/>
      <c r="G345" s="897"/>
      <c r="H345" s="897"/>
      <c r="I345" s="897"/>
      <c r="J345" s="896"/>
      <c r="K345" s="913"/>
      <c r="L345" s="913"/>
      <c r="M345" s="915">
        <f>M$12</f>
        <v>2020</v>
      </c>
      <c r="N345" s="915">
        <f>+M345+1</f>
        <v>2021</v>
      </c>
      <c r="O345" s="915">
        <f>+N345+1</f>
        <v>2022</v>
      </c>
      <c r="P345" s="915">
        <f>+O345+1</f>
        <v>2023</v>
      </c>
      <c r="Q345" s="915">
        <f>+P345+1</f>
        <v>2024</v>
      </c>
    </row>
    <row r="346" spans="2:18" s="4" customFormat="1" ht="12.75" customHeight="1">
      <c r="B346" s="3" t="s">
        <v>65</v>
      </c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53">
        <f ca="1">M277</f>
        <v>33.363874423580228</v>
      </c>
      <c r="N346" s="353">
        <f ca="1">N277</f>
        <v>43.487167949148343</v>
      </c>
      <c r="O346" s="353">
        <f ca="1">O277</f>
        <v>49.769157448304171</v>
      </c>
      <c r="P346" s="353">
        <f ca="1">P277</f>
        <v>56.22499101521494</v>
      </c>
      <c r="Q346" s="353">
        <f ca="1">Q277</f>
        <v>62.818374930741768</v>
      </c>
    </row>
    <row r="347" spans="2:18" s="4" customFormat="1" ht="12.75" customHeight="1">
      <c r="B347" s="160" t="s">
        <v>568</v>
      </c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608">
        <f>'Acq Proj'!M89+'Tar Proj'!M89</f>
        <v>15</v>
      </c>
      <c r="N347" s="608">
        <f>'Acq Proj'!N89+'Tar Proj'!N89</f>
        <v>16.928571428571431</v>
      </c>
      <c r="O347" s="608">
        <f>'Acq Proj'!O89+'Tar Proj'!O89</f>
        <v>18.907142857142858</v>
      </c>
      <c r="P347" s="608">
        <f>'Acq Proj'!P89+'Tar Proj'!P89</f>
        <v>21.119285714285716</v>
      </c>
      <c r="Q347" s="608">
        <f>'Acq Proj'!Q89+'Tar Proj'!Q89</f>
        <v>23.592821428571433</v>
      </c>
    </row>
    <row r="348" spans="2:18" s="4" customFormat="1" ht="12.75" customHeight="1">
      <c r="B348" s="160" t="s">
        <v>569</v>
      </c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595">
        <f ca="1">M243-M347</f>
        <v>2.0142162932686283</v>
      </c>
      <c r="N348" s="595">
        <f ca="1">N243-N347</f>
        <v>2.0142162932686283</v>
      </c>
      <c r="O348" s="595">
        <f ca="1">O243-O347</f>
        <v>2.0142162932686283</v>
      </c>
      <c r="P348" s="595">
        <f ca="1">P243-P347</f>
        <v>2.0142162932686283</v>
      </c>
      <c r="Q348" s="595">
        <f ca="1">Q243-Q347</f>
        <v>2.0142162932686283</v>
      </c>
    </row>
    <row r="349" spans="2:18" s="4" customFormat="1" ht="12.75" customHeight="1">
      <c r="B349" s="160" t="s">
        <v>375</v>
      </c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595">
        <f ca="1">+$Q$101</f>
        <v>1.0425</v>
      </c>
      <c r="N349" s="595">
        <f ca="1">+$Q$101</f>
        <v>1.0425</v>
      </c>
      <c r="O349" s="595">
        <f ca="1">+$Q$101</f>
        <v>1.0425</v>
      </c>
      <c r="P349" s="595">
        <f ca="1">+$Q$101</f>
        <v>1.0425</v>
      </c>
      <c r="Q349" s="595">
        <f ca="1">+$Q$101</f>
        <v>1.0425</v>
      </c>
    </row>
    <row r="350" spans="2:18" s="4" customFormat="1" ht="12.75" customHeight="1">
      <c r="B350" s="160" t="s">
        <v>570</v>
      </c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595">
        <f ca="1">+$Q$109</f>
        <v>0.16000000000000014</v>
      </c>
      <c r="N350" s="595">
        <f ca="1">+$Q$109</f>
        <v>0.16000000000000014</v>
      </c>
      <c r="O350" s="595">
        <f ca="1">+$Q$109</f>
        <v>0.16000000000000014</v>
      </c>
      <c r="P350" s="595">
        <f ca="1">+$Q$109</f>
        <v>0.16000000000000014</v>
      </c>
      <c r="Q350" s="595">
        <f ca="1">+$Q$109</f>
        <v>0.16000000000000014</v>
      </c>
    </row>
    <row r="351" spans="2:18" s="4" customFormat="1" ht="12.75" customHeight="1">
      <c r="B351" s="160" t="s">
        <v>526</v>
      </c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595">
        <f ca="1">+M465</f>
        <v>-0.50355407331715796</v>
      </c>
      <c r="N351" s="595">
        <f ca="1">+N465</f>
        <v>-0.50355407331715796</v>
      </c>
      <c r="O351" s="595">
        <f ca="1">+O465</f>
        <v>-0.50355407331715796</v>
      </c>
      <c r="P351" s="595">
        <f ca="1">+P465</f>
        <v>-0.50355407331715796</v>
      </c>
      <c r="Q351" s="595">
        <f ca="1">+Q465</f>
        <v>-0.50355407331715796</v>
      </c>
    </row>
    <row r="352" spans="2:18" s="4" customFormat="1" ht="12.75" customHeight="1">
      <c r="B352" s="160" t="s">
        <v>49</v>
      </c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608">
        <f>'Acq Proj'!M91+'Tar Proj'!M91</f>
        <v>0</v>
      </c>
      <c r="N352" s="608">
        <f>'Acq Proj'!N91+'Tar Proj'!N91</f>
        <v>0</v>
      </c>
      <c r="O352" s="608">
        <f>'Acq Proj'!O91+'Tar Proj'!O91</f>
        <v>0</v>
      </c>
      <c r="P352" s="608">
        <f>'Acq Proj'!P91+'Tar Proj'!P91</f>
        <v>0</v>
      </c>
      <c r="Q352" s="608">
        <f>'Acq Proj'!Q91+'Tar Proj'!Q91</f>
        <v>0</v>
      </c>
    </row>
    <row r="353" spans="2:17" s="4" customFormat="1" ht="12.75" customHeight="1">
      <c r="B353" s="160" t="s">
        <v>307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608">
        <f>'Acq Proj'!M92+'Tar Proj'!M92</f>
        <v>0</v>
      </c>
      <c r="N353" s="608">
        <f>'Acq Proj'!N92+'Tar Proj'!N92</f>
        <v>0</v>
      </c>
      <c r="O353" s="608">
        <f>'Acq Proj'!O92+'Tar Proj'!O92</f>
        <v>0</v>
      </c>
      <c r="P353" s="608">
        <f>'Acq Proj'!P92+'Tar Proj'!P92</f>
        <v>0</v>
      </c>
      <c r="Q353" s="608">
        <f>'Acq Proj'!Q92+'Tar Proj'!Q92</f>
        <v>0</v>
      </c>
    </row>
    <row r="354" spans="2:17" s="4" customFormat="1" ht="12.75" customHeight="1">
      <c r="B354" s="160" t="s">
        <v>234</v>
      </c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595">
        <f>L322-M322</f>
        <v>0</v>
      </c>
      <c r="N354" s="595">
        <f>M322-N322</f>
        <v>0</v>
      </c>
      <c r="O354" s="595">
        <f>N322-O322</f>
        <v>0</v>
      </c>
      <c r="P354" s="595">
        <f>O322-P322</f>
        <v>0</v>
      </c>
      <c r="Q354" s="595">
        <f>P322-Q322</f>
        <v>0</v>
      </c>
    </row>
    <row r="355" spans="2:17" s="4" customFormat="1" ht="12.75" customHeight="1">
      <c r="B355" s="160" t="s">
        <v>235</v>
      </c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2">
        <f>M330-L330</f>
        <v>0</v>
      </c>
      <c r="N355" s="32">
        <f>N330-M330</f>
        <v>0</v>
      </c>
      <c r="O355" s="32">
        <f>O330-N330</f>
        <v>0</v>
      </c>
      <c r="P355" s="32">
        <f>P330-O330</f>
        <v>0</v>
      </c>
      <c r="Q355" s="32">
        <f>Q330-P330</f>
        <v>0</v>
      </c>
    </row>
    <row r="356" spans="2:17" s="4" customFormat="1" ht="12.75" customHeight="1">
      <c r="B356" s="160" t="s">
        <v>80</v>
      </c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2">
        <f>L340-M340</f>
        <v>-3.6504788720538919</v>
      </c>
      <c r="N356" s="32">
        <f>M340-N340</f>
        <v>-3.7056080387205412</v>
      </c>
      <c r="O356" s="32">
        <f>N340-O340</f>
        <v>-3.7662501220538829</v>
      </c>
      <c r="P356" s="32">
        <f>O340-P340</f>
        <v>-4.2203548143939358</v>
      </c>
      <c r="Q356" s="32">
        <f>P340-Q340</f>
        <v>-4.7295549359848721</v>
      </c>
    </row>
    <row r="357" spans="2:17" s="4" customFormat="1" ht="12.75" customHeight="1">
      <c r="B357" s="942" t="s">
        <v>156</v>
      </c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943">
        <f ca="1">SUM(M346:M356)</f>
        <v>47.426557771477803</v>
      </c>
      <c r="N357" s="943">
        <f ca="1">SUM(N346:N356)</f>
        <v>59.423293558950704</v>
      </c>
      <c r="O357" s="943">
        <f ca="1">SUM(O346:O356)</f>
        <v>67.62321240334461</v>
      </c>
      <c r="P357" s="943">
        <f ca="1">SUM(P346:P356)</f>
        <v>75.837084135058177</v>
      </c>
      <c r="Q357" s="943">
        <f ca="1">SUM(Q346:Q356)</f>
        <v>84.394803643279801</v>
      </c>
    </row>
    <row r="358" spans="2:17" s="4" customFormat="1" ht="12.75" customHeight="1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617"/>
      <c r="N358" s="617"/>
      <c r="O358" s="617"/>
      <c r="P358" s="617"/>
      <c r="Q358" s="617"/>
    </row>
    <row r="359" spans="2:17" s="4" customFormat="1" ht="12.75" customHeight="1">
      <c r="B359" s="3" t="s">
        <v>122</v>
      </c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595">
        <f>-M255</f>
        <v>-17.5</v>
      </c>
      <c r="N359" s="595">
        <f>-N255</f>
        <v>-19.764285714285716</v>
      </c>
      <c r="O359" s="595">
        <f>-O255</f>
        <v>-22.083571428571432</v>
      </c>
      <c r="P359" s="595">
        <f>-P255</f>
        <v>-24.677642857142864</v>
      </c>
      <c r="Q359" s="595">
        <f>-Q255</f>
        <v>-27.579335714285719</v>
      </c>
    </row>
    <row r="360" spans="2:17" s="4" customFormat="1" ht="12.75" customHeight="1">
      <c r="B360" s="3" t="s">
        <v>567</v>
      </c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876">
        <f>'Acq Proj'!M99+'Tar Proj'!M99</f>
        <v>0</v>
      </c>
      <c r="N360" s="876">
        <f>'Acq Proj'!N99+'Tar Proj'!N99</f>
        <v>0</v>
      </c>
      <c r="O360" s="876">
        <f>'Acq Proj'!O99+'Tar Proj'!O99</f>
        <v>0</v>
      </c>
      <c r="P360" s="876">
        <f>'Acq Proj'!P99+'Tar Proj'!P99</f>
        <v>0</v>
      </c>
      <c r="Q360" s="876">
        <f>'Acq Proj'!Q99+'Tar Proj'!Q99</f>
        <v>0</v>
      </c>
    </row>
    <row r="361" spans="2:17" s="4" customFormat="1" ht="12.75" customHeight="1">
      <c r="B361" s="942" t="s">
        <v>157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943">
        <f>SUM(M359:M360)</f>
        <v>-17.5</v>
      </c>
      <c r="N361" s="943">
        <f>SUM(N359:N360)</f>
        <v>-19.764285714285716</v>
      </c>
      <c r="O361" s="943">
        <f>SUM(O359:O360)</f>
        <v>-22.083571428571432</v>
      </c>
      <c r="P361" s="943">
        <f>SUM(P359:P360)</f>
        <v>-24.677642857142864</v>
      </c>
      <c r="Q361" s="943">
        <f>SUM(Q359:Q360)</f>
        <v>-27.579335714285719</v>
      </c>
    </row>
    <row r="362" spans="2:17" s="4" customFormat="1" ht="12.75" customHeight="1">
      <c r="B362" s="942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617"/>
      <c r="N362" s="617"/>
      <c r="O362" s="617"/>
      <c r="P362" s="617"/>
      <c r="Q362" s="617"/>
    </row>
    <row r="363" spans="2:17" s="4" customFormat="1" ht="12.75" customHeight="1">
      <c r="B363" s="3" t="s">
        <v>175</v>
      </c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595">
        <f ca="1">-M414</f>
        <v>-0.6</v>
      </c>
      <c r="N363" s="595">
        <f ca="1">-N414</f>
        <v>-0.6</v>
      </c>
      <c r="O363" s="595">
        <f ca="1">-O414</f>
        <v>0</v>
      </c>
      <c r="P363" s="595">
        <f ca="1">-P414</f>
        <v>0</v>
      </c>
      <c r="Q363" s="595">
        <f ca="1">-Q414</f>
        <v>0</v>
      </c>
    </row>
    <row r="364" spans="2:17" s="4" customFormat="1" ht="12.75" customHeight="1">
      <c r="B364" s="3" t="s">
        <v>510</v>
      </c>
      <c r="C364" s="3"/>
      <c r="D364" s="3"/>
      <c r="F364" s="944">
        <f>'Acq Proj'!F103</f>
        <v>0.05</v>
      </c>
      <c r="G364" s="3" t="s">
        <v>174</v>
      </c>
      <c r="H364" s="3"/>
      <c r="I364" s="3"/>
      <c r="J364" s="3"/>
      <c r="K364" s="3"/>
      <c r="L364" s="3"/>
      <c r="M364" s="595">
        <f ca="1">-$F364*M488</f>
        <v>-0.60674379629629627</v>
      </c>
      <c r="N364" s="595">
        <f ca="1">-$F364*N488</f>
        <v>-0.60674379629629627</v>
      </c>
      <c r="O364" s="595">
        <f ca="1">-$F364*O488</f>
        <v>-0.60674379629629627</v>
      </c>
      <c r="P364" s="595">
        <f ca="1">-$F364*P488</f>
        <v>-0.60674379629629627</v>
      </c>
      <c r="Q364" s="595">
        <f ca="1">-$F364*Q488</f>
        <v>-0.60674379629629627</v>
      </c>
    </row>
    <row r="365" spans="2:17" s="4" customFormat="1" ht="12.75" customHeight="1">
      <c r="B365" s="3" t="s">
        <v>81</v>
      </c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595">
        <f>-M476</f>
        <v>0</v>
      </c>
      <c r="N365" s="595">
        <f>-N476</f>
        <v>0</v>
      </c>
      <c r="O365" s="595">
        <f>-O476</f>
        <v>0</v>
      </c>
      <c r="P365" s="595">
        <f>-P476</f>
        <v>0</v>
      </c>
      <c r="Q365" s="595">
        <f>-Q476</f>
        <v>0</v>
      </c>
    </row>
    <row r="366" spans="2:17" s="4" customFormat="1" ht="12.75" customHeight="1">
      <c r="B366" s="3" t="s">
        <v>49</v>
      </c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925">
        <f>'Acq Proj'!M105+'Tar Proj'!M105</f>
        <v>0</v>
      </c>
      <c r="N366" s="925">
        <f>'Acq Proj'!N105+'Tar Proj'!N105</f>
        <v>0</v>
      </c>
      <c r="O366" s="925">
        <f>'Acq Proj'!O105+'Tar Proj'!O105</f>
        <v>0</v>
      </c>
      <c r="P366" s="925">
        <f>'Acq Proj'!P105+'Tar Proj'!P105</f>
        <v>0</v>
      </c>
      <c r="Q366" s="925">
        <f>'Acq Proj'!Q105+'Tar Proj'!Q105</f>
        <v>0</v>
      </c>
    </row>
    <row r="367" spans="2:17" s="4" customFormat="1" ht="12.75" customHeight="1">
      <c r="B367" s="3" t="s">
        <v>82</v>
      </c>
      <c r="C367" s="3"/>
      <c r="D367" s="3"/>
      <c r="E367" s="3"/>
      <c r="F367" s="298">
        <f>Q81</f>
        <v>20</v>
      </c>
      <c r="G367" s="253" t="s">
        <v>173</v>
      </c>
      <c r="H367" s="253"/>
      <c r="K367" s="3"/>
      <c r="L367" s="3"/>
      <c r="M367" s="822">
        <f ca="1">M386</f>
        <v>0</v>
      </c>
      <c r="N367" s="822">
        <f ca="1">N386</f>
        <v>0</v>
      </c>
      <c r="O367" s="822">
        <f ca="1">O386</f>
        <v>0</v>
      </c>
      <c r="P367" s="822">
        <f ca="1">P386</f>
        <v>0</v>
      </c>
      <c r="Q367" s="822">
        <f ca="1">Q386</f>
        <v>0</v>
      </c>
    </row>
    <row r="368" spans="2:17" s="4" customFormat="1" ht="12.75" customHeight="1">
      <c r="B368" s="3" t="s">
        <v>358</v>
      </c>
      <c r="C368" s="3"/>
      <c r="D368" s="3"/>
      <c r="E368" s="3"/>
      <c r="F368" s="577"/>
      <c r="G368" s="253"/>
      <c r="H368" s="253"/>
      <c r="K368" s="3"/>
      <c r="L368" s="3"/>
      <c r="M368" s="822">
        <f ca="1">-M420</f>
        <v>-35.640891204918859</v>
      </c>
      <c r="N368" s="822">
        <f ca="1">-N420</f>
        <v>-23.159108795081139</v>
      </c>
      <c r="O368" s="822">
        <f ca="1">-O420</f>
        <v>0</v>
      </c>
      <c r="P368" s="822">
        <f ca="1">-P420</f>
        <v>0</v>
      </c>
      <c r="Q368" s="822">
        <f ca="1">-Q420</f>
        <v>0</v>
      </c>
    </row>
    <row r="369" spans="2:18" s="4" customFormat="1" ht="12.75" customHeight="1">
      <c r="B369" s="942" t="s">
        <v>316</v>
      </c>
      <c r="C369" s="3"/>
      <c r="D369" s="3"/>
      <c r="E369" s="3"/>
      <c r="F369" s="577"/>
      <c r="G369" s="253"/>
      <c r="H369" s="253"/>
      <c r="K369" s="3"/>
      <c r="L369" s="3"/>
      <c r="M369" s="945">
        <f ca="1">SUM(M363:M368)</f>
        <v>-36.847635001215153</v>
      </c>
      <c r="N369" s="945">
        <f ca="1">SUM(N363:N368)</f>
        <v>-24.365852591377436</v>
      </c>
      <c r="O369" s="945">
        <f ca="1">SUM(O363:O368)</f>
        <v>-0.60674379629629627</v>
      </c>
      <c r="P369" s="945">
        <f ca="1">SUM(P363:P368)</f>
        <v>-0.60674379629629627</v>
      </c>
      <c r="Q369" s="945">
        <f ca="1">SUM(Q363:Q368)</f>
        <v>-0.60674379629629627</v>
      </c>
    </row>
    <row r="370" spans="2:18" s="4" customFormat="1" ht="12.75" customHeight="1">
      <c r="B370" s="942"/>
      <c r="C370" s="3"/>
      <c r="D370" s="3"/>
      <c r="E370" s="3"/>
      <c r="F370" s="577"/>
      <c r="G370" s="253"/>
      <c r="H370" s="253"/>
      <c r="K370" s="3"/>
      <c r="L370" s="3"/>
      <c r="M370" s="946"/>
      <c r="N370" s="946"/>
      <c r="O370" s="946"/>
      <c r="P370" s="946"/>
      <c r="Q370" s="946"/>
    </row>
    <row r="371" spans="2:18" s="4" customFormat="1" ht="12.75" customHeight="1">
      <c r="B371" s="3" t="s">
        <v>431</v>
      </c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43">
        <f ca="1">M369+M361+M357</f>
        <v>-6.9210772297373495</v>
      </c>
      <c r="N371" s="343">
        <f ca="1">N369+N361+N357</f>
        <v>15.293155253287551</v>
      </c>
      <c r="O371" s="343">
        <f ca="1">O369+O361+O357</f>
        <v>44.932897178476878</v>
      </c>
      <c r="P371" s="343">
        <f ca="1">P369+P361+P357</f>
        <v>50.55269748161902</v>
      </c>
      <c r="Q371" s="343">
        <f ca="1">Q369+Q361+Q357</f>
        <v>56.208724132697782</v>
      </c>
    </row>
    <row r="372" spans="2:18" s="4" customFormat="1" ht="12.75" customHeight="1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602"/>
      <c r="N372" s="602"/>
      <c r="O372" s="602"/>
      <c r="P372" s="602"/>
      <c r="Q372" s="602"/>
    </row>
    <row r="373" spans="2:18" s="4" customFormat="1" ht="12.75" customHeight="1">
      <c r="B373" s="3" t="s">
        <v>158</v>
      </c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947">
        <f ca="1">L313</f>
        <v>26.921077229737357</v>
      </c>
      <c r="N373" s="947">
        <f ca="1">M313</f>
        <v>20.000000000000007</v>
      </c>
      <c r="O373" s="947">
        <f ca="1">N313</f>
        <v>35.293155253287559</v>
      </c>
      <c r="P373" s="947">
        <f ca="1">O313</f>
        <v>80.22605243176443</v>
      </c>
      <c r="Q373" s="947">
        <f ca="1">P313</f>
        <v>130.77874991338345</v>
      </c>
    </row>
    <row r="374" spans="2:18" s="4" customFormat="1" ht="12.75" customHeight="1">
      <c r="B374" s="3" t="s">
        <v>83</v>
      </c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918">
        <f ca="1">M373+M371</f>
        <v>20.000000000000007</v>
      </c>
      <c r="N374" s="918">
        <f ca="1">N373+N371</f>
        <v>35.293155253287559</v>
      </c>
      <c r="O374" s="918">
        <f ca="1">O373+O371</f>
        <v>80.22605243176443</v>
      </c>
      <c r="P374" s="918">
        <f ca="1">P373+P371</f>
        <v>130.77874991338345</v>
      </c>
      <c r="Q374" s="918">
        <f ca="1">Q373+Q371</f>
        <v>186.98747404608122</v>
      </c>
    </row>
    <row r="375" spans="2:18" s="4" customFormat="1" ht="12.75" customHeight="1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948"/>
      <c r="N375" s="948"/>
      <c r="O375" s="948"/>
      <c r="P375" s="948"/>
      <c r="Q375" s="948"/>
    </row>
    <row r="376" spans="2:18" s="4" customFormat="1" ht="12.75" customHeight="1">
      <c r="B376" s="3" t="s">
        <v>84</v>
      </c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53">
        <f ca="1">M382</f>
        <v>0</v>
      </c>
      <c r="N376" s="353">
        <f ca="1">N382</f>
        <v>0</v>
      </c>
      <c r="O376" s="353">
        <f ca="1">O382</f>
        <v>0</v>
      </c>
      <c r="P376" s="353">
        <f ca="1">P382</f>
        <v>0</v>
      </c>
      <c r="Q376" s="353">
        <f ca="1">Q382</f>
        <v>0</v>
      </c>
    </row>
    <row r="377" spans="2:18" s="4" customFormat="1" ht="12.75" customHeight="1">
      <c r="B377" s="3" t="s">
        <v>85</v>
      </c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43">
        <f ca="1">M387</f>
        <v>0</v>
      </c>
      <c r="N377" s="343">
        <f ca="1">N387</f>
        <v>0</v>
      </c>
      <c r="O377" s="343">
        <f ca="1">O387</f>
        <v>0</v>
      </c>
      <c r="P377" s="343">
        <f ca="1">P387</f>
        <v>0</v>
      </c>
      <c r="Q377" s="343">
        <f ca="1">Q387</f>
        <v>0</v>
      </c>
    </row>
    <row r="378" spans="2:18" s="4" customFormat="1" ht="12.75" customHeight="1">
      <c r="O378" s="236"/>
      <c r="P378" s="236"/>
      <c r="Q378" s="236"/>
    </row>
    <row r="379" spans="2:18" s="4" customFormat="1" ht="15.95" customHeight="1" collapsed="1" thickBot="1">
      <c r="B379" s="459" t="s">
        <v>226</v>
      </c>
      <c r="C379" s="459"/>
      <c r="D379" s="459"/>
      <c r="E379" s="666"/>
      <c r="F379" s="666"/>
      <c r="G379" s="666"/>
      <c r="H379" s="666"/>
      <c r="I379" s="666"/>
      <c r="J379" s="666"/>
      <c r="K379" s="666"/>
      <c r="L379" s="666"/>
      <c r="M379" s="666"/>
      <c r="N379" s="666"/>
      <c r="O379" s="667"/>
      <c r="P379" s="667"/>
      <c r="Q379" s="667"/>
      <c r="R379" s="631"/>
    </row>
    <row r="380" spans="2:18" s="4" customFormat="1">
      <c r="B380" s="895" t="str">
        <f>$B$160</f>
        <v>Fiscal Year Ended December 31,</v>
      </c>
      <c r="C380" s="896"/>
      <c r="D380" s="896"/>
      <c r="E380" s="897"/>
      <c r="F380" s="897"/>
      <c r="G380" s="897"/>
      <c r="H380" s="897"/>
      <c r="I380" s="897"/>
      <c r="J380" s="896"/>
      <c r="K380" s="913"/>
      <c r="L380" s="949">
        <f>M380-1</f>
        <v>2019</v>
      </c>
      <c r="M380" s="915">
        <f>M$12</f>
        <v>2020</v>
      </c>
      <c r="N380" s="915">
        <f>+M380+1</f>
        <v>2021</v>
      </c>
      <c r="O380" s="915">
        <f>+N380+1</f>
        <v>2022</v>
      </c>
      <c r="P380" s="915">
        <f>+O380+1</f>
        <v>2023</v>
      </c>
      <c r="Q380" s="915">
        <f>+P380+1</f>
        <v>2024</v>
      </c>
    </row>
    <row r="381" spans="2:18" s="17" customFormat="1" ht="12.75" customHeight="1">
      <c r="B381" s="274" t="s">
        <v>342</v>
      </c>
      <c r="C381" s="274"/>
      <c r="D381" s="10"/>
      <c r="E381" s="10"/>
      <c r="F381" s="10"/>
      <c r="G381" s="10"/>
      <c r="H381" s="10"/>
      <c r="I381" s="27"/>
      <c r="J381" s="27"/>
      <c r="K381" s="27"/>
      <c r="L381" s="27"/>
      <c r="M381" s="27"/>
      <c r="N381" s="27"/>
      <c r="O381" s="27"/>
      <c r="P381" s="27"/>
      <c r="Q381" s="27"/>
      <c r="R381" s="27"/>
    </row>
    <row r="382" spans="2:18" s="17" customFormat="1" ht="12.75" customHeight="1">
      <c r="B382" s="10" t="s">
        <v>336</v>
      </c>
      <c r="C382" s="274"/>
      <c r="D382" s="10"/>
      <c r="E382" s="10"/>
      <c r="F382" s="10"/>
      <c r="G382" s="10"/>
      <c r="H382" s="10"/>
      <c r="I382" s="27"/>
      <c r="J382" s="27"/>
      <c r="L382" s="32"/>
      <c r="M382" s="875">
        <f ca="1">L390</f>
        <v>0</v>
      </c>
      <c r="N382" s="875">
        <f ca="1">M387</f>
        <v>0</v>
      </c>
      <c r="O382" s="875">
        <f ca="1">N387</f>
        <v>0</v>
      </c>
      <c r="P382" s="875">
        <f ca="1">O387</f>
        <v>0</v>
      </c>
      <c r="Q382" s="875">
        <f ca="1">P387</f>
        <v>0</v>
      </c>
      <c r="R382" s="27"/>
    </row>
    <row r="383" spans="2:18" s="17" customFormat="1" ht="12.75" customHeight="1">
      <c r="B383" s="10" t="s">
        <v>337</v>
      </c>
      <c r="C383" s="274"/>
      <c r="D383" s="10"/>
      <c r="E383" s="10"/>
      <c r="F383" s="10"/>
      <c r="G383" s="10"/>
      <c r="H383" s="10"/>
      <c r="I383" s="27"/>
      <c r="J383" s="27"/>
      <c r="K383" s="27"/>
      <c r="L383" s="32"/>
      <c r="M383" s="32">
        <f ca="1">M373</f>
        <v>26.921077229737357</v>
      </c>
      <c r="N383" s="32">
        <f ca="1">N373</f>
        <v>20.000000000000007</v>
      </c>
      <c r="O383" s="32">
        <f ca="1">O373</f>
        <v>35.293155253287559</v>
      </c>
      <c r="P383" s="32">
        <f ca="1">P373</f>
        <v>80.22605243176443</v>
      </c>
      <c r="Q383" s="32">
        <f ca="1">Q373</f>
        <v>130.77874991338345</v>
      </c>
      <c r="R383" s="27"/>
    </row>
    <row r="384" spans="2:18" s="17" customFormat="1" ht="12.75" customHeight="1">
      <c r="B384" s="10" t="s">
        <v>338</v>
      </c>
      <c r="C384" s="274"/>
      <c r="D384" s="10"/>
      <c r="E384" s="10"/>
      <c r="F384" s="10"/>
      <c r="G384" s="10"/>
      <c r="H384" s="10"/>
      <c r="I384" s="27"/>
      <c r="J384" s="27"/>
      <c r="K384" s="27"/>
      <c r="L384" s="32"/>
      <c r="M384" s="32">
        <f ca="1">M357+M361+SUM(M363:M366)</f>
        <v>28.719813975181506</v>
      </c>
      <c r="N384" s="32">
        <f ca="1">N357+N361+SUM(N363:N366)</f>
        <v>38.45226404836869</v>
      </c>
      <c r="O384" s="32">
        <f ca="1">O357+O361+SUM(O363:O366)</f>
        <v>44.932897178476878</v>
      </c>
      <c r="P384" s="32">
        <f ca="1">P357+P361+SUM(P363:P366)</f>
        <v>50.55269748161902</v>
      </c>
      <c r="Q384" s="32">
        <f ca="1">Q357+Q361+SUM(Q363:Q366)</f>
        <v>56.208724132697782</v>
      </c>
      <c r="R384" s="27"/>
    </row>
    <row r="385" spans="2:18" s="17" customFormat="1" ht="12.75" customHeight="1">
      <c r="B385" s="10" t="s">
        <v>339</v>
      </c>
      <c r="C385" s="274"/>
      <c r="D385" s="10"/>
      <c r="E385" s="10"/>
      <c r="F385" s="10"/>
      <c r="G385" s="10"/>
      <c r="H385" s="10"/>
      <c r="I385" s="27"/>
      <c r="J385" s="27"/>
      <c r="K385" s="27"/>
      <c r="L385" s="32"/>
      <c r="M385" s="32">
        <f>-F367</f>
        <v>-20</v>
      </c>
      <c r="N385" s="32">
        <f>M385</f>
        <v>-20</v>
      </c>
      <c r="O385" s="32">
        <f>N385</f>
        <v>-20</v>
      </c>
      <c r="P385" s="32">
        <f>O385</f>
        <v>-20</v>
      </c>
      <c r="Q385" s="32">
        <f>P385</f>
        <v>-20</v>
      </c>
      <c r="R385" s="27"/>
    </row>
    <row r="386" spans="2:18" s="17" customFormat="1" ht="12.75" customHeight="1">
      <c r="B386" s="10" t="s">
        <v>341</v>
      </c>
      <c r="C386" s="274"/>
      <c r="D386" s="10"/>
      <c r="E386" s="10"/>
      <c r="F386" s="10"/>
      <c r="G386" s="10"/>
      <c r="H386" s="10"/>
      <c r="I386" s="27"/>
      <c r="J386" s="27"/>
      <c r="K386" s="27"/>
      <c r="L386" s="32"/>
      <c r="M386" s="32">
        <f ca="1">-MIN(SUM(M383:M385),M382)</f>
        <v>0</v>
      </c>
      <c r="N386" s="32">
        <f ca="1">-MIN(SUM(N383:N385),N382)</f>
        <v>0</v>
      </c>
      <c r="O386" s="32">
        <f ca="1">-MIN(SUM(O383:O385),O382)</f>
        <v>0</v>
      </c>
      <c r="P386" s="32">
        <f ca="1">-MIN(SUM(P383:P385),P382)</f>
        <v>0</v>
      </c>
      <c r="Q386" s="32">
        <f ca="1">-MIN(SUM(Q383:Q385),Q382)</f>
        <v>0</v>
      </c>
      <c r="R386" s="27"/>
    </row>
    <row r="387" spans="2:18" s="17" customFormat="1" ht="12.75" customHeight="1">
      <c r="B387" s="10" t="s">
        <v>340</v>
      </c>
      <c r="C387" s="274"/>
      <c r="D387" s="10"/>
      <c r="E387" s="10"/>
      <c r="F387" s="10"/>
      <c r="G387" s="10"/>
      <c r="H387" s="10"/>
      <c r="I387" s="27"/>
      <c r="J387" s="27"/>
      <c r="K387" s="27"/>
      <c r="L387" s="32"/>
      <c r="M387" s="950">
        <f ca="1">M382+M386</f>
        <v>0</v>
      </c>
      <c r="N387" s="950">
        <f ca="1">N382+N386</f>
        <v>0</v>
      </c>
      <c r="O387" s="950">
        <f ca="1">O382+O386</f>
        <v>0</v>
      </c>
      <c r="P387" s="950">
        <f ca="1">P382+P386</f>
        <v>0</v>
      </c>
      <c r="Q387" s="950">
        <f ca="1">Q382+Q386</f>
        <v>0</v>
      </c>
      <c r="R387" s="27"/>
    </row>
    <row r="388" spans="2:18" s="4" customFormat="1" ht="12.75" customHeight="1">
      <c r="B388" s="139"/>
      <c r="C388" s="3"/>
      <c r="D388" s="3"/>
      <c r="E388" s="3"/>
      <c r="F388" s="3"/>
      <c r="G388" s="3"/>
      <c r="H388" s="3"/>
      <c r="I388" s="3"/>
      <c r="J388" s="3"/>
      <c r="K388" s="142"/>
      <c r="L388" s="249"/>
      <c r="M388" s="249"/>
      <c r="N388" s="249"/>
      <c r="O388" s="249"/>
      <c r="P388" s="249"/>
      <c r="Q388" s="249"/>
      <c r="R388" s="142"/>
    </row>
    <row r="389" spans="2:18" s="4" customFormat="1" ht="12.75" customHeight="1">
      <c r="B389" s="139" t="s">
        <v>143</v>
      </c>
      <c r="C389" s="3"/>
      <c r="D389" s="3"/>
      <c r="E389" s="3"/>
      <c r="F389" s="3"/>
      <c r="G389" s="3"/>
      <c r="H389" s="3"/>
      <c r="I389" s="3"/>
      <c r="J389" s="3"/>
      <c r="K389" s="142"/>
      <c r="L389" s="249"/>
      <c r="M389" s="249"/>
      <c r="N389" s="249"/>
      <c r="O389" s="249"/>
      <c r="P389" s="249"/>
      <c r="Q389" s="249"/>
      <c r="R389" s="142"/>
    </row>
    <row r="390" spans="2:18" s="4" customFormat="1" ht="12.75" customHeight="1">
      <c r="B390" s="3" t="str">
        <f>B25</f>
        <v>$250mm Revolver</v>
      </c>
      <c r="C390" s="3"/>
      <c r="D390" s="3"/>
      <c r="E390" s="3"/>
      <c r="F390" s="3"/>
      <c r="G390" s="3"/>
      <c r="H390" s="3"/>
      <c r="I390" s="3"/>
      <c r="J390" s="3"/>
      <c r="K390" s="605">
        <f>'Acq Proj'!K128</f>
        <v>9.5</v>
      </c>
      <c r="L390" s="605">
        <f ca="1">'Acq Proj'!L128+H25</f>
        <v>0</v>
      </c>
      <c r="M390" s="353">
        <f ca="1">M387</f>
        <v>0</v>
      </c>
      <c r="N390" s="353">
        <f ca="1">N387</f>
        <v>0</v>
      </c>
      <c r="O390" s="353">
        <f ca="1">O387</f>
        <v>0</v>
      </c>
      <c r="P390" s="353">
        <f ca="1">P387</f>
        <v>0</v>
      </c>
      <c r="Q390" s="353">
        <f ca="1">Q387</f>
        <v>0</v>
      </c>
    </row>
    <row r="391" spans="2:18" s="4" customFormat="1" ht="12.75" customHeight="1">
      <c r="B391" s="3" t="str">
        <f>"New "&amp;B26</f>
        <v>New Term Loan</v>
      </c>
      <c r="C391" s="3"/>
      <c r="D391" s="3"/>
      <c r="E391" s="3"/>
      <c r="F391" s="3"/>
      <c r="G391" s="3"/>
      <c r="H391" s="3"/>
      <c r="I391" s="3"/>
      <c r="J391" s="3"/>
      <c r="K391" s="3"/>
      <c r="L391" s="595">
        <f>H26</f>
        <v>60</v>
      </c>
      <c r="M391" s="343">
        <f ca="1">L391-M408-M420</f>
        <v>23.75910879508114</v>
      </c>
      <c r="N391" s="343">
        <f ca="1">M391-N408-N420</f>
        <v>0</v>
      </c>
      <c r="O391" s="343">
        <f ca="1">N391-O408-O420</f>
        <v>0</v>
      </c>
      <c r="P391" s="343">
        <f ca="1">O391-P408-P420</f>
        <v>0</v>
      </c>
      <c r="Q391" s="343">
        <f ca="1">P391-Q408-Q420</f>
        <v>0</v>
      </c>
    </row>
    <row r="392" spans="2:18" s="4" customFormat="1" ht="12.75" customHeight="1">
      <c r="B392" s="3" t="str">
        <f>"New "&amp;B27</f>
        <v>New Senior Notes</v>
      </c>
      <c r="C392" s="3"/>
      <c r="D392" s="3"/>
      <c r="E392" s="3"/>
      <c r="F392" s="3"/>
      <c r="G392" s="3"/>
      <c r="H392" s="3"/>
      <c r="I392" s="3"/>
      <c r="J392" s="3"/>
      <c r="K392" s="3"/>
      <c r="L392" s="595">
        <f ca="1">H27</f>
        <v>40</v>
      </c>
      <c r="M392" s="343">
        <f ca="1">L392-M409</f>
        <v>40</v>
      </c>
      <c r="N392" s="343">
        <f ca="1">M392-N409</f>
        <v>40</v>
      </c>
      <c r="O392" s="343">
        <f ca="1">N392-O409</f>
        <v>40</v>
      </c>
      <c r="P392" s="343">
        <f ca="1">O392-P409</f>
        <v>40</v>
      </c>
      <c r="Q392" s="343">
        <f ca="1">P392-Q409</f>
        <v>40</v>
      </c>
    </row>
    <row r="393" spans="2:18" s="4" customFormat="1" ht="12.75" customHeight="1">
      <c r="B393" s="3" t="str">
        <f>"New "&amp;B28</f>
        <v>New Subordinated Notes</v>
      </c>
      <c r="C393" s="3"/>
      <c r="D393" s="3"/>
      <c r="E393" s="3"/>
      <c r="F393" s="3"/>
      <c r="G393" s="3"/>
      <c r="H393" s="3"/>
      <c r="I393" s="3"/>
      <c r="J393" s="3"/>
      <c r="K393" s="3"/>
      <c r="L393" s="595">
        <f>H28</f>
        <v>0</v>
      </c>
      <c r="M393" s="343">
        <f>L393-M410</f>
        <v>0</v>
      </c>
      <c r="N393" s="343">
        <f t="shared" ref="N393:Q396" si="45">M393-N410</f>
        <v>0</v>
      </c>
      <c r="O393" s="343">
        <f t="shared" si="45"/>
        <v>0</v>
      </c>
      <c r="P393" s="343">
        <f t="shared" si="45"/>
        <v>0</v>
      </c>
      <c r="Q393" s="343">
        <f t="shared" si="45"/>
        <v>0</v>
      </c>
    </row>
    <row r="394" spans="2:18" s="4" customFormat="1" ht="12.75" customHeight="1">
      <c r="B394" s="109" t="str">
        <f>"Existing "&amp;'Acq Proj'!B129</f>
        <v>Existing Term Loan</v>
      </c>
      <c r="C394" s="3"/>
      <c r="D394" s="3"/>
      <c r="E394" s="3"/>
      <c r="F394" s="3"/>
      <c r="G394" s="3"/>
      <c r="H394" s="3"/>
      <c r="I394" s="3"/>
      <c r="J394" s="3"/>
      <c r="K394" s="925">
        <f>'Acq Proj'!K129</f>
        <v>0</v>
      </c>
      <c r="L394" s="925">
        <f>'Acq Proj'!L129</f>
        <v>0</v>
      </c>
      <c r="M394" s="343">
        <f>L394-M411</f>
        <v>0</v>
      </c>
      <c r="N394" s="343">
        <f t="shared" si="45"/>
        <v>0</v>
      </c>
      <c r="O394" s="343">
        <f t="shared" si="45"/>
        <v>0</v>
      </c>
      <c r="P394" s="343">
        <f t="shared" si="45"/>
        <v>0</v>
      </c>
      <c r="Q394" s="343">
        <f t="shared" si="45"/>
        <v>0</v>
      </c>
    </row>
    <row r="395" spans="2:18" s="4" customFormat="1" ht="12.75" customHeight="1">
      <c r="B395" s="109" t="str">
        <f>+"Existing "&amp;'Acq Proj'!B130</f>
        <v>Existing Senior Notes</v>
      </c>
      <c r="C395" s="3"/>
      <c r="D395" s="3"/>
      <c r="E395" s="3"/>
      <c r="F395" s="3"/>
      <c r="G395" s="3"/>
      <c r="H395" s="3"/>
      <c r="I395" s="3"/>
      <c r="J395" s="3"/>
      <c r="K395" s="925">
        <f>'Acq Proj'!K130</f>
        <v>0</v>
      </c>
      <c r="L395" s="925">
        <f>'Acq Proj'!L130</f>
        <v>0</v>
      </c>
      <c r="M395" s="343">
        <f>L395-M412</f>
        <v>0</v>
      </c>
      <c r="N395" s="343">
        <f t="shared" si="45"/>
        <v>0</v>
      </c>
      <c r="O395" s="343">
        <f t="shared" si="45"/>
        <v>0</v>
      </c>
      <c r="P395" s="343">
        <f t="shared" si="45"/>
        <v>0</v>
      </c>
      <c r="Q395" s="343">
        <f t="shared" si="45"/>
        <v>0</v>
      </c>
    </row>
    <row r="396" spans="2:18" s="4" customFormat="1" ht="12.75" customHeight="1">
      <c r="B396" s="109" t="str">
        <f>+"Existing "&amp;'Acq Proj'!B131</f>
        <v>Existing Subordinated Notes</v>
      </c>
      <c r="C396" s="3"/>
      <c r="D396" s="3"/>
      <c r="E396" s="3"/>
      <c r="F396" s="3"/>
      <c r="G396" s="3"/>
      <c r="H396" s="3"/>
      <c r="I396" s="3"/>
      <c r="J396" s="3"/>
      <c r="K396" s="925">
        <f>'Acq Proj'!K131</f>
        <v>0</v>
      </c>
      <c r="L396" s="925">
        <f>'Acq Proj'!L131</f>
        <v>0</v>
      </c>
      <c r="M396" s="343">
        <f>L396-M413</f>
        <v>0</v>
      </c>
      <c r="N396" s="343">
        <f t="shared" si="45"/>
        <v>0</v>
      </c>
      <c r="O396" s="343">
        <f t="shared" si="45"/>
        <v>0</v>
      </c>
      <c r="P396" s="343">
        <f t="shared" si="45"/>
        <v>0</v>
      </c>
      <c r="Q396" s="343">
        <f t="shared" si="45"/>
        <v>0</v>
      </c>
    </row>
    <row r="397" spans="2:18" s="4" customFormat="1" ht="12.75" customHeight="1">
      <c r="B397" s="151" t="s">
        <v>87</v>
      </c>
      <c r="C397" s="3"/>
      <c r="D397" s="3"/>
      <c r="E397" s="3"/>
      <c r="F397" s="3"/>
      <c r="G397" s="3"/>
      <c r="H397" s="3"/>
      <c r="I397" s="3"/>
      <c r="J397" s="3"/>
      <c r="K397" s="3"/>
      <c r="L397" s="951">
        <f t="shared" ref="L397:Q397" ca="1" si="46">SUM(L390:L396)</f>
        <v>100</v>
      </c>
      <c r="M397" s="951">
        <f t="shared" ca="1" si="46"/>
        <v>63.75910879508114</v>
      </c>
      <c r="N397" s="951">
        <f t="shared" ca="1" si="46"/>
        <v>40</v>
      </c>
      <c r="O397" s="951">
        <f t="shared" ca="1" si="46"/>
        <v>40</v>
      </c>
      <c r="P397" s="951">
        <f t="shared" ca="1" si="46"/>
        <v>40</v>
      </c>
      <c r="Q397" s="951">
        <f t="shared" ca="1" si="46"/>
        <v>40</v>
      </c>
    </row>
    <row r="398" spans="2:18" s="4" customFormat="1" ht="12.75" customHeight="1">
      <c r="B398" s="3" t="s">
        <v>52</v>
      </c>
      <c r="C398" s="3"/>
      <c r="D398" s="3"/>
      <c r="E398" s="3"/>
      <c r="F398" s="3"/>
      <c r="G398" s="3"/>
      <c r="H398" s="3"/>
      <c r="I398" s="3"/>
      <c r="J398" s="3"/>
      <c r="K398" s="3"/>
      <c r="L398" s="343">
        <f t="shared" ref="L398:Q400" si="47">L333</f>
        <v>1.2</v>
      </c>
      <c r="M398" s="343">
        <f t="shared" si="47"/>
        <v>1.2</v>
      </c>
      <c r="N398" s="343">
        <f t="shared" si="47"/>
        <v>1.2</v>
      </c>
      <c r="O398" s="343">
        <f t="shared" si="47"/>
        <v>1.2</v>
      </c>
      <c r="P398" s="343">
        <f t="shared" si="47"/>
        <v>1.2</v>
      </c>
      <c r="Q398" s="343">
        <f t="shared" si="47"/>
        <v>1.2</v>
      </c>
    </row>
    <row r="399" spans="2:18" s="4" customFormat="1" ht="12.75" customHeight="1">
      <c r="B399" s="3" t="s">
        <v>53</v>
      </c>
      <c r="C399" s="3"/>
      <c r="D399" s="3"/>
      <c r="E399" s="3"/>
      <c r="F399" s="3"/>
      <c r="G399" s="3"/>
      <c r="H399" s="3"/>
      <c r="I399" s="3"/>
      <c r="J399" s="3"/>
      <c r="K399" s="3"/>
      <c r="L399" s="343">
        <f t="shared" si="47"/>
        <v>0.5</v>
      </c>
      <c r="M399" s="343">
        <f t="shared" si="47"/>
        <v>0.5</v>
      </c>
      <c r="N399" s="343">
        <f t="shared" si="47"/>
        <v>0.5</v>
      </c>
      <c r="O399" s="343">
        <f t="shared" si="47"/>
        <v>0.5</v>
      </c>
      <c r="P399" s="343">
        <f t="shared" si="47"/>
        <v>0.5</v>
      </c>
      <c r="Q399" s="343">
        <f t="shared" si="47"/>
        <v>0.5</v>
      </c>
    </row>
    <row r="400" spans="2:18" s="4" customFormat="1" ht="12.75" customHeight="1">
      <c r="B400" s="3" t="s">
        <v>150</v>
      </c>
      <c r="C400" s="3"/>
      <c r="D400" s="3"/>
      <c r="E400" s="3"/>
      <c r="F400" s="3"/>
      <c r="G400" s="3"/>
      <c r="H400" s="3"/>
      <c r="I400" s="3"/>
      <c r="J400" s="3"/>
      <c r="K400" s="3"/>
      <c r="L400" s="917">
        <f t="shared" ca="1" si="47"/>
        <v>119.25120334663585</v>
      </c>
      <c r="M400" s="917">
        <f t="shared" ca="1" si="47"/>
        <v>152.0083339739198</v>
      </c>
      <c r="N400" s="917">
        <f t="shared" ca="1" si="47"/>
        <v>194.88875812677188</v>
      </c>
      <c r="O400" s="917">
        <f t="shared" ca="1" si="47"/>
        <v>244.05117177877977</v>
      </c>
      <c r="P400" s="917">
        <f t="shared" ca="1" si="47"/>
        <v>299.66941899769841</v>
      </c>
      <c r="Q400" s="917">
        <f t="shared" ca="1" si="47"/>
        <v>361.88105013214386</v>
      </c>
    </row>
    <row r="401" spans="2:17" s="4" customFormat="1" ht="12.75" customHeight="1">
      <c r="B401" s="151" t="s">
        <v>88</v>
      </c>
      <c r="C401" s="3"/>
      <c r="D401" s="3"/>
      <c r="E401" s="3"/>
      <c r="F401" s="3"/>
      <c r="G401" s="3"/>
      <c r="H401" s="3"/>
      <c r="I401" s="3"/>
      <c r="J401" s="3"/>
      <c r="K401" s="3"/>
      <c r="L401" s="757">
        <f t="shared" ref="L401:Q401" ca="1" si="48">SUM(L397:L400)</f>
        <v>220.95120334663585</v>
      </c>
      <c r="M401" s="757">
        <f t="shared" ca="1" si="48"/>
        <v>217.46744276900094</v>
      </c>
      <c r="N401" s="757">
        <f t="shared" ca="1" si="48"/>
        <v>236.58875812677189</v>
      </c>
      <c r="O401" s="757">
        <f t="shared" ca="1" si="48"/>
        <v>285.75117177877979</v>
      </c>
      <c r="P401" s="757">
        <f t="shared" ca="1" si="48"/>
        <v>341.3694189976984</v>
      </c>
      <c r="Q401" s="757">
        <f t="shared" ca="1" si="48"/>
        <v>403.58105013214384</v>
      </c>
    </row>
    <row r="402" spans="2:17" s="4" customFormat="1" ht="12.75" customHeight="1">
      <c r="B402" s="151"/>
      <c r="C402" s="3"/>
      <c r="D402" s="3"/>
      <c r="E402" s="3"/>
      <c r="F402" s="3"/>
      <c r="G402" s="3"/>
      <c r="H402" s="3"/>
      <c r="I402" s="3"/>
      <c r="J402" s="3"/>
      <c r="K402" s="3"/>
      <c r="L402" s="948"/>
      <c r="M402" s="948"/>
      <c r="N402" s="948"/>
      <c r="O402" s="948"/>
      <c r="P402" s="948"/>
      <c r="Q402" s="948"/>
    </row>
    <row r="403" spans="2:17" s="4" customFormat="1" ht="12.75" customHeight="1">
      <c r="B403" s="3" t="str">
        <f>"Mandatory Amortization on "&amp;B391</f>
        <v>Mandatory Amortization on New Term Loan</v>
      </c>
      <c r="C403" s="3"/>
      <c r="D403" s="3"/>
      <c r="E403" s="3"/>
      <c r="F403" s="3"/>
      <c r="G403" s="3"/>
      <c r="H403" s="3"/>
      <c r="I403" s="3"/>
      <c r="J403" s="3"/>
      <c r="K403" s="3"/>
      <c r="L403" s="948"/>
      <c r="M403" s="193">
        <f t="shared" ref="M403:Q405" si="49">M87</f>
        <v>0.01</v>
      </c>
      <c r="N403" s="193">
        <f t="shared" si="49"/>
        <v>0.01</v>
      </c>
      <c r="O403" s="193">
        <f t="shared" si="49"/>
        <v>0.01</v>
      </c>
      <c r="P403" s="193">
        <f t="shared" si="49"/>
        <v>0.01</v>
      </c>
      <c r="Q403" s="193">
        <f t="shared" si="49"/>
        <v>0.01</v>
      </c>
    </row>
    <row r="404" spans="2:17" s="4" customFormat="1" ht="12.75" customHeight="1">
      <c r="B404" s="3" t="str">
        <f>"Mandatory Amortization on "&amp;B392</f>
        <v>Mandatory Amortization on New Senior Notes</v>
      </c>
      <c r="C404" s="3"/>
      <c r="D404" s="3"/>
      <c r="E404" s="3"/>
      <c r="F404" s="3"/>
      <c r="G404" s="3"/>
      <c r="H404" s="3"/>
      <c r="I404" s="3"/>
      <c r="J404" s="3"/>
      <c r="K404" s="3"/>
      <c r="L404" s="948"/>
      <c r="M404" s="193">
        <f t="shared" si="49"/>
        <v>0</v>
      </c>
      <c r="N404" s="193">
        <f t="shared" si="49"/>
        <v>0</v>
      </c>
      <c r="O404" s="193">
        <f t="shared" si="49"/>
        <v>0</v>
      </c>
      <c r="P404" s="193">
        <f t="shared" si="49"/>
        <v>0</v>
      </c>
      <c r="Q404" s="193">
        <f t="shared" si="49"/>
        <v>0</v>
      </c>
    </row>
    <row r="405" spans="2:17" s="4" customFormat="1" ht="12.75" customHeight="1">
      <c r="B405" s="3" t="str">
        <f>"Mandatory Amortization on "&amp;B393</f>
        <v>Mandatory Amortization on New Subordinated Notes</v>
      </c>
      <c r="C405" s="3"/>
      <c r="D405" s="3"/>
      <c r="E405" s="3"/>
      <c r="F405" s="3"/>
      <c r="G405" s="3"/>
      <c r="H405" s="3"/>
      <c r="I405" s="3"/>
      <c r="J405" s="3"/>
      <c r="K405" s="3"/>
      <c r="L405" s="948"/>
      <c r="M405" s="193">
        <f t="shared" si="49"/>
        <v>0</v>
      </c>
      <c r="N405" s="193">
        <f t="shared" si="49"/>
        <v>0</v>
      </c>
      <c r="O405" s="193">
        <f t="shared" si="49"/>
        <v>0</v>
      </c>
      <c r="P405" s="193">
        <f t="shared" si="49"/>
        <v>0</v>
      </c>
      <c r="Q405" s="193">
        <f t="shared" si="49"/>
        <v>0</v>
      </c>
    </row>
    <row r="406" spans="2:17" s="4" customFormat="1" ht="12.75" customHeight="1">
      <c r="B406" s="151"/>
      <c r="C406" s="3"/>
      <c r="D406" s="3"/>
      <c r="E406" s="3"/>
      <c r="F406" s="3"/>
      <c r="G406" s="3"/>
      <c r="H406" s="3"/>
      <c r="I406" s="3"/>
      <c r="J406" s="3"/>
      <c r="K406" s="3"/>
      <c r="L406" s="948"/>
      <c r="M406" s="948"/>
      <c r="N406" s="948"/>
      <c r="O406" s="948"/>
      <c r="P406" s="948"/>
      <c r="Q406" s="948"/>
    </row>
    <row r="407" spans="2:17" s="4" customFormat="1" ht="12.75" customHeight="1">
      <c r="B407" s="139" t="s">
        <v>89</v>
      </c>
      <c r="C407" s="3"/>
      <c r="D407" s="3"/>
      <c r="G407" s="952"/>
      <c r="H407" s="952"/>
      <c r="I407" s="952"/>
      <c r="J407" s="953"/>
      <c r="K407" s="953"/>
      <c r="L407" s="954"/>
      <c r="M407" s="954"/>
      <c r="N407" s="954"/>
      <c r="O407" s="954"/>
      <c r="P407" s="954"/>
      <c r="Q407" s="954"/>
    </row>
    <row r="408" spans="2:17" s="4" customFormat="1" ht="12.75" customHeight="1">
      <c r="B408" s="3" t="str">
        <f t="shared" ref="B408:B413" si="50">B391</f>
        <v>New Term Loan</v>
      </c>
      <c r="C408" s="3"/>
      <c r="D408" s="3"/>
      <c r="F408" s="249"/>
      <c r="G408" s="150"/>
      <c r="H408" s="150"/>
      <c r="I408" s="150"/>
      <c r="J408" s="150"/>
      <c r="K408" s="150"/>
      <c r="L408" s="954"/>
      <c r="M408" s="873">
        <f t="shared" ref="M408:Q410" si="51">MIN($L391*M403,L391)</f>
        <v>0.6</v>
      </c>
      <c r="N408" s="873">
        <f t="shared" ca="1" si="51"/>
        <v>0.6</v>
      </c>
      <c r="O408" s="873">
        <f t="shared" ca="1" si="51"/>
        <v>0</v>
      </c>
      <c r="P408" s="873">
        <f t="shared" ca="1" si="51"/>
        <v>0</v>
      </c>
      <c r="Q408" s="873">
        <f t="shared" ca="1" si="51"/>
        <v>0</v>
      </c>
    </row>
    <row r="409" spans="2:17" s="4" customFormat="1" ht="12.75" customHeight="1">
      <c r="B409" s="3" t="str">
        <f t="shared" si="50"/>
        <v>New Senior Notes</v>
      </c>
      <c r="C409" s="3"/>
      <c r="D409" s="3"/>
      <c r="F409" s="249"/>
      <c r="G409" s="150"/>
      <c r="H409" s="150"/>
      <c r="I409" s="150"/>
      <c r="J409" s="150"/>
      <c r="K409" s="150"/>
      <c r="L409" s="954"/>
      <c r="M409" s="32">
        <f t="shared" ca="1" si="51"/>
        <v>0</v>
      </c>
      <c r="N409" s="32">
        <f t="shared" ca="1" si="51"/>
        <v>0</v>
      </c>
      <c r="O409" s="32">
        <f t="shared" ca="1" si="51"/>
        <v>0</v>
      </c>
      <c r="P409" s="32">
        <f t="shared" ca="1" si="51"/>
        <v>0</v>
      </c>
      <c r="Q409" s="32">
        <f t="shared" ca="1" si="51"/>
        <v>0</v>
      </c>
    </row>
    <row r="410" spans="2:17" s="4" customFormat="1" ht="12.75" customHeight="1">
      <c r="B410" s="3" t="str">
        <f t="shared" si="50"/>
        <v>New Subordinated Notes</v>
      </c>
      <c r="C410" s="3"/>
      <c r="D410" s="3"/>
      <c r="F410" s="249"/>
      <c r="G410" s="150"/>
      <c r="H410" s="150"/>
      <c r="I410" s="150"/>
      <c r="J410" s="150"/>
      <c r="K410" s="150"/>
      <c r="L410" s="954"/>
      <c r="M410" s="32">
        <f t="shared" si="51"/>
        <v>0</v>
      </c>
      <c r="N410" s="32">
        <f t="shared" si="51"/>
        <v>0</v>
      </c>
      <c r="O410" s="32">
        <f t="shared" si="51"/>
        <v>0</v>
      </c>
      <c r="P410" s="32">
        <f t="shared" si="51"/>
        <v>0</v>
      </c>
      <c r="Q410" s="32">
        <f t="shared" si="51"/>
        <v>0</v>
      </c>
    </row>
    <row r="411" spans="2:17" s="4" customFormat="1" ht="12.75" customHeight="1">
      <c r="B411" s="3" t="str">
        <f t="shared" si="50"/>
        <v>Existing Term Loan</v>
      </c>
      <c r="C411" s="3"/>
      <c r="D411" s="3"/>
      <c r="E411" s="3"/>
      <c r="F411" s="3"/>
      <c r="G411" s="3"/>
      <c r="H411" s="3"/>
      <c r="I411" s="3"/>
      <c r="J411" s="3"/>
      <c r="K411" s="3"/>
      <c r="L411" s="954"/>
      <c r="M411" s="921">
        <f>'Acq Proj'!M139</f>
        <v>0</v>
      </c>
      <c r="N411" s="921">
        <f>'Acq Proj'!N139</f>
        <v>0</v>
      </c>
      <c r="O411" s="921">
        <f>'Acq Proj'!O139</f>
        <v>0</v>
      </c>
      <c r="P411" s="921">
        <f>'Acq Proj'!P139</f>
        <v>0</v>
      </c>
      <c r="Q411" s="921">
        <f>'Acq Proj'!Q139</f>
        <v>0</v>
      </c>
    </row>
    <row r="412" spans="2:17" s="4" customFormat="1" ht="12.75" customHeight="1">
      <c r="B412" s="3" t="str">
        <f t="shared" si="50"/>
        <v>Existing Senior Notes</v>
      </c>
      <c r="C412" s="3"/>
      <c r="D412" s="3"/>
      <c r="E412" s="3"/>
      <c r="F412" s="3"/>
      <c r="G412" s="3"/>
      <c r="H412" s="3"/>
      <c r="I412" s="3"/>
      <c r="J412" s="3"/>
      <c r="K412" s="3"/>
      <c r="L412" s="954"/>
      <c r="M412" s="921">
        <f>'Acq Proj'!M140</f>
        <v>0</v>
      </c>
      <c r="N412" s="921">
        <f>'Acq Proj'!N140</f>
        <v>0</v>
      </c>
      <c r="O412" s="921">
        <f>'Acq Proj'!O140</f>
        <v>0</v>
      </c>
      <c r="P412" s="921">
        <f>'Acq Proj'!P140</f>
        <v>0</v>
      </c>
      <c r="Q412" s="921">
        <f>'Acq Proj'!Q140</f>
        <v>0</v>
      </c>
    </row>
    <row r="413" spans="2:17" s="4" customFormat="1" ht="12.75" customHeight="1">
      <c r="B413" s="3" t="str">
        <f t="shared" si="50"/>
        <v>Existing Subordinated Notes</v>
      </c>
      <c r="C413" s="3"/>
      <c r="D413" s="3"/>
      <c r="E413" s="3"/>
      <c r="F413" s="3"/>
      <c r="G413" s="3"/>
      <c r="H413" s="3"/>
      <c r="I413" s="3"/>
      <c r="J413" s="3"/>
      <c r="K413" s="3"/>
      <c r="L413" s="954"/>
      <c r="M413" s="921">
        <f>'Acq Proj'!M141</f>
        <v>0</v>
      </c>
      <c r="N413" s="921">
        <f>'Acq Proj'!N141</f>
        <v>0</v>
      </c>
      <c r="O413" s="921">
        <f>'Acq Proj'!O141</f>
        <v>0</v>
      </c>
      <c r="P413" s="921">
        <f>'Acq Proj'!P141</f>
        <v>0</v>
      </c>
      <c r="Q413" s="921">
        <f>'Acq Proj'!Q141</f>
        <v>0</v>
      </c>
    </row>
    <row r="414" spans="2:17" s="4" customFormat="1" ht="12.75" customHeight="1">
      <c r="B414" s="151" t="s">
        <v>90</v>
      </c>
      <c r="C414" s="3"/>
      <c r="D414" s="3"/>
      <c r="E414" s="3"/>
      <c r="F414" s="3"/>
      <c r="G414" s="3"/>
      <c r="H414" s="3"/>
      <c r="I414" s="3"/>
      <c r="J414" s="3"/>
      <c r="K414" s="3"/>
      <c r="L414" s="954"/>
      <c r="M414" s="757">
        <f ca="1">SUM(M408:M413)</f>
        <v>0.6</v>
      </c>
      <c r="N414" s="757">
        <f ca="1">SUM(N408:N413)</f>
        <v>0.6</v>
      </c>
      <c r="O414" s="757">
        <f ca="1">SUM(O408:O413)</f>
        <v>0</v>
      </c>
      <c r="P414" s="757">
        <f ca="1">SUM(P408:P413)</f>
        <v>0</v>
      </c>
      <c r="Q414" s="757">
        <f ca="1">SUM(Q408:Q413)</f>
        <v>0</v>
      </c>
    </row>
    <row r="415" spans="2:17" s="4" customFormat="1" ht="12.75" customHeight="1"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954"/>
      <c r="M415" s="948"/>
      <c r="N415" s="948"/>
      <c r="O415" s="948"/>
      <c r="P415" s="948"/>
      <c r="Q415" s="948"/>
    </row>
    <row r="416" spans="2:17" s="4" customFormat="1" ht="12.75" customHeight="1">
      <c r="B416" s="139" t="str">
        <f>"Optional Repayment on "&amp;B408</f>
        <v>Optional Repayment on New Term Loan</v>
      </c>
      <c r="C416" s="3"/>
      <c r="D416" s="3"/>
      <c r="E416" s="3"/>
      <c r="F416" s="3"/>
      <c r="G416" s="3"/>
      <c r="H416" s="3"/>
      <c r="I416" s="3"/>
      <c r="J416" s="3"/>
      <c r="K416" s="3"/>
      <c r="L416" s="954"/>
      <c r="M416" s="948"/>
      <c r="N416" s="948"/>
      <c r="O416" s="948"/>
      <c r="P416" s="948"/>
      <c r="Q416" s="948"/>
    </row>
    <row r="417" spans="2:18" s="4" customFormat="1" ht="12.75" customHeight="1">
      <c r="B417" s="3" t="s">
        <v>337</v>
      </c>
      <c r="C417" s="3"/>
      <c r="D417" s="3"/>
      <c r="E417" s="3"/>
      <c r="F417" s="3"/>
      <c r="G417" s="3"/>
      <c r="H417" s="3"/>
      <c r="I417" s="3"/>
      <c r="J417" s="3"/>
      <c r="K417" s="3"/>
      <c r="L417" s="954"/>
      <c r="M417" s="840">
        <f ca="1">M373</f>
        <v>26.921077229737357</v>
      </c>
      <c r="N417" s="840">
        <f ca="1">N373</f>
        <v>20.000000000000007</v>
      </c>
      <c r="O417" s="840">
        <f ca="1">O373</f>
        <v>35.293155253287559</v>
      </c>
      <c r="P417" s="840">
        <f ca="1">P373</f>
        <v>80.22605243176443</v>
      </c>
      <c r="Q417" s="840">
        <f ca="1">Q373</f>
        <v>130.77874991338345</v>
      </c>
      <c r="R417" s="68"/>
    </row>
    <row r="418" spans="2:18" s="4" customFormat="1" ht="12.75" customHeight="1">
      <c r="B418" s="3" t="s">
        <v>359</v>
      </c>
      <c r="C418" s="3"/>
      <c r="D418" s="3"/>
      <c r="E418" s="3"/>
      <c r="F418" s="3"/>
      <c r="G418" s="3"/>
      <c r="H418" s="3"/>
      <c r="I418" s="3"/>
      <c r="J418" s="3"/>
      <c r="K418" s="3"/>
      <c r="L418" s="954"/>
      <c r="M418" s="822">
        <f ca="1">M357+M361+SUM(M363:M367)</f>
        <v>28.719813975181506</v>
      </c>
      <c r="N418" s="822">
        <f ca="1">N357+N361+SUM(N363:N367)</f>
        <v>38.45226404836869</v>
      </c>
      <c r="O418" s="822">
        <f ca="1">O357+O361+SUM(O363:O367)</f>
        <v>44.932897178476878</v>
      </c>
      <c r="P418" s="822">
        <f ca="1">P357+P361+SUM(P363:P367)</f>
        <v>50.55269748161902</v>
      </c>
      <c r="Q418" s="822">
        <f ca="1">Q357+Q361+SUM(Q363:Q367)</f>
        <v>56.208724132697782</v>
      </c>
      <c r="R418" s="68"/>
    </row>
    <row r="419" spans="2:18" s="4" customFormat="1" ht="12.75" customHeight="1">
      <c r="B419" s="3" t="s">
        <v>339</v>
      </c>
      <c r="C419" s="3"/>
      <c r="D419" s="3"/>
      <c r="E419" s="3"/>
      <c r="F419" s="3"/>
      <c r="G419" s="3"/>
      <c r="H419" s="3"/>
      <c r="I419" s="3"/>
      <c r="J419" s="3"/>
      <c r="K419" s="3"/>
      <c r="L419" s="954"/>
      <c r="M419" s="822">
        <f>M385</f>
        <v>-20</v>
      </c>
      <c r="N419" s="822">
        <f>N385</f>
        <v>-20</v>
      </c>
      <c r="O419" s="822">
        <f>O385</f>
        <v>-20</v>
      </c>
      <c r="P419" s="822">
        <f>P385</f>
        <v>-20</v>
      </c>
      <c r="Q419" s="822">
        <f>Q385</f>
        <v>-20</v>
      </c>
      <c r="R419" s="68"/>
    </row>
    <row r="420" spans="2:18" s="4" customFormat="1" ht="12.75" customHeight="1">
      <c r="B420" s="3" t="s">
        <v>360</v>
      </c>
      <c r="C420" s="3"/>
      <c r="D420" s="3"/>
      <c r="E420" s="3"/>
      <c r="F420" s="3"/>
      <c r="G420" s="3"/>
      <c r="H420" s="3"/>
      <c r="I420" s="3"/>
      <c r="J420" s="3"/>
      <c r="K420" s="3"/>
      <c r="L420" s="954"/>
      <c r="M420" s="918">
        <f ca="1">MIN(SUM(M417:M419),L391-M408)*repay*msweep</f>
        <v>35.640891204918859</v>
      </c>
      <c r="N420" s="918">
        <f ca="1">MIN(SUM(N417:N419),M391-N408)*repay*msweep</f>
        <v>23.159108795081139</v>
      </c>
      <c r="O420" s="918">
        <f ca="1">MIN(SUM(O417:O419),N391-O408)*repay*msweep</f>
        <v>0</v>
      </c>
      <c r="P420" s="918">
        <f ca="1">MIN(SUM(P417:P419),O391-P408)*repay*msweep</f>
        <v>0</v>
      </c>
      <c r="Q420" s="918">
        <f ca="1">MIN(SUM(Q417:Q419),P391-Q408)*repay*msweep</f>
        <v>0</v>
      </c>
      <c r="R420" s="68"/>
    </row>
    <row r="421" spans="2:18" s="4" customFormat="1" ht="12.75" customHeight="1"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954"/>
      <c r="M421" s="948"/>
      <c r="N421" s="948"/>
      <c r="O421" s="948"/>
      <c r="P421" s="948"/>
      <c r="Q421" s="948"/>
    </row>
    <row r="422" spans="2:18" s="4" customFormat="1" ht="12.75" customHeight="1">
      <c r="B422" s="139" t="s">
        <v>91</v>
      </c>
      <c r="C422" s="3"/>
      <c r="D422" s="3"/>
      <c r="E422" s="3"/>
      <c r="F422" s="3"/>
      <c r="G422" s="3"/>
      <c r="H422" s="3"/>
      <c r="I422" s="3"/>
      <c r="J422" s="3"/>
      <c r="K422" s="3"/>
      <c r="L422" s="954"/>
      <c r="M422" s="954"/>
      <c r="N422" s="954"/>
      <c r="O422" s="954"/>
      <c r="P422" s="954"/>
      <c r="Q422" s="954"/>
    </row>
    <row r="423" spans="2:18" s="4" customFormat="1" ht="12.75" customHeight="1">
      <c r="B423" s="3" t="str">
        <f>B390</f>
        <v>$250mm Revolver</v>
      </c>
      <c r="C423" s="3"/>
      <c r="D423" s="3"/>
      <c r="E423" s="955"/>
      <c r="F423" s="956" t="s">
        <v>373</v>
      </c>
      <c r="G423" s="3"/>
      <c r="H423" s="3"/>
      <c r="I423" s="3"/>
      <c r="J423" s="3"/>
      <c r="K423" s="3"/>
      <c r="L423" s="353">
        <f t="shared" ref="L423:Q423" ca="1" si="52">AVERAGE(K390:L390)*L447</f>
        <v>0.24224999999999999</v>
      </c>
      <c r="M423" s="353">
        <f t="shared" ca="1" si="52"/>
        <v>0</v>
      </c>
      <c r="N423" s="353">
        <f t="shared" ca="1" si="52"/>
        <v>0</v>
      </c>
      <c r="O423" s="353">
        <f t="shared" ca="1" si="52"/>
        <v>0</v>
      </c>
      <c r="P423" s="353">
        <f t="shared" ca="1" si="52"/>
        <v>0</v>
      </c>
      <c r="Q423" s="353">
        <f t="shared" ca="1" si="52"/>
        <v>0</v>
      </c>
    </row>
    <row r="424" spans="2:18" s="4" customFormat="1" ht="12.75" customHeight="1">
      <c r="B424" s="109" t="str">
        <f>'Acq Proj'!B146</f>
        <v>Undrawn Revolver Fee</v>
      </c>
      <c r="C424" s="3"/>
      <c r="D424" s="3"/>
      <c r="E424" s="955"/>
      <c r="F424" s="957">
        <f>Q80</f>
        <v>250</v>
      </c>
      <c r="G424" s="3"/>
      <c r="H424" s="3"/>
      <c r="I424" s="3"/>
      <c r="J424" s="3"/>
      <c r="K424" s="3"/>
      <c r="L424" s="343">
        <f t="shared" ref="L424:Q424" ca="1" si="53">($F424-AVERAGE(K390:L390))*L448</f>
        <v>0</v>
      </c>
      <c r="M424" s="343">
        <f t="shared" ca="1" si="53"/>
        <v>0</v>
      </c>
      <c r="N424" s="343">
        <f t="shared" ca="1" si="53"/>
        <v>0</v>
      </c>
      <c r="O424" s="343">
        <f t="shared" ca="1" si="53"/>
        <v>0</v>
      </c>
      <c r="P424" s="343">
        <f t="shared" ca="1" si="53"/>
        <v>0</v>
      </c>
      <c r="Q424" s="343">
        <f t="shared" ca="1" si="53"/>
        <v>0</v>
      </c>
    </row>
    <row r="425" spans="2:18" s="4" customFormat="1" ht="12.75" customHeight="1">
      <c r="B425" s="3" t="str">
        <f t="shared" ref="B425:B430" si="54">B391</f>
        <v>New Term Loan</v>
      </c>
      <c r="C425" s="3"/>
      <c r="D425" s="3"/>
      <c r="E425" s="955"/>
      <c r="F425" s="3"/>
      <c r="G425" s="3"/>
      <c r="H425" s="3"/>
      <c r="I425" s="3"/>
      <c r="J425" s="3"/>
      <c r="K425" s="3"/>
      <c r="L425" s="822">
        <f>L391*L449</f>
        <v>3.66</v>
      </c>
      <c r="M425" s="822">
        <f t="shared" ref="L425:M430" ca="1" si="55">AVERAGE(L391:M391)*M449</f>
        <v>2.5755925954487453</v>
      </c>
      <c r="N425" s="822">
        <f t="shared" ref="N425:N430" ca="1" si="56">AVERAGE(M391:N391)*N449</f>
        <v>0.74247214984628562</v>
      </c>
      <c r="O425" s="822">
        <f t="shared" ref="O425:O430" ca="1" si="57">AVERAGE(N391:O391)*O449</f>
        <v>0</v>
      </c>
      <c r="P425" s="822">
        <f t="shared" ref="P425:P430" ca="1" si="58">AVERAGE(O391:P391)*P449</f>
        <v>0</v>
      </c>
      <c r="Q425" s="822">
        <f t="shared" ref="Q425:Q430" ca="1" si="59">AVERAGE(P391:Q391)*Q449</f>
        <v>0</v>
      </c>
    </row>
    <row r="426" spans="2:18" s="4" customFormat="1" ht="12.75" customHeight="1">
      <c r="B426" s="3" t="str">
        <f t="shared" si="54"/>
        <v>New Senior Notes</v>
      </c>
      <c r="C426" s="3"/>
      <c r="D426" s="3"/>
      <c r="E426" s="955"/>
      <c r="F426" s="3"/>
      <c r="G426" s="3"/>
      <c r="H426" s="3"/>
      <c r="I426" s="3"/>
      <c r="J426" s="3"/>
      <c r="K426" s="3"/>
      <c r="L426" s="822">
        <f ca="1">L392*L450</f>
        <v>2</v>
      </c>
      <c r="M426" s="822">
        <f t="shared" ca="1" si="55"/>
        <v>2</v>
      </c>
      <c r="N426" s="822">
        <f t="shared" ca="1" si="56"/>
        <v>2</v>
      </c>
      <c r="O426" s="822">
        <f t="shared" ca="1" si="57"/>
        <v>2</v>
      </c>
      <c r="P426" s="822">
        <f t="shared" ca="1" si="58"/>
        <v>2</v>
      </c>
      <c r="Q426" s="822">
        <f t="shared" ca="1" si="59"/>
        <v>2</v>
      </c>
    </row>
    <row r="427" spans="2:18" s="4" customFormat="1" ht="12.75" customHeight="1">
      <c r="B427" s="3" t="str">
        <f t="shared" si="54"/>
        <v>New Subordinated Notes</v>
      </c>
      <c r="C427" s="3"/>
      <c r="D427" s="3"/>
      <c r="E427" s="955"/>
      <c r="F427" s="3"/>
      <c r="G427" s="3"/>
      <c r="H427" s="3"/>
      <c r="I427" s="3"/>
      <c r="J427" s="3"/>
      <c r="K427" s="3"/>
      <c r="L427" s="822">
        <f>L393*L451</f>
        <v>0</v>
      </c>
      <c r="M427" s="822">
        <f t="shared" si="55"/>
        <v>0</v>
      </c>
      <c r="N427" s="822">
        <f t="shared" si="56"/>
        <v>0</v>
      </c>
      <c r="O427" s="822">
        <f t="shared" si="57"/>
        <v>0</v>
      </c>
      <c r="P427" s="822">
        <f t="shared" si="58"/>
        <v>0</v>
      </c>
      <c r="Q427" s="822">
        <f t="shared" si="59"/>
        <v>0</v>
      </c>
    </row>
    <row r="428" spans="2:18" s="4" customFormat="1" ht="12.75" customHeight="1">
      <c r="B428" s="3" t="str">
        <f t="shared" si="54"/>
        <v>Existing Term Loan</v>
      </c>
      <c r="C428" s="3"/>
      <c r="D428" s="3"/>
      <c r="E428" s="958"/>
      <c r="F428" s="3"/>
      <c r="G428" s="3"/>
      <c r="H428" s="3"/>
      <c r="I428" s="3"/>
      <c r="J428" s="3"/>
      <c r="K428" s="3"/>
      <c r="L428" s="822">
        <f t="shared" si="55"/>
        <v>0</v>
      </c>
      <c r="M428" s="822">
        <f t="shared" si="55"/>
        <v>0</v>
      </c>
      <c r="N428" s="822">
        <f t="shared" si="56"/>
        <v>0</v>
      </c>
      <c r="O428" s="822">
        <f t="shared" si="57"/>
        <v>0</v>
      </c>
      <c r="P428" s="822">
        <f t="shared" si="58"/>
        <v>0</v>
      </c>
      <c r="Q428" s="822">
        <f t="shared" si="59"/>
        <v>0</v>
      </c>
    </row>
    <row r="429" spans="2:18" s="4" customFormat="1" ht="12.75" customHeight="1">
      <c r="B429" s="3" t="str">
        <f t="shared" si="54"/>
        <v>Existing Senior Notes</v>
      </c>
      <c r="C429" s="3"/>
      <c r="D429" s="3"/>
      <c r="E429" s="958"/>
      <c r="F429" s="3"/>
      <c r="G429" s="3"/>
      <c r="H429" s="3"/>
      <c r="I429" s="3"/>
      <c r="J429" s="3"/>
      <c r="K429" s="3"/>
      <c r="L429" s="822">
        <f t="shared" si="55"/>
        <v>0</v>
      </c>
      <c r="M429" s="822">
        <f t="shared" si="55"/>
        <v>0</v>
      </c>
      <c r="N429" s="822">
        <f t="shared" si="56"/>
        <v>0</v>
      </c>
      <c r="O429" s="822">
        <f t="shared" si="57"/>
        <v>0</v>
      </c>
      <c r="P429" s="822">
        <f t="shared" si="58"/>
        <v>0</v>
      </c>
      <c r="Q429" s="822">
        <f t="shared" si="59"/>
        <v>0</v>
      </c>
    </row>
    <row r="430" spans="2:18" s="4" customFormat="1" ht="12.75" customHeight="1">
      <c r="B430" s="3" t="str">
        <f t="shared" si="54"/>
        <v>Existing Subordinated Notes</v>
      </c>
      <c r="C430" s="3"/>
      <c r="D430" s="3"/>
      <c r="E430" s="958"/>
      <c r="F430" s="3"/>
      <c r="G430" s="3"/>
      <c r="H430" s="3"/>
      <c r="I430" s="3"/>
      <c r="J430" s="3"/>
      <c r="K430" s="3"/>
      <c r="L430" s="822">
        <f t="shared" si="55"/>
        <v>0</v>
      </c>
      <c r="M430" s="822">
        <f t="shared" si="55"/>
        <v>0</v>
      </c>
      <c r="N430" s="822">
        <f t="shared" si="56"/>
        <v>0</v>
      </c>
      <c r="O430" s="822">
        <f t="shared" si="57"/>
        <v>0</v>
      </c>
      <c r="P430" s="822">
        <f t="shared" si="58"/>
        <v>0</v>
      </c>
      <c r="Q430" s="822">
        <f t="shared" si="59"/>
        <v>0</v>
      </c>
    </row>
    <row r="431" spans="2:18" s="4" customFormat="1" ht="12.75" customHeight="1">
      <c r="B431" s="3" t="s">
        <v>527</v>
      </c>
      <c r="C431" s="3"/>
      <c r="D431" s="3"/>
      <c r="E431" s="958"/>
      <c r="F431" s="3"/>
      <c r="G431" s="3"/>
      <c r="H431" s="3"/>
      <c r="I431" s="3"/>
      <c r="J431" s="3"/>
      <c r="K431" s="3"/>
      <c r="L431" s="32">
        <f ca="1">+M431</f>
        <v>1.2025000000000001</v>
      </c>
      <c r="M431" s="32">
        <f ca="1">SUM(M349:M350)</f>
        <v>1.2025000000000001</v>
      </c>
      <c r="N431" s="32">
        <f ca="1">SUM(N349:N350)</f>
        <v>1.2025000000000001</v>
      </c>
      <c r="O431" s="32">
        <f ca="1">SUM(O349:O350)</f>
        <v>1.2025000000000001</v>
      </c>
      <c r="P431" s="32">
        <f ca="1">SUM(P349:P350)</f>
        <v>1.2025000000000001</v>
      </c>
      <c r="Q431" s="32">
        <f ca="1">SUM(Q349:Q350)</f>
        <v>1.2025000000000001</v>
      </c>
    </row>
    <row r="432" spans="2:18" s="4" customFormat="1" ht="12.75" customHeight="1">
      <c r="B432" s="109" t="str">
        <f>'Acq Proj'!B150</f>
        <v>Other</v>
      </c>
      <c r="C432" s="3"/>
      <c r="D432" s="3"/>
      <c r="E432" s="958"/>
      <c r="F432" s="3"/>
      <c r="G432" s="3"/>
      <c r="H432" s="3"/>
      <c r="I432" s="3"/>
      <c r="J432" s="3"/>
      <c r="K432" s="3"/>
      <c r="L432" s="925">
        <f>'Acq Proj'!L150</f>
        <v>0</v>
      </c>
      <c r="M432" s="925">
        <f>'Acq Proj'!M150</f>
        <v>0</v>
      </c>
      <c r="N432" s="925">
        <f>'Acq Proj'!N150</f>
        <v>0</v>
      </c>
      <c r="O432" s="925">
        <f>'Acq Proj'!O150</f>
        <v>0</v>
      </c>
      <c r="P432" s="925">
        <f>'Acq Proj'!P150</f>
        <v>0</v>
      </c>
      <c r="Q432" s="925">
        <f>'Acq Proj'!Q150</f>
        <v>0</v>
      </c>
    </row>
    <row r="433" spans="1:17" s="4" customFormat="1" ht="12.75" customHeight="1">
      <c r="B433" s="151" t="s">
        <v>92</v>
      </c>
      <c r="C433" s="3"/>
      <c r="D433" s="3"/>
      <c r="E433" s="958"/>
      <c r="F433" s="3"/>
      <c r="G433" s="3"/>
      <c r="H433" s="3"/>
      <c r="I433" s="3"/>
      <c r="J433" s="3"/>
      <c r="K433" s="3"/>
      <c r="L433" s="757">
        <f t="shared" ref="L433:Q433" ca="1" si="60">SUM(L423:L432)</f>
        <v>7.104750000000001</v>
      </c>
      <c r="M433" s="757">
        <f t="shared" ca="1" si="60"/>
        <v>5.7780925954487454</v>
      </c>
      <c r="N433" s="757">
        <f t="shared" ca="1" si="60"/>
        <v>3.944972149846286</v>
      </c>
      <c r="O433" s="757">
        <f t="shared" ca="1" si="60"/>
        <v>3.2025000000000001</v>
      </c>
      <c r="P433" s="757">
        <f t="shared" ca="1" si="60"/>
        <v>3.2025000000000001</v>
      </c>
      <c r="Q433" s="757">
        <f t="shared" ca="1" si="60"/>
        <v>3.2025000000000001</v>
      </c>
    </row>
    <row r="434" spans="1:17" s="4" customFormat="1" ht="12.75" customHeight="1">
      <c r="B434" s="109" t="str">
        <f>'Acq Proj'!B152</f>
        <v>Interest Income</v>
      </c>
      <c r="C434" s="3"/>
      <c r="D434" s="3"/>
      <c r="E434" s="958"/>
      <c r="F434" s="3"/>
      <c r="G434" s="3"/>
      <c r="H434" s="3"/>
      <c r="I434" s="3"/>
      <c r="J434" s="3"/>
      <c r="K434" s="3"/>
      <c r="L434" s="917">
        <f t="shared" ref="L434:Q434" ca="1" si="61">-AVERAGE(K313:L313)*L455</f>
        <v>-0.23948372779656574</v>
      </c>
      <c r="M434" s="917">
        <f t="shared" ca="1" si="61"/>
        <v>-0.11730269307434341</v>
      </c>
      <c r="N434" s="917">
        <f t="shared" ca="1" si="61"/>
        <v>-0.13823288813321891</v>
      </c>
      <c r="O434" s="917">
        <f t="shared" ca="1" si="61"/>
        <v>-0.28879801921262999</v>
      </c>
      <c r="P434" s="917">
        <f t="shared" ca="1" si="61"/>
        <v>-0.52751200586286973</v>
      </c>
      <c r="Q434" s="917">
        <f t="shared" ca="1" si="61"/>
        <v>-0.79441555989866175</v>
      </c>
    </row>
    <row r="435" spans="1:17" s="4" customFormat="1" ht="12.75" customHeight="1">
      <c r="B435" s="151" t="s">
        <v>75</v>
      </c>
      <c r="C435" s="3"/>
      <c r="D435" s="3"/>
      <c r="E435" s="3"/>
      <c r="F435" s="3"/>
      <c r="G435" s="3"/>
      <c r="H435" s="3"/>
      <c r="I435" s="3"/>
      <c r="J435" s="3"/>
      <c r="K435" s="3"/>
      <c r="L435" s="757">
        <f t="shared" ref="L435:Q435" ca="1" si="62">SUM(L433:L434)</f>
        <v>6.865266272203435</v>
      </c>
      <c r="M435" s="757">
        <f t="shared" ca="1" si="62"/>
        <v>5.6607899023744022</v>
      </c>
      <c r="N435" s="757">
        <f t="shared" ca="1" si="62"/>
        <v>3.8067392617130671</v>
      </c>
      <c r="O435" s="757">
        <f t="shared" ca="1" si="62"/>
        <v>2.9137019807873701</v>
      </c>
      <c r="P435" s="757">
        <f t="shared" ca="1" si="62"/>
        <v>2.6749879941371306</v>
      </c>
      <c r="Q435" s="757">
        <f t="shared" ca="1" si="62"/>
        <v>2.4080844401013382</v>
      </c>
    </row>
    <row r="436" spans="1:17" s="4" customFormat="1">
      <c r="N436" s="236"/>
      <c r="O436" s="236"/>
      <c r="P436" s="236"/>
      <c r="Q436" s="236"/>
    </row>
    <row r="437" spans="1:17" s="4" customFormat="1" ht="15.95" customHeight="1" collapsed="1" thickBot="1">
      <c r="A437" s="4" t="s">
        <v>167</v>
      </c>
      <c r="B437" s="459" t="s">
        <v>468</v>
      </c>
      <c r="C437" s="459"/>
      <c r="D437" s="666"/>
      <c r="E437" s="666"/>
      <c r="F437" s="666"/>
      <c r="G437" s="666"/>
      <c r="H437" s="666"/>
      <c r="I437" s="666"/>
      <c r="J437" s="666"/>
      <c r="K437" s="666"/>
      <c r="L437" s="666"/>
      <c r="M437" s="666"/>
      <c r="N437" s="666"/>
      <c r="O437" s="667"/>
      <c r="P437" s="667"/>
      <c r="Q437" s="667"/>
    </row>
    <row r="438" spans="1:17" s="4" customFormat="1" ht="15" customHeight="1">
      <c r="B438" s="640" t="str">
        <f>$B$160</f>
        <v>Fiscal Year Ended December 31,</v>
      </c>
      <c r="C438" s="640"/>
      <c r="D438" s="640"/>
      <c r="E438" s="640"/>
      <c r="F438" s="640"/>
      <c r="G438" s="640"/>
      <c r="H438" s="640"/>
      <c r="I438" s="959"/>
      <c r="J438" s="959"/>
      <c r="K438" s="959"/>
      <c r="L438" s="949">
        <f>M438-1</f>
        <v>2019</v>
      </c>
      <c r="M438" s="960">
        <f>M$12</f>
        <v>2020</v>
      </c>
      <c r="N438" s="960">
        <f>+M438+1</f>
        <v>2021</v>
      </c>
      <c r="O438" s="960">
        <f>+N438+1</f>
        <v>2022</v>
      </c>
      <c r="P438" s="960">
        <f>+O438+1</f>
        <v>2023</v>
      </c>
      <c r="Q438" s="960">
        <f>+P438+1</f>
        <v>2024</v>
      </c>
    </row>
    <row r="439" spans="1:17" s="4" customFormat="1" ht="15" customHeight="1">
      <c r="B439" s="139" t="s">
        <v>453</v>
      </c>
      <c r="C439" s="3"/>
      <c r="D439" s="3"/>
      <c r="E439" s="3"/>
      <c r="F439" s="3"/>
      <c r="G439" s="3"/>
      <c r="H439" s="3"/>
      <c r="I439" s="3"/>
      <c r="J439" s="200"/>
      <c r="K439" s="200"/>
      <c r="L439" s="200"/>
      <c r="M439" s="200"/>
      <c r="N439" s="200"/>
      <c r="O439" s="200"/>
      <c r="P439" s="200"/>
      <c r="Q439" s="200"/>
    </row>
    <row r="440" spans="1:17" s="4" customFormat="1" ht="12.75" customHeight="1">
      <c r="B440" s="3" t="s">
        <v>454</v>
      </c>
      <c r="C440" s="3"/>
      <c r="D440" s="3"/>
      <c r="E440" s="3"/>
      <c r="F440" s="3"/>
      <c r="G440" s="3"/>
      <c r="H440" s="3"/>
      <c r="I440" s="3"/>
      <c r="J440" s="200"/>
      <c r="K440" s="200"/>
      <c r="L440" s="961">
        <f>'Acq Proj'!L158</f>
        <v>260</v>
      </c>
      <c r="M440" s="961">
        <f>'Acq Proj'!M158</f>
        <v>260</v>
      </c>
      <c r="N440" s="961">
        <f>'Acq Proj'!N158</f>
        <v>270</v>
      </c>
      <c r="O440" s="961">
        <f>'Acq Proj'!O158</f>
        <v>280</v>
      </c>
      <c r="P440" s="961">
        <f>'Acq Proj'!P158</f>
        <v>290</v>
      </c>
      <c r="Q440" s="961">
        <f>'Acq Proj'!Q158</f>
        <v>300</v>
      </c>
    </row>
    <row r="441" spans="1:17" s="4" customFormat="1" ht="12.75" customHeight="1">
      <c r="B441" s="3" t="s">
        <v>455</v>
      </c>
      <c r="C441" s="3"/>
      <c r="D441" s="3"/>
      <c r="E441" s="3"/>
      <c r="F441" s="3"/>
      <c r="G441" s="3"/>
      <c r="H441" s="3"/>
      <c r="I441" s="3"/>
      <c r="J441" s="200"/>
      <c r="K441" s="200"/>
      <c r="L441" s="961">
        <f>'Acq Proj'!L159</f>
        <v>260</v>
      </c>
      <c r="M441" s="961">
        <f>'Acq Proj'!M159</f>
        <v>265</v>
      </c>
      <c r="N441" s="961">
        <f>'Acq Proj'!N159</f>
        <v>275</v>
      </c>
      <c r="O441" s="961">
        <f>'Acq Proj'!O159</f>
        <v>285</v>
      </c>
      <c r="P441" s="961">
        <f>'Acq Proj'!P159</f>
        <v>295</v>
      </c>
      <c r="Q441" s="961">
        <f>'Acq Proj'!Q159</f>
        <v>305</v>
      </c>
    </row>
    <row r="442" spans="1:17" s="4" customFormat="1" ht="12.75" customHeight="1">
      <c r="B442" s="3" t="s">
        <v>456</v>
      </c>
      <c r="C442" s="3"/>
      <c r="D442" s="3"/>
      <c r="E442" s="3"/>
      <c r="F442" s="3"/>
      <c r="G442" s="3"/>
      <c r="H442" s="3"/>
      <c r="I442" s="3"/>
      <c r="J442" s="200"/>
      <c r="K442" s="200"/>
      <c r="L442" s="961">
        <f>'Acq Proj'!L160</f>
        <v>260</v>
      </c>
      <c r="M442" s="961">
        <f>'Acq Proj'!M160</f>
        <v>270</v>
      </c>
      <c r="N442" s="961">
        <f>'Acq Proj'!N160</f>
        <v>280</v>
      </c>
      <c r="O442" s="961">
        <f>'Acq Proj'!O160</f>
        <v>290</v>
      </c>
      <c r="P442" s="961">
        <f>'Acq Proj'!P160</f>
        <v>300</v>
      </c>
      <c r="Q442" s="961">
        <f>'Acq Proj'!Q160</f>
        <v>310</v>
      </c>
    </row>
    <row r="443" spans="1:17" s="4" customFormat="1" ht="12.75" customHeight="1">
      <c r="B443" s="151" t="s">
        <v>457</v>
      </c>
      <c r="C443" s="3"/>
      <c r="D443" s="3"/>
      <c r="E443" s="3"/>
      <c r="F443" s="3"/>
      <c r="G443" s="3"/>
      <c r="H443" s="3"/>
      <c r="I443" s="3"/>
      <c r="J443" s="200"/>
      <c r="K443" s="200"/>
      <c r="L443" s="962">
        <f t="shared" ref="L443:Q443" si="63">AVERAGE(L440:L442)</f>
        <v>260</v>
      </c>
      <c r="M443" s="962">
        <f t="shared" si="63"/>
        <v>265</v>
      </c>
      <c r="N443" s="962">
        <f t="shared" si="63"/>
        <v>275</v>
      </c>
      <c r="O443" s="962">
        <f t="shared" si="63"/>
        <v>285</v>
      </c>
      <c r="P443" s="962">
        <f t="shared" si="63"/>
        <v>295</v>
      </c>
      <c r="Q443" s="963">
        <f t="shared" si="63"/>
        <v>305</v>
      </c>
    </row>
    <row r="444" spans="1:17" s="4" customFormat="1" ht="12.75" customHeight="1">
      <c r="B444" s="151"/>
      <c r="C444" s="3"/>
      <c r="D444" s="3"/>
      <c r="E444" s="3"/>
      <c r="F444" s="3"/>
      <c r="G444" s="3"/>
      <c r="H444" s="3"/>
      <c r="I444" s="3"/>
      <c r="J444" s="200"/>
      <c r="K444" s="200"/>
      <c r="L444" s="200"/>
      <c r="M444" s="200"/>
      <c r="N444" s="200"/>
      <c r="O444" s="200"/>
      <c r="P444" s="200"/>
      <c r="Q444" s="200"/>
    </row>
    <row r="445" spans="1:17" s="4" customFormat="1" ht="12.75" customHeight="1">
      <c r="B445" s="151"/>
      <c r="C445" s="3"/>
      <c r="D445" s="3"/>
      <c r="E445" s="142" t="s">
        <v>466</v>
      </c>
      <c r="F445" s="3"/>
      <c r="G445" s="363" t="s">
        <v>460</v>
      </c>
      <c r="H445" s="363"/>
      <c r="I445" s="3"/>
      <c r="J445" s="200"/>
      <c r="K445" s="200"/>
      <c r="L445" s="200"/>
      <c r="M445" s="200"/>
      <c r="N445" s="200"/>
      <c r="O445" s="200"/>
      <c r="P445" s="200"/>
      <c r="Q445" s="200"/>
    </row>
    <row r="446" spans="1:17" s="4" customFormat="1" ht="12.75" customHeight="1">
      <c r="B446" s="379" t="s">
        <v>458</v>
      </c>
      <c r="C446" s="3"/>
      <c r="D446" s="3"/>
      <c r="E446" s="142" t="s">
        <v>463</v>
      </c>
      <c r="F446" s="104" t="s">
        <v>467</v>
      </c>
      <c r="G446" s="104" t="s">
        <v>461</v>
      </c>
      <c r="H446" s="104" t="s">
        <v>462</v>
      </c>
      <c r="I446" s="3"/>
      <c r="J446" s="200"/>
      <c r="K446" s="200"/>
      <c r="L446" s="200"/>
      <c r="M446" s="200"/>
      <c r="N446" s="200"/>
      <c r="O446" s="200"/>
      <c r="P446" s="200"/>
      <c r="Q446" s="200"/>
    </row>
    <row r="447" spans="1:17" s="4" customFormat="1" ht="12.75" customHeight="1">
      <c r="B447" s="160" t="str">
        <f t="shared" ref="B447:B454" si="64">+B423</f>
        <v>$250mm Revolver</v>
      </c>
      <c r="C447" s="3"/>
      <c r="D447" s="3"/>
      <c r="E447" s="964" t="str">
        <f>+U39</f>
        <v>L</v>
      </c>
      <c r="F447" s="965">
        <f>+V39</f>
        <v>0</v>
      </c>
      <c r="G447" s="962">
        <f>+W39</f>
        <v>250</v>
      </c>
      <c r="H447" s="963">
        <f>+X39</f>
        <v>0</v>
      </c>
      <c r="I447" s="3"/>
      <c r="J447" s="200"/>
      <c r="K447" s="200"/>
      <c r="L447" s="870">
        <f t="shared" ref="L447:M450" si="65">IF($E447="F",$F447,(MAX(L$443,$H447)+$G447)/10000)</f>
        <v>5.0999999999999997E-2</v>
      </c>
      <c r="M447" s="870">
        <f t="shared" si="65"/>
        <v>5.1499999999999997E-2</v>
      </c>
      <c r="N447" s="870">
        <f t="shared" ref="N447:Q455" si="66">IF($E447="F",$F447,(MAX(N$443,$H447)+$G447)/10000)</f>
        <v>5.2499999999999998E-2</v>
      </c>
      <c r="O447" s="870">
        <f t="shared" si="66"/>
        <v>5.3499999999999999E-2</v>
      </c>
      <c r="P447" s="870">
        <f t="shared" si="66"/>
        <v>5.45E-2</v>
      </c>
      <c r="Q447" s="870">
        <f t="shared" si="66"/>
        <v>5.5500000000000001E-2</v>
      </c>
    </row>
    <row r="448" spans="1:17" s="4" customFormat="1" ht="12.75" customHeight="1">
      <c r="B448" s="160" t="str">
        <f t="shared" si="64"/>
        <v>Undrawn Revolver Fee</v>
      </c>
      <c r="C448" s="3"/>
      <c r="D448" s="3"/>
      <c r="E448" s="966" t="str">
        <f>'Acq Proj'!E166</f>
        <v>F</v>
      </c>
      <c r="F448" s="967">
        <f>'Acq Proj'!F166</f>
        <v>0</v>
      </c>
      <c r="G448" s="961">
        <f>'Acq Proj'!G166</f>
        <v>25</v>
      </c>
      <c r="H448" s="961">
        <f>'Acq Proj'!H166</f>
        <v>0.02</v>
      </c>
      <c r="I448" s="3"/>
      <c r="J448" s="200"/>
      <c r="K448" s="200"/>
      <c r="L448" s="870">
        <f t="shared" si="65"/>
        <v>0</v>
      </c>
      <c r="M448" s="870">
        <f t="shared" si="65"/>
        <v>0</v>
      </c>
      <c r="N448" s="870">
        <f t="shared" si="66"/>
        <v>0</v>
      </c>
      <c r="O448" s="870">
        <f t="shared" si="66"/>
        <v>0</v>
      </c>
      <c r="P448" s="870">
        <f t="shared" si="66"/>
        <v>0</v>
      </c>
      <c r="Q448" s="870">
        <f t="shared" si="66"/>
        <v>0</v>
      </c>
    </row>
    <row r="449" spans="1:17" s="4" customFormat="1" ht="12.75" customHeight="1">
      <c r="B449" s="160" t="str">
        <f t="shared" si="64"/>
        <v>New Term Loan</v>
      </c>
      <c r="C449" s="3"/>
      <c r="D449" s="3"/>
      <c r="E449" s="142" t="str">
        <f t="shared" ref="E449:H451" si="67">+U40</f>
        <v>L</v>
      </c>
      <c r="F449" s="870">
        <f t="shared" si="67"/>
        <v>0</v>
      </c>
      <c r="G449" s="968">
        <f t="shared" si="67"/>
        <v>350</v>
      </c>
      <c r="H449" s="968">
        <f t="shared" si="67"/>
        <v>0.02</v>
      </c>
      <c r="I449" s="3"/>
      <c r="J449" s="200"/>
      <c r="K449" s="200"/>
      <c r="L449" s="870">
        <f t="shared" si="65"/>
        <v>6.0999999999999999E-2</v>
      </c>
      <c r="M449" s="870">
        <f t="shared" si="65"/>
        <v>6.1499999999999999E-2</v>
      </c>
      <c r="N449" s="870">
        <f t="shared" si="66"/>
        <v>6.25E-2</v>
      </c>
      <c r="O449" s="870">
        <f t="shared" si="66"/>
        <v>6.3500000000000001E-2</v>
      </c>
      <c r="P449" s="870">
        <f t="shared" si="66"/>
        <v>6.4500000000000002E-2</v>
      </c>
      <c r="Q449" s="870">
        <f t="shared" si="66"/>
        <v>6.5500000000000003E-2</v>
      </c>
    </row>
    <row r="450" spans="1:17" s="4" customFormat="1" ht="12.75" customHeight="1">
      <c r="B450" s="160" t="str">
        <f t="shared" si="64"/>
        <v>New Senior Notes</v>
      </c>
      <c r="C450" s="3"/>
      <c r="D450" s="3"/>
      <c r="E450" s="142" t="str">
        <f t="shared" si="67"/>
        <v>F</v>
      </c>
      <c r="F450" s="870">
        <f t="shared" si="67"/>
        <v>0.05</v>
      </c>
      <c r="G450" s="968">
        <f t="shared" si="67"/>
        <v>0</v>
      </c>
      <c r="H450" s="968">
        <f t="shared" si="67"/>
        <v>0</v>
      </c>
      <c r="I450" s="3"/>
      <c r="J450" s="200"/>
      <c r="K450" s="200"/>
      <c r="L450" s="870">
        <f t="shared" si="65"/>
        <v>0.05</v>
      </c>
      <c r="M450" s="870">
        <f t="shared" si="65"/>
        <v>0.05</v>
      </c>
      <c r="N450" s="870">
        <f t="shared" si="66"/>
        <v>0.05</v>
      </c>
      <c r="O450" s="870">
        <f t="shared" si="66"/>
        <v>0.05</v>
      </c>
      <c r="P450" s="870">
        <f t="shared" si="66"/>
        <v>0.05</v>
      </c>
      <c r="Q450" s="870">
        <f t="shared" si="66"/>
        <v>0.05</v>
      </c>
    </row>
    <row r="451" spans="1:17" s="4" customFormat="1" ht="12.75" customHeight="1">
      <c r="B451" s="160" t="str">
        <f t="shared" si="64"/>
        <v>New Subordinated Notes</v>
      </c>
      <c r="C451" s="3"/>
      <c r="D451" s="3"/>
      <c r="E451" s="142" t="str">
        <f t="shared" si="67"/>
        <v>F</v>
      </c>
      <c r="F451" s="870">
        <f t="shared" si="67"/>
        <v>0.08</v>
      </c>
      <c r="G451" s="968">
        <f t="shared" si="67"/>
        <v>0</v>
      </c>
      <c r="H451" s="968">
        <f t="shared" si="67"/>
        <v>0</v>
      </c>
      <c r="I451" s="3"/>
      <c r="J451" s="200"/>
      <c r="K451" s="200"/>
      <c r="L451" s="870">
        <f t="shared" ref="L451:M455" si="68">IF($E451="F",$F451,(MAX(L$443,$H451)+$G451)/10000)</f>
        <v>0.08</v>
      </c>
      <c r="M451" s="870">
        <f t="shared" si="68"/>
        <v>0.08</v>
      </c>
      <c r="N451" s="870">
        <f t="shared" si="66"/>
        <v>0.08</v>
      </c>
      <c r="O451" s="870">
        <f t="shared" si="66"/>
        <v>0.08</v>
      </c>
      <c r="P451" s="870">
        <f t="shared" si="66"/>
        <v>0.08</v>
      </c>
      <c r="Q451" s="870">
        <f t="shared" si="66"/>
        <v>0.08</v>
      </c>
    </row>
    <row r="452" spans="1:17" s="4" customFormat="1" ht="12.75" customHeight="1">
      <c r="B452" s="160" t="str">
        <f t="shared" si="64"/>
        <v>Existing Term Loan</v>
      </c>
      <c r="C452" s="3"/>
      <c r="D452" s="3"/>
      <c r="E452" s="966" t="str">
        <f>'Acq Proj'!E167</f>
        <v>L</v>
      </c>
      <c r="F452" s="967">
        <f>'Acq Proj'!F167</f>
        <v>0</v>
      </c>
      <c r="G452" s="961">
        <f>'Acq Proj'!G167</f>
        <v>400</v>
      </c>
      <c r="H452" s="961">
        <f>'Acq Proj'!H167</f>
        <v>100</v>
      </c>
      <c r="I452" s="3"/>
      <c r="J452" s="200"/>
      <c r="K452" s="200"/>
      <c r="L452" s="870">
        <f t="shared" si="68"/>
        <v>6.6000000000000003E-2</v>
      </c>
      <c r="M452" s="870">
        <f t="shared" si="68"/>
        <v>6.6500000000000004E-2</v>
      </c>
      <c r="N452" s="870">
        <f t="shared" si="66"/>
        <v>6.7500000000000004E-2</v>
      </c>
      <c r="O452" s="870">
        <f t="shared" si="66"/>
        <v>6.8500000000000005E-2</v>
      </c>
      <c r="P452" s="870">
        <f t="shared" si="66"/>
        <v>6.9500000000000006E-2</v>
      </c>
      <c r="Q452" s="870">
        <f t="shared" si="66"/>
        <v>7.0499999999999993E-2</v>
      </c>
    </row>
    <row r="453" spans="1:17" s="4" customFormat="1" ht="12.75" customHeight="1">
      <c r="B453" s="160" t="str">
        <f t="shared" si="64"/>
        <v>Existing Senior Notes</v>
      </c>
      <c r="C453" s="3"/>
      <c r="D453" s="3"/>
      <c r="E453" s="966" t="str">
        <f>'Acq Proj'!E168</f>
        <v>F</v>
      </c>
      <c r="F453" s="967">
        <f>'Acq Proj'!F168</f>
        <v>0.05</v>
      </c>
      <c r="G453" s="961">
        <f>'Acq Proj'!G168</f>
        <v>0</v>
      </c>
      <c r="H453" s="961">
        <f>'Acq Proj'!H168</f>
        <v>0</v>
      </c>
      <c r="I453" s="3"/>
      <c r="J453" s="200"/>
      <c r="K453" s="200"/>
      <c r="L453" s="870">
        <f t="shared" si="68"/>
        <v>0.05</v>
      </c>
      <c r="M453" s="870">
        <f t="shared" si="68"/>
        <v>0.05</v>
      </c>
      <c r="N453" s="870">
        <f t="shared" si="66"/>
        <v>0.05</v>
      </c>
      <c r="O453" s="870">
        <f t="shared" si="66"/>
        <v>0.05</v>
      </c>
      <c r="P453" s="870">
        <f t="shared" si="66"/>
        <v>0.05</v>
      </c>
      <c r="Q453" s="870">
        <f t="shared" si="66"/>
        <v>0.05</v>
      </c>
    </row>
    <row r="454" spans="1:17" s="4" customFormat="1" ht="12.75" customHeight="1">
      <c r="B454" s="160" t="str">
        <f t="shared" si="64"/>
        <v>Existing Subordinated Notes</v>
      </c>
      <c r="C454" s="3"/>
      <c r="D454" s="3"/>
      <c r="E454" s="966" t="str">
        <f>'Acq Proj'!E169</f>
        <v>F</v>
      </c>
      <c r="F454" s="967">
        <f>'Acq Proj'!F169</f>
        <v>0.08</v>
      </c>
      <c r="G454" s="961">
        <f>'Acq Proj'!G169</f>
        <v>0</v>
      </c>
      <c r="H454" s="961">
        <f>'Acq Proj'!H169</f>
        <v>0.02</v>
      </c>
      <c r="I454" s="3"/>
      <c r="J454" s="200"/>
      <c r="K454" s="200"/>
      <c r="L454" s="870">
        <f t="shared" si="68"/>
        <v>0.08</v>
      </c>
      <c r="M454" s="870">
        <f t="shared" si="68"/>
        <v>0.08</v>
      </c>
      <c r="N454" s="870">
        <f t="shared" si="66"/>
        <v>0.08</v>
      </c>
      <c r="O454" s="870">
        <f t="shared" si="66"/>
        <v>0.08</v>
      </c>
      <c r="P454" s="870">
        <f t="shared" si="66"/>
        <v>0.08</v>
      </c>
      <c r="Q454" s="870">
        <f t="shared" si="66"/>
        <v>0.08</v>
      </c>
    </row>
    <row r="455" spans="1:17" s="4" customFormat="1" ht="12.75" customHeight="1">
      <c r="B455" s="160" t="str">
        <f>+B434</f>
        <v>Interest Income</v>
      </c>
      <c r="C455" s="3"/>
      <c r="D455" s="3"/>
      <c r="E455" s="966" t="str">
        <f>'Acq Proj'!E170</f>
        <v>F</v>
      </c>
      <c r="F455" s="967">
        <f>'Acq Proj'!F170</f>
        <v>5.0000000000000001E-3</v>
      </c>
      <c r="G455" s="961">
        <f>'Acq Proj'!G170</f>
        <v>0</v>
      </c>
      <c r="H455" s="961">
        <f>'Acq Proj'!H170</f>
        <v>0.02</v>
      </c>
      <c r="I455" s="3"/>
      <c r="J455" s="200"/>
      <c r="K455" s="200"/>
      <c r="L455" s="870">
        <f t="shared" si="68"/>
        <v>5.0000000000000001E-3</v>
      </c>
      <c r="M455" s="870">
        <f t="shared" si="68"/>
        <v>5.0000000000000001E-3</v>
      </c>
      <c r="N455" s="870">
        <f t="shared" si="66"/>
        <v>5.0000000000000001E-3</v>
      </c>
      <c r="O455" s="870">
        <f t="shared" si="66"/>
        <v>5.0000000000000001E-3</v>
      </c>
      <c r="P455" s="870">
        <f t="shared" si="66"/>
        <v>5.0000000000000001E-3</v>
      </c>
      <c r="Q455" s="870">
        <f t="shared" si="66"/>
        <v>5.0000000000000001E-3</v>
      </c>
    </row>
    <row r="456" spans="1:17" s="4" customFormat="1" ht="12.75" customHeight="1">
      <c r="B456" s="3"/>
      <c r="C456" s="3"/>
      <c r="D456" s="3"/>
      <c r="E456" s="3"/>
      <c r="F456" s="3"/>
      <c r="G456" s="3"/>
      <c r="H456" s="3"/>
      <c r="I456" s="3"/>
      <c r="J456" s="200"/>
      <c r="K456" s="200"/>
      <c r="L456" s="200"/>
      <c r="M456" s="200"/>
      <c r="N456" s="200"/>
      <c r="O456" s="200"/>
      <c r="P456" s="200"/>
      <c r="Q456" s="200"/>
    </row>
    <row r="457" spans="1:17" s="4" customFormat="1" ht="15.95" customHeight="1" collapsed="1" thickBot="1">
      <c r="A457" s="4" t="s">
        <v>167</v>
      </c>
      <c r="B457" s="459" t="s">
        <v>528</v>
      </c>
      <c r="C457" s="459"/>
      <c r="D457" s="666"/>
      <c r="E457" s="666"/>
      <c r="F457" s="666"/>
      <c r="G457" s="666"/>
      <c r="H457" s="666"/>
      <c r="I457" s="666"/>
      <c r="J457" s="666"/>
      <c r="K457" s="666"/>
      <c r="L457" s="666"/>
      <c r="M457" s="666"/>
      <c r="N457" s="666"/>
      <c r="O457" s="667"/>
      <c r="P457" s="667"/>
      <c r="Q457" s="667"/>
    </row>
    <row r="458" spans="1:17" s="4" customFormat="1" ht="15" customHeight="1">
      <c r="B458" s="640" t="str">
        <f>$B$160</f>
        <v>Fiscal Year Ended December 31,</v>
      </c>
      <c r="C458" s="640"/>
      <c r="D458" s="640"/>
      <c r="E458" s="640"/>
      <c r="F458" s="640"/>
      <c r="G458" s="640"/>
      <c r="H458" s="640"/>
      <c r="I458" s="959"/>
      <c r="J458" s="959"/>
      <c r="K458" s="959"/>
      <c r="L458" s="959"/>
      <c r="M458" s="960">
        <f>M$12</f>
        <v>2020</v>
      </c>
      <c r="N458" s="960">
        <f>+M458+1</f>
        <v>2021</v>
      </c>
      <c r="O458" s="960">
        <f>+N458+1</f>
        <v>2022</v>
      </c>
      <c r="P458" s="960">
        <f>+O458+1</f>
        <v>2023</v>
      </c>
      <c r="Q458" s="960">
        <f>+P458+1</f>
        <v>2024</v>
      </c>
    </row>
    <row r="459" spans="1:17" s="4" customFormat="1" ht="15" customHeight="1">
      <c r="B459" s="3" t="s">
        <v>529</v>
      </c>
      <c r="C459" s="3"/>
      <c r="D459" s="3"/>
      <c r="E459" s="3"/>
      <c r="F459" s="3"/>
      <c r="G459" s="3"/>
      <c r="H459" s="3"/>
      <c r="I459" s="3"/>
      <c r="J459" s="200"/>
      <c r="K459" s="200"/>
      <c r="L459" s="200"/>
      <c r="M459" s="840">
        <f ca="1">+M270</f>
        <v>46.324993804356964</v>
      </c>
      <c r="N459" s="840">
        <f ca="1">+N270</f>
        <v>57.982890598864458</v>
      </c>
      <c r="O459" s="840">
        <f ca="1">+O270</f>
        <v>66.358876597738899</v>
      </c>
      <c r="P459" s="840">
        <f ca="1">+P270</f>
        <v>74.966654686953248</v>
      </c>
      <c r="Q459" s="840">
        <f ca="1">+Q270</f>
        <v>83.757833240989029</v>
      </c>
    </row>
    <row r="460" spans="1:17" s="4" customFormat="1" ht="12.75" customHeight="1">
      <c r="B460" s="3" t="s">
        <v>533</v>
      </c>
      <c r="C460" s="3"/>
      <c r="D460" s="3"/>
      <c r="E460" s="3"/>
      <c r="F460" s="3"/>
      <c r="G460" s="3"/>
      <c r="H460" s="3"/>
      <c r="I460" s="3"/>
      <c r="J460" s="200"/>
      <c r="K460" s="200"/>
      <c r="L460" s="780"/>
      <c r="M460" s="822">
        <f ca="1">+M265</f>
        <v>2.0142162932686287</v>
      </c>
      <c r="N460" s="822">
        <f ca="1">+N265</f>
        <v>2.0142162932686287</v>
      </c>
      <c r="O460" s="822">
        <f ca="1">+O265</f>
        <v>2.0142162932686287</v>
      </c>
      <c r="P460" s="822">
        <f ca="1">+P265</f>
        <v>2.0142162932686287</v>
      </c>
      <c r="Q460" s="822">
        <f ca="1">+Q265</f>
        <v>2.0142162932686287</v>
      </c>
    </row>
    <row r="461" spans="1:17" s="4" customFormat="1" ht="12.75" customHeight="1">
      <c r="B461" s="151" t="s">
        <v>530</v>
      </c>
      <c r="C461" s="3"/>
      <c r="D461" s="3"/>
      <c r="E461" s="3"/>
      <c r="F461" s="3"/>
      <c r="G461" s="3"/>
      <c r="H461" s="3"/>
      <c r="I461" s="3"/>
      <c r="J461" s="200"/>
      <c r="K461" s="200"/>
      <c r="L461" s="780"/>
      <c r="M461" s="863">
        <f ca="1">SUM(M459:M460)</f>
        <v>48.339210097625596</v>
      </c>
      <c r="N461" s="863">
        <f ca="1">SUM(N459:N460)</f>
        <v>59.99710689213309</v>
      </c>
      <c r="O461" s="863">
        <f ca="1">SUM(O459:O460)</f>
        <v>68.373092891007531</v>
      </c>
      <c r="P461" s="863">
        <f ca="1">SUM(P459:P460)</f>
        <v>76.98087098022188</v>
      </c>
      <c r="Q461" s="863">
        <f ca="1">SUM(Q459:Q460)</f>
        <v>85.772049534257661</v>
      </c>
    </row>
    <row r="462" spans="1:17" s="4" customFormat="1" ht="12.75" customHeight="1">
      <c r="B462" s="3"/>
      <c r="C462" s="3"/>
      <c r="D462" s="3"/>
      <c r="E462" s="3"/>
      <c r="F462" s="3"/>
      <c r="G462" s="3"/>
      <c r="H462" s="3"/>
      <c r="I462" s="3"/>
      <c r="J462" s="200"/>
      <c r="K462" s="200"/>
      <c r="L462" s="780"/>
      <c r="M462" s="969"/>
      <c r="N462" s="969"/>
      <c r="O462" s="969"/>
      <c r="P462" s="969"/>
      <c r="Q462" s="969"/>
    </row>
    <row r="463" spans="1:17" s="4" customFormat="1" ht="12.75" customHeight="1">
      <c r="B463" s="3" t="s">
        <v>531</v>
      </c>
      <c r="C463" s="3"/>
      <c r="D463" s="3"/>
      <c r="E463" s="3"/>
      <c r="F463" s="3"/>
      <c r="G463" s="3"/>
      <c r="H463" s="3"/>
      <c r="I463" s="3"/>
      <c r="J463" s="200"/>
      <c r="K463" s="200"/>
      <c r="L463" s="970"/>
      <c r="M463" s="840">
        <f ca="1">+M271</f>
        <v>11.581248451089241</v>
      </c>
      <c r="N463" s="840">
        <f ca="1">+N271</f>
        <v>14.495722649716114</v>
      </c>
      <c r="O463" s="840">
        <f ca="1">+O271</f>
        <v>16.589719149434725</v>
      </c>
      <c r="P463" s="840">
        <f ca="1">+P271</f>
        <v>18.741663671738312</v>
      </c>
      <c r="Q463" s="840">
        <f ca="1">+Q271</f>
        <v>20.939458310247257</v>
      </c>
    </row>
    <row r="464" spans="1:17" s="4" customFormat="1" ht="12.75" customHeight="1">
      <c r="B464" s="3" t="s">
        <v>532</v>
      </c>
      <c r="C464" s="3"/>
      <c r="D464" s="3"/>
      <c r="E464" s="3"/>
      <c r="F464" s="3"/>
      <c r="G464" s="3"/>
      <c r="H464" s="3"/>
      <c r="I464" s="3"/>
      <c r="J464" s="200"/>
      <c r="K464" s="200"/>
      <c r="L464" s="970"/>
      <c r="M464" s="822">
        <f ca="1">+M461*M286</f>
        <v>12.084802524406399</v>
      </c>
      <c r="N464" s="822">
        <f ca="1">+N461*N286</f>
        <v>14.999276723033272</v>
      </c>
      <c r="O464" s="822">
        <f ca="1">+O461*O286</f>
        <v>17.093273222751883</v>
      </c>
      <c r="P464" s="822">
        <f ca="1">+P461*P286</f>
        <v>19.24521774505547</v>
      </c>
      <c r="Q464" s="822">
        <f ca="1">+Q461*Q286</f>
        <v>21.443012383564415</v>
      </c>
    </row>
    <row r="465" spans="1:18" s="4" customFormat="1" ht="12.75" customHeight="1">
      <c r="B465" s="151" t="s">
        <v>526</v>
      </c>
      <c r="C465" s="3"/>
      <c r="D465" s="3"/>
      <c r="E465" s="3"/>
      <c r="F465" s="3"/>
      <c r="G465" s="3"/>
      <c r="H465" s="3"/>
      <c r="I465" s="3"/>
      <c r="J465" s="200"/>
      <c r="K465" s="200"/>
      <c r="L465" s="970"/>
      <c r="M465" s="863">
        <f ca="1">M463-M464</f>
        <v>-0.50355407331715796</v>
      </c>
      <c r="N465" s="863">
        <f ca="1">N463-N464</f>
        <v>-0.50355407331715796</v>
      </c>
      <c r="O465" s="863">
        <f ca="1">O463-O464</f>
        <v>-0.50355407331715796</v>
      </c>
      <c r="P465" s="863">
        <f ca="1">P463-P464</f>
        <v>-0.50355407331715796</v>
      </c>
      <c r="Q465" s="863">
        <f ca="1">Q463-Q464</f>
        <v>-0.50355407331715796</v>
      </c>
    </row>
    <row r="466" spans="1:18" s="4" customFormat="1" ht="12.75" customHeight="1">
      <c r="B466" s="151"/>
      <c r="C466" s="3"/>
      <c r="D466" s="3"/>
      <c r="E466" s="3"/>
      <c r="F466" s="3"/>
      <c r="G466" s="3"/>
      <c r="H466" s="3"/>
      <c r="I466" s="3"/>
      <c r="J466" s="200"/>
      <c r="K466" s="200"/>
      <c r="L466" s="200"/>
      <c r="M466" s="200"/>
      <c r="N466" s="200"/>
      <c r="O466" s="200"/>
      <c r="P466" s="200"/>
      <c r="Q466" s="200"/>
    </row>
    <row r="467" spans="1:18" s="4" customFormat="1" ht="15.95" customHeight="1" collapsed="1" thickBot="1">
      <c r="A467" s="4" t="s">
        <v>167</v>
      </c>
      <c r="B467" s="459" t="s">
        <v>311</v>
      </c>
      <c r="C467" s="459"/>
      <c r="D467" s="459"/>
      <c r="E467" s="666"/>
      <c r="F467" s="666"/>
      <c r="G467" s="666"/>
      <c r="H467" s="666"/>
      <c r="I467" s="666"/>
      <c r="J467" s="666"/>
      <c r="K467" s="666"/>
      <c r="L467" s="666"/>
      <c r="M467" s="666"/>
      <c r="N467" s="666"/>
      <c r="O467" s="667"/>
      <c r="P467" s="667"/>
      <c r="Q467" s="667"/>
    </row>
    <row r="468" spans="1:18" s="4" customFormat="1" ht="15" customHeight="1">
      <c r="B468" s="895" t="str">
        <f>$B$160</f>
        <v>Fiscal Year Ended December 31,</v>
      </c>
      <c r="C468" s="896"/>
      <c r="D468" s="896"/>
      <c r="E468" s="897"/>
      <c r="F468" s="897"/>
      <c r="G468" s="897"/>
      <c r="H468" s="897"/>
      <c r="I468" s="897"/>
      <c r="J468" s="913"/>
      <c r="K468" s="913"/>
      <c r="L468" s="899"/>
      <c r="M468" s="915">
        <f>M$12</f>
        <v>2020</v>
      </c>
      <c r="N468" s="915">
        <f>+M468+1</f>
        <v>2021</v>
      </c>
      <c r="O468" s="915">
        <f>+N468+1</f>
        <v>2022</v>
      </c>
      <c r="P468" s="915">
        <f>+O468+1</f>
        <v>2023</v>
      </c>
      <c r="Q468" s="915">
        <f>+P468+1</f>
        <v>2024</v>
      </c>
    </row>
    <row r="469" spans="1:18" s="17" customFormat="1" ht="15" customHeight="1">
      <c r="B469" s="10" t="s">
        <v>310</v>
      </c>
      <c r="C469" s="10"/>
      <c r="D469" s="10"/>
      <c r="E469" s="10"/>
      <c r="F469" s="10"/>
      <c r="G469" s="27"/>
      <c r="I469" s="971" t="s">
        <v>397</v>
      </c>
      <c r="J469" s="971" t="s">
        <v>536</v>
      </c>
      <c r="M469" s="33">
        <f ca="1">M280</f>
        <v>2.6571492051681918</v>
      </c>
      <c r="N469" s="33">
        <f ca="1">N280</f>
        <v>3.3258329686735189</v>
      </c>
      <c r="O469" s="33">
        <f ca="1">O280</f>
        <v>3.8062700440329515</v>
      </c>
      <c r="P469" s="33">
        <f ca="1">P280</f>
        <v>4.3000024513078543</v>
      </c>
      <c r="Q469" s="33">
        <f ca="1">Q280</f>
        <v>4.8042545016373417</v>
      </c>
      <c r="R469" s="249"/>
    </row>
    <row r="470" spans="1:18" s="17" customFormat="1" ht="12.75" customHeight="1">
      <c r="B470" s="10" t="s">
        <v>538</v>
      </c>
      <c r="C470" s="10"/>
      <c r="D470" s="10"/>
      <c r="E470" s="10"/>
      <c r="F470" s="10"/>
      <c r="G470" s="10"/>
      <c r="I470" s="972">
        <f>'Acq Proj'!I197</f>
        <v>31.764705882352942</v>
      </c>
      <c r="J470" s="972">
        <f>'Acq Proj'!J197</f>
        <v>31.764705882352942</v>
      </c>
      <c r="M470" s="973">
        <f ca="1">$I470*M469</f>
        <v>84.403562987695508</v>
      </c>
      <c r="N470" s="973">
        <f ca="1">$I470*N469</f>
        <v>105.64410606374707</v>
      </c>
      <c r="O470" s="973">
        <f ca="1">$I470*O469</f>
        <v>120.90504845751728</v>
      </c>
      <c r="P470" s="973">
        <f ca="1">$I470*P469</f>
        <v>136.58831315919068</v>
      </c>
      <c r="Q470" s="973">
        <f ca="1">$I470*Q469</f>
        <v>152.60573122848027</v>
      </c>
      <c r="R470" s="974"/>
    </row>
    <row r="471" spans="1:18" s="17" customFormat="1" ht="12.75" customHeight="1">
      <c r="B471" s="10" t="s">
        <v>421</v>
      </c>
      <c r="C471" s="10"/>
      <c r="D471" s="10"/>
      <c r="E471" s="10"/>
      <c r="F471" s="10"/>
      <c r="G471" s="10"/>
      <c r="I471" s="975"/>
      <c r="M471" s="125">
        <f>'Acq Proj'!L198</f>
        <v>0.05</v>
      </c>
      <c r="N471" s="888">
        <f>M471</f>
        <v>0.05</v>
      </c>
      <c r="O471" s="888">
        <f>N471</f>
        <v>0.05</v>
      </c>
      <c r="P471" s="888">
        <f>O471</f>
        <v>0.05</v>
      </c>
      <c r="Q471" s="888">
        <f>P471</f>
        <v>0.05</v>
      </c>
      <c r="R471" s="976"/>
    </row>
    <row r="472" spans="1:18" s="437" customFormat="1" ht="12.75" customHeight="1">
      <c r="B472" s="10" t="s">
        <v>312</v>
      </c>
      <c r="C472" s="257"/>
      <c r="D472" s="257"/>
      <c r="E472" s="257"/>
      <c r="F472" s="257"/>
      <c r="G472" s="257"/>
      <c r="I472" s="977"/>
      <c r="M472" s="978">
        <f ca="1">M470*(1+M471)</f>
        <v>88.623741137080287</v>
      </c>
      <c r="N472" s="978">
        <f ca="1">N470*(1+N471)</f>
        <v>110.92631136693443</v>
      </c>
      <c r="O472" s="978">
        <f ca="1">O470*(1+O471)</f>
        <v>126.95030088039316</v>
      </c>
      <c r="P472" s="978">
        <f ca="1">P470*(1+P471)</f>
        <v>143.41772881715022</v>
      </c>
      <c r="Q472" s="978">
        <f ca="1">Q470*(1+Q471)</f>
        <v>160.23601778990428</v>
      </c>
      <c r="R472" s="979"/>
    </row>
    <row r="473" spans="1:18" s="17" customFormat="1" ht="12.75" customHeight="1">
      <c r="B473" s="10"/>
      <c r="C473" s="10"/>
      <c r="D473" s="10"/>
      <c r="E473" s="10"/>
      <c r="F473" s="10"/>
      <c r="G473" s="27"/>
      <c r="I473" s="27"/>
      <c r="M473" s="980"/>
      <c r="N473" s="980"/>
      <c r="O473" s="980"/>
      <c r="P473" s="980"/>
      <c r="Q473" s="980"/>
      <c r="R473" s="980"/>
    </row>
    <row r="474" spans="1:18" s="17" customFormat="1" ht="12.75" customHeight="1">
      <c r="B474" s="10" t="s">
        <v>638</v>
      </c>
      <c r="C474" s="10"/>
      <c r="D474" s="10"/>
      <c r="E474" s="10"/>
      <c r="F474" s="10"/>
      <c r="G474" s="27"/>
      <c r="I474" s="27"/>
      <c r="M474" s="981">
        <f>'Acq Proj'!M201</f>
        <v>0</v>
      </c>
      <c r="N474" s="981">
        <f>'Acq Proj'!N201</f>
        <v>0</v>
      </c>
      <c r="O474" s="981">
        <f>'Acq Proj'!O201</f>
        <v>0</v>
      </c>
      <c r="P474" s="981">
        <f>'Acq Proj'!P201</f>
        <v>0</v>
      </c>
      <c r="Q474" s="981">
        <f>'Acq Proj'!Q201</f>
        <v>0</v>
      </c>
      <c r="R474" s="980"/>
    </row>
    <row r="475" spans="1:18" s="17" customFormat="1" ht="12.75" customHeight="1">
      <c r="B475" s="10" t="s">
        <v>639</v>
      </c>
      <c r="C475" s="10"/>
      <c r="D475" s="10"/>
      <c r="E475" s="10"/>
      <c r="F475" s="10"/>
      <c r="G475" s="27"/>
      <c r="I475" s="27"/>
      <c r="M475" s="32">
        <f>-M474</f>
        <v>0</v>
      </c>
      <c r="N475" s="32">
        <f>-N474</f>
        <v>0</v>
      </c>
      <c r="O475" s="32">
        <f>-O474</f>
        <v>0</v>
      </c>
      <c r="P475" s="32">
        <f>-P474</f>
        <v>0</v>
      </c>
      <c r="Q475" s="32">
        <f>-Q474</f>
        <v>0</v>
      </c>
      <c r="R475" s="980"/>
    </row>
    <row r="476" spans="1:18" s="17" customFormat="1" ht="12.75" customHeight="1">
      <c r="B476" s="323" t="s">
        <v>417</v>
      </c>
      <c r="C476" s="10"/>
      <c r="D476" s="10"/>
      <c r="E476" s="10"/>
      <c r="F476" s="10"/>
      <c r="G476" s="27"/>
      <c r="I476" s="27"/>
      <c r="M476" s="982">
        <f>SUM(M474:M475)</f>
        <v>0</v>
      </c>
      <c r="N476" s="983">
        <f>SUM(N474:N475)</f>
        <v>0</v>
      </c>
      <c r="O476" s="983">
        <f>SUM(O474:O475)</f>
        <v>0</v>
      </c>
      <c r="P476" s="983">
        <f>SUM(P474:P475)</f>
        <v>0</v>
      </c>
      <c r="Q476" s="984">
        <f>SUM(Q474:Q475)</f>
        <v>0</v>
      </c>
      <c r="R476" s="59"/>
    </row>
    <row r="477" spans="1:18" s="17" customFormat="1" ht="12.75" customHeight="1">
      <c r="B477" s="10"/>
      <c r="C477" s="10"/>
      <c r="D477" s="10"/>
      <c r="E477" s="10"/>
      <c r="F477" s="10"/>
      <c r="G477" s="27"/>
      <c r="I477" s="27"/>
      <c r="M477" s="980"/>
      <c r="N477" s="980"/>
      <c r="O477" s="980"/>
      <c r="P477" s="980"/>
      <c r="Q477" s="980"/>
      <c r="R477" s="980"/>
    </row>
    <row r="478" spans="1:18" s="17" customFormat="1" ht="12.75" customHeight="1">
      <c r="B478" s="10" t="s">
        <v>472</v>
      </c>
      <c r="C478" s="10"/>
      <c r="D478" s="10"/>
      <c r="E478" s="10"/>
      <c r="F478" s="10"/>
      <c r="G478" s="27"/>
      <c r="I478" s="27"/>
      <c r="M478" s="32">
        <f ca="1">+F50</f>
        <v>13.075571851851851</v>
      </c>
      <c r="N478" s="32">
        <f ca="1">+M481</f>
        <v>13.075571851851851</v>
      </c>
      <c r="O478" s="32">
        <f ca="1">+N481</f>
        <v>13.075571851851851</v>
      </c>
      <c r="P478" s="32">
        <f ca="1">+O481</f>
        <v>13.075571851851851</v>
      </c>
      <c r="Q478" s="32">
        <f ca="1">+P481</f>
        <v>13.075571851851851</v>
      </c>
      <c r="R478" s="32"/>
    </row>
    <row r="479" spans="1:18" s="17" customFormat="1" ht="12.75" customHeight="1">
      <c r="B479" s="10" t="s">
        <v>470</v>
      </c>
      <c r="C479" s="10"/>
      <c r="D479" s="10"/>
      <c r="E479" s="10"/>
      <c r="F479" s="10"/>
      <c r="G479" s="27"/>
      <c r="I479" s="27"/>
      <c r="M479" s="925">
        <f>'Acq Proj'!M204</f>
        <v>0</v>
      </c>
      <c r="N479" s="925">
        <f>'Acq Proj'!N204</f>
        <v>0</v>
      </c>
      <c r="O479" s="925">
        <f>'Acq Proj'!O204</f>
        <v>0</v>
      </c>
      <c r="P479" s="925">
        <f>'Acq Proj'!P204</f>
        <v>0</v>
      </c>
      <c r="Q479" s="925">
        <f>'Acq Proj'!Q204</f>
        <v>0</v>
      </c>
      <c r="R479" s="35"/>
    </row>
    <row r="480" spans="1:18" s="17" customFormat="1" ht="12.75" customHeight="1">
      <c r="B480" s="10" t="s">
        <v>414</v>
      </c>
      <c r="C480" s="10"/>
      <c r="D480" s="10"/>
      <c r="E480" s="10"/>
      <c r="F480" s="10"/>
      <c r="G480" s="27"/>
      <c r="I480" s="27"/>
      <c r="M480" s="32">
        <f>IF(M476=0,0,-M476/M472)</f>
        <v>0</v>
      </c>
      <c r="N480" s="32">
        <f>IF(N476=0,0,-N476/N472)</f>
        <v>0</v>
      </c>
      <c r="O480" s="32">
        <f>IF(O476=0,0,-O476/O472)</f>
        <v>0</v>
      </c>
      <c r="P480" s="32">
        <f>IF(P476=0,0,-P476/P472)</f>
        <v>0</v>
      </c>
      <c r="Q480" s="32">
        <f>IF(Q476=0,0,-Q476/Q472)</f>
        <v>0</v>
      </c>
      <c r="R480" s="32"/>
    </row>
    <row r="481" spans="2:18" s="17" customFormat="1" ht="12.75" customHeight="1">
      <c r="B481" s="10" t="s">
        <v>415</v>
      </c>
      <c r="C481" s="10"/>
      <c r="D481" s="10"/>
      <c r="E481" s="10"/>
      <c r="F481" s="10"/>
      <c r="G481" s="27"/>
      <c r="I481" s="27"/>
      <c r="M481" s="951">
        <f ca="1">SUM(M478:M480)</f>
        <v>13.075571851851851</v>
      </c>
      <c r="N481" s="951">
        <f ca="1">SUM(N478:N480)</f>
        <v>13.075571851851851</v>
      </c>
      <c r="O481" s="951">
        <f ca="1">SUM(O478:O480)</f>
        <v>13.075571851851851</v>
      </c>
      <c r="P481" s="951">
        <f ca="1">SUM(P478:P480)</f>
        <v>13.075571851851851</v>
      </c>
      <c r="Q481" s="951">
        <f ca="1">SUM(Q478:Q480)</f>
        <v>13.075571851851851</v>
      </c>
      <c r="R481" s="32"/>
    </row>
    <row r="482" spans="2:18" s="17" customFormat="1" ht="12.75" customHeight="1">
      <c r="B482" s="17" t="s">
        <v>191</v>
      </c>
      <c r="F482" s="17" t="s">
        <v>416</v>
      </c>
      <c r="G482" s="985">
        <f>'Acq Proj'!G207</f>
        <v>0.5</v>
      </c>
      <c r="I482" s="27"/>
      <c r="M482" s="32">
        <f ca="1">((M478+M479)*$G482)+(M481*(1-$G482))</f>
        <v>13.075571851851851</v>
      </c>
      <c r="N482" s="32">
        <f ca="1">((N478+N479)*$G482)+(N481*(1-$G482))</f>
        <v>13.075571851851851</v>
      </c>
      <c r="O482" s="32">
        <f ca="1">((O478+O479)*$G482)+(O481*(1-$G482))</f>
        <v>13.075571851851851</v>
      </c>
      <c r="P482" s="32">
        <f ca="1">((P478+P479)*$G482)+(P481*(1-$G482))</f>
        <v>13.075571851851851</v>
      </c>
      <c r="Q482" s="32">
        <f ca="1">((Q478+Q479)*$G482)+(Q481*(1-$G482))</f>
        <v>13.075571851851851</v>
      </c>
      <c r="R482" s="32"/>
    </row>
    <row r="483" spans="2:18" s="17" customFormat="1" ht="12.75" customHeight="1">
      <c r="B483" s="10"/>
      <c r="C483" s="10"/>
      <c r="D483" s="10"/>
      <c r="E483" s="10"/>
      <c r="F483" s="10"/>
      <c r="G483" s="10"/>
      <c r="I483" s="986"/>
      <c r="J483" s="986"/>
      <c r="K483" s="986"/>
      <c r="M483" s="987"/>
      <c r="N483" s="987"/>
      <c r="O483" s="987"/>
      <c r="P483" s="987"/>
      <c r="Q483" s="987"/>
      <c r="R483" s="59"/>
    </row>
    <row r="484" spans="2:18" s="17" customFormat="1" ht="12.75" customHeight="1">
      <c r="B484" s="10" t="s">
        <v>471</v>
      </c>
      <c r="C484" s="10"/>
      <c r="D484" s="10"/>
      <c r="E484" s="10"/>
      <c r="F484" s="10"/>
      <c r="G484" s="27"/>
      <c r="I484" s="27"/>
      <c r="M484" s="925">
        <f ca="1">+M478-(adshares-ashares)</f>
        <v>12.134875925925925</v>
      </c>
      <c r="N484" s="32">
        <f ca="1">+M487</f>
        <v>12.134875925925925</v>
      </c>
      <c r="O484" s="32">
        <f ca="1">+N487</f>
        <v>12.134875925925925</v>
      </c>
      <c r="P484" s="32">
        <f ca="1">+O487</f>
        <v>12.134875925925925</v>
      </c>
      <c r="Q484" s="32">
        <f ca="1">+P487</f>
        <v>12.134875925925925</v>
      </c>
      <c r="R484" s="32"/>
    </row>
    <row r="485" spans="2:18" s="17" customFormat="1" ht="12.75" customHeight="1">
      <c r="B485" s="10" t="s">
        <v>470</v>
      </c>
      <c r="C485" s="10"/>
      <c r="D485" s="10"/>
      <c r="E485" s="10"/>
      <c r="F485" s="10"/>
      <c r="G485" s="27"/>
      <c r="I485" s="27"/>
      <c r="M485" s="32">
        <f>+M479</f>
        <v>0</v>
      </c>
      <c r="N485" s="32">
        <f t="shared" ref="N485:Q486" si="69">+N479</f>
        <v>0</v>
      </c>
      <c r="O485" s="32">
        <f t="shared" si="69"/>
        <v>0</v>
      </c>
      <c r="P485" s="32">
        <f t="shared" si="69"/>
        <v>0</v>
      </c>
      <c r="Q485" s="32">
        <f t="shared" si="69"/>
        <v>0</v>
      </c>
      <c r="R485" s="32"/>
    </row>
    <row r="486" spans="2:18" s="17" customFormat="1" ht="12.75" customHeight="1">
      <c r="B486" s="10" t="s">
        <v>414</v>
      </c>
      <c r="C486" s="10"/>
      <c r="D486" s="10"/>
      <c r="E486" s="10"/>
      <c r="F486" s="10"/>
      <c r="G486" s="27"/>
      <c r="I486" s="27"/>
      <c r="M486" s="32">
        <f>+M480</f>
        <v>0</v>
      </c>
      <c r="N486" s="32">
        <f t="shared" si="69"/>
        <v>0</v>
      </c>
      <c r="O486" s="32">
        <f t="shared" si="69"/>
        <v>0</v>
      </c>
      <c r="P486" s="32">
        <f t="shared" si="69"/>
        <v>0</v>
      </c>
      <c r="Q486" s="32">
        <f t="shared" si="69"/>
        <v>0</v>
      </c>
      <c r="R486" s="32"/>
    </row>
    <row r="487" spans="2:18" s="17" customFormat="1" ht="12.75" customHeight="1">
      <c r="B487" s="10" t="s">
        <v>415</v>
      </c>
      <c r="C487" s="10"/>
      <c r="D487" s="10"/>
      <c r="E487" s="10"/>
      <c r="F487" s="10"/>
      <c r="G487" s="27"/>
      <c r="I487" s="27"/>
      <c r="M487" s="951">
        <f ca="1">SUM(M484:M486)</f>
        <v>12.134875925925925</v>
      </c>
      <c r="N487" s="951">
        <f ca="1">SUM(N484:N486)</f>
        <v>12.134875925925925</v>
      </c>
      <c r="O487" s="951">
        <f ca="1">SUM(O484:O486)</f>
        <v>12.134875925925925</v>
      </c>
      <c r="P487" s="951">
        <f ca="1">SUM(P484:P486)</f>
        <v>12.134875925925925</v>
      </c>
      <c r="Q487" s="951">
        <f ca="1">SUM(Q484:Q486)</f>
        <v>12.134875925925925</v>
      </c>
      <c r="R487" s="32"/>
    </row>
    <row r="488" spans="2:18" s="17" customFormat="1" ht="12.75" customHeight="1">
      <c r="B488" s="17" t="s">
        <v>473</v>
      </c>
      <c r="F488" s="17" t="s">
        <v>416</v>
      </c>
      <c r="G488" s="988">
        <f>+G482</f>
        <v>0.5</v>
      </c>
      <c r="I488" s="27"/>
      <c r="M488" s="32">
        <f ca="1">((M484+M485)*$G488)+(M487*(1-$G488))</f>
        <v>12.134875925925925</v>
      </c>
      <c r="N488" s="32">
        <f ca="1">((N484+N485)*$G488)+(N487*(1-$G488))</f>
        <v>12.134875925925925</v>
      </c>
      <c r="O488" s="32">
        <f ca="1">((O484+O485)*$G488)+(O487*(1-$G488))</f>
        <v>12.134875925925925</v>
      </c>
      <c r="P488" s="32">
        <f ca="1">((P484+P485)*$G488)+(P487*(1-$G488))</f>
        <v>12.134875925925925</v>
      </c>
      <c r="Q488" s="32">
        <f ca="1">((Q484+Q485)*$G488)+(Q487*(1-$G488))</f>
        <v>12.134875925925925</v>
      </c>
      <c r="R488" s="32"/>
    </row>
    <row r="489" spans="2:18" s="17" customFormat="1" ht="12.75" customHeight="1">
      <c r="B489" s="10"/>
      <c r="C489" s="10"/>
      <c r="D489" s="10"/>
      <c r="E489" s="10"/>
      <c r="F489" s="10"/>
      <c r="G489" s="10"/>
      <c r="H489" s="986"/>
      <c r="I489" s="986"/>
      <c r="J489" s="986"/>
      <c r="K489" s="987"/>
      <c r="L489" s="987"/>
      <c r="M489" s="987"/>
      <c r="N489" s="987"/>
      <c r="O489" s="987"/>
      <c r="P489" s="987"/>
    </row>
    <row r="490" spans="2:18" s="4" customFormat="1" ht="15.95" customHeight="1" collapsed="1" thickBot="1">
      <c r="B490" s="459" t="s">
        <v>93</v>
      </c>
      <c r="C490" s="459"/>
      <c r="D490" s="459"/>
      <c r="E490" s="666"/>
      <c r="F490" s="666"/>
      <c r="G490" s="666"/>
      <c r="H490" s="666"/>
      <c r="I490" s="666"/>
      <c r="J490" s="666"/>
      <c r="K490" s="666"/>
      <c r="L490" s="666"/>
      <c r="M490" s="666"/>
      <c r="N490" s="666"/>
      <c r="O490" s="667"/>
      <c r="P490" s="667"/>
      <c r="Q490" s="667"/>
      <c r="R490" s="631"/>
    </row>
    <row r="491" spans="2:18" s="4" customFormat="1">
      <c r="B491" s="895" t="str">
        <f>$B$160</f>
        <v>Fiscal Year Ended December 31,</v>
      </c>
      <c r="C491" s="896"/>
      <c r="D491" s="896"/>
      <c r="E491" s="897"/>
      <c r="F491" s="897"/>
      <c r="G491" s="897"/>
      <c r="H491" s="897"/>
      <c r="I491" s="897"/>
      <c r="J491" s="896"/>
      <c r="K491" s="913"/>
      <c r="L491" s="913"/>
      <c r="M491" s="915">
        <f>M$12</f>
        <v>2020</v>
      </c>
      <c r="N491" s="915">
        <f>+M491+1</f>
        <v>2021</v>
      </c>
      <c r="O491" s="915">
        <f>+N491+1</f>
        <v>2022</v>
      </c>
      <c r="P491" s="915">
        <f>+O491+1</f>
        <v>2023</v>
      </c>
      <c r="Q491" s="915">
        <f>+P491+1</f>
        <v>2024</v>
      </c>
    </row>
    <row r="492" spans="2:18" s="4" customFormat="1" ht="12.75" customHeight="1">
      <c r="B492" s="3" t="s">
        <v>39</v>
      </c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444">
        <f>'Acq Proj'!M59+'Tar Proj'!M59</f>
        <v>28.869941666666669</v>
      </c>
      <c r="N492" s="444">
        <f>'Acq Proj'!N59+'Tar Proj'!N59</f>
        <v>32.527995833333335</v>
      </c>
      <c r="O492" s="444">
        <f>'Acq Proj'!O59+'Tar Proj'!O59</f>
        <v>36.294835416666672</v>
      </c>
      <c r="P492" s="444">
        <f>'Acq Proj'!P59+'Tar Proj'!P59</f>
        <v>40.502613958333335</v>
      </c>
      <c r="Q492" s="444">
        <f>'Acq Proj'!Q59+'Tar Proj'!Q59</f>
        <v>45.203457229166673</v>
      </c>
    </row>
    <row r="493" spans="2:18" s="4" customFormat="1" ht="12.75" customHeight="1">
      <c r="B493" s="151" t="s">
        <v>257</v>
      </c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858">
        <f>M492/M261</f>
        <v>0.14805098290598293</v>
      </c>
      <c r="N493" s="858">
        <f>N492/N261</f>
        <v>0.14751925547996977</v>
      </c>
      <c r="O493" s="858">
        <f>O492/O261</f>
        <v>0.14721085141621038</v>
      </c>
      <c r="P493" s="858">
        <f>P492/P261</f>
        <v>0.14690561998633803</v>
      </c>
      <c r="Q493" s="858">
        <f>Q492/Q261</f>
        <v>0.14660358836460852</v>
      </c>
    </row>
    <row r="494" spans="2:18" s="4" customFormat="1" ht="12.75" customHeight="1">
      <c r="B494" s="151" t="s">
        <v>95</v>
      </c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40">
        <f>M493*365</f>
        <v>54.038608760683765</v>
      </c>
      <c r="N494" s="40">
        <f>N493*365</f>
        <v>53.844528250188965</v>
      </c>
      <c r="O494" s="40">
        <f>O493*365</f>
        <v>53.731960766916785</v>
      </c>
      <c r="P494" s="40">
        <f>P493*365</f>
        <v>53.620551295013378</v>
      </c>
      <c r="Q494" s="40">
        <f>Q493*365</f>
        <v>53.510309753082112</v>
      </c>
    </row>
    <row r="495" spans="2:18" s="4" customFormat="1" ht="12.75" customHeight="1">
      <c r="B495" s="151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609"/>
      <c r="N495" s="609"/>
      <c r="O495" s="609"/>
      <c r="P495" s="609"/>
      <c r="Q495" s="609"/>
    </row>
    <row r="496" spans="2:18" s="4" customFormat="1" ht="12.75" customHeight="1">
      <c r="B496" s="3" t="s">
        <v>40</v>
      </c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444">
        <f>'Acq Proj'!M60+'Tar Proj'!M60</f>
        <v>21.752198758417553</v>
      </c>
      <c r="N496" s="444">
        <f>'Acq Proj'!N60+'Tar Proj'!N60</f>
        <v>24.65206509890578</v>
      </c>
      <c r="O496" s="444">
        <f>'Acq Proj'!O60+'Tar Proj'!O60</f>
        <v>27.600369251894001</v>
      </c>
      <c r="P496" s="444">
        <f>'Acq Proj'!P60+'Tar Proj'!P60</f>
        <v>30.903891025568253</v>
      </c>
      <c r="Q496" s="444">
        <f>'Acq Proj'!Q60+'Tar Proj'!Q60</f>
        <v>34.605700582670536</v>
      </c>
    </row>
    <row r="497" spans="2:17" s="4" customFormat="1" ht="12.75" customHeight="1">
      <c r="B497" s="151" t="s">
        <v>96</v>
      </c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858">
        <f>M496/M262</f>
        <v>0.22957465708092403</v>
      </c>
      <c r="N497" s="858">
        <f>N496/N262</f>
        <v>0.22990967683754518</v>
      </c>
      <c r="O497" s="858">
        <f>O496/O262</f>
        <v>0.23010374748864298</v>
      </c>
      <c r="P497" s="858">
        <f>P496/P262</f>
        <v>0.23029564692125107</v>
      </c>
      <c r="Q497" s="858">
        <f>Q496/Q262</f>
        <v>0.23048536372755007</v>
      </c>
    </row>
    <row r="498" spans="2:17" s="4" customFormat="1" ht="12.75" customHeight="1">
      <c r="B498" s="151" t="s">
        <v>97</v>
      </c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40">
        <f>1/M497</f>
        <v>4.3558814928230714</v>
      </c>
      <c r="N498" s="40">
        <f>1/N497</f>
        <v>4.3495341899271285</v>
      </c>
      <c r="O498" s="40">
        <f>1/O497</f>
        <v>4.3458657710446724</v>
      </c>
      <c r="P498" s="40">
        <f>1/P497</f>
        <v>4.3422444730010339</v>
      </c>
      <c r="Q498" s="40">
        <f>1/Q497</f>
        <v>4.3386702905008336</v>
      </c>
    </row>
    <row r="499" spans="2:17" s="4" customFormat="1" ht="12.75" customHeight="1">
      <c r="B499" s="151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609"/>
      <c r="N499" s="609"/>
      <c r="O499" s="609"/>
      <c r="P499" s="609"/>
      <c r="Q499" s="609"/>
    </row>
    <row r="500" spans="2:17" s="4" customFormat="1" ht="12.75" customHeight="1">
      <c r="B500" s="3" t="s">
        <v>41</v>
      </c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606">
        <f>'Acq Proj'!M61+'Tar Proj'!M61</f>
        <v>10.056550000000001</v>
      </c>
      <c r="N500" s="606">
        <f>'Acq Proj'!N61+'Tar Proj'!N61</f>
        <v>11.414825000000002</v>
      </c>
      <c r="O500" s="606">
        <f>'Acq Proj'!O61+'Tar Proj'!O61</f>
        <v>12.791387500000003</v>
      </c>
      <c r="P500" s="606">
        <f>'Acq Proj'!P61+'Tar Proj'!P61</f>
        <v>14.334991250000005</v>
      </c>
      <c r="Q500" s="606">
        <f>'Acq Proj'!Q61+'Tar Proj'!Q61</f>
        <v>16.066013500000004</v>
      </c>
    </row>
    <row r="501" spans="2:17" s="4" customFormat="1" ht="12.75" customHeight="1">
      <c r="B501" s="151" t="s">
        <v>258</v>
      </c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858">
        <f>M500/M261</f>
        <v>5.1572051282051293E-2</v>
      </c>
      <c r="N501" s="858">
        <f>N500/N261</f>
        <v>5.1767913832199558E-2</v>
      </c>
      <c r="O501" s="858">
        <f>O500/O261</f>
        <v>5.1881514905698652E-2</v>
      </c>
      <c r="P501" s="858">
        <f>P500/P261</f>
        <v>5.1993947335013883E-2</v>
      </c>
      <c r="Q501" s="858">
        <f>Q500/Q261</f>
        <v>5.2105201110469679E-2</v>
      </c>
    </row>
    <row r="502" spans="2:17" s="4" customFormat="1" ht="12.75" customHeight="1">
      <c r="B502" s="151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905"/>
      <c r="N502" s="905"/>
      <c r="O502" s="905"/>
      <c r="P502" s="905"/>
      <c r="Q502" s="905"/>
    </row>
    <row r="503" spans="2:17" s="4" customFormat="1" ht="12.75" customHeight="1">
      <c r="B503" s="3" t="s">
        <v>48</v>
      </c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606">
        <f>'Acq Proj'!M71+'Tar Proj'!M71</f>
        <v>13.827050820707072</v>
      </c>
      <c r="N503" s="606">
        <f>'Acq Proj'!N71+'Tar Proj'!N71</f>
        <v>15.596786205808083</v>
      </c>
      <c r="O503" s="606">
        <f>'Acq Proj'!O71+'Tar Proj'!O71</f>
        <v>17.414485028409093</v>
      </c>
      <c r="P503" s="606">
        <f>'Acq Proj'!P71+'Tar Proj'!P71</f>
        <v>19.446206258522729</v>
      </c>
      <c r="Q503" s="606">
        <f>'Acq Proj'!Q71+'Tar Proj'!Q71</f>
        <v>21.717383702556823</v>
      </c>
    </row>
    <row r="504" spans="2:17" s="4" customFormat="1" ht="12.75" customHeight="1">
      <c r="B504" s="151" t="s">
        <v>98</v>
      </c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858">
        <f>M503/M496</f>
        <v>0.63566221393395239</v>
      </c>
      <c r="N504" s="858">
        <f>N503/N496</f>
        <v>0.63267665987545896</v>
      </c>
      <c r="O504" s="858">
        <f>O503/O496</f>
        <v>0.63095116117745675</v>
      </c>
      <c r="P504" s="858">
        <f>P503/P496</f>
        <v>0.62924782650941791</v>
      </c>
      <c r="Q504" s="858">
        <f>Q503/Q496</f>
        <v>0.62756665338057671</v>
      </c>
    </row>
    <row r="505" spans="2:17" s="4" customFormat="1" ht="12.75" customHeight="1">
      <c r="B505" s="151" t="s">
        <v>99</v>
      </c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596">
        <f>M503/M262*365</f>
        <v>53.265156195863653</v>
      </c>
      <c r="N505" s="596">
        <f>N503/N262*365</f>
        <v>53.092347541337851</v>
      </c>
      <c r="O505" s="596">
        <f>O503/O262*365</f>
        <v>52.992242734273908</v>
      </c>
      <c r="P505" s="596">
        <f>P503/P262*365</f>
        <v>52.893257877118806</v>
      </c>
      <c r="Q505" s="596">
        <f>Q503/Q262*365</f>
        <v>52.795398854211804</v>
      </c>
    </row>
    <row r="506" spans="2:17" s="4" customFormat="1" ht="12.75" customHeight="1">
      <c r="B506" s="151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609"/>
      <c r="N506" s="609"/>
      <c r="O506" s="609"/>
      <c r="P506" s="609"/>
      <c r="Q506" s="609"/>
    </row>
    <row r="507" spans="2:17" s="4" customFormat="1" ht="12.75" customHeight="1">
      <c r="B507" s="3" t="s">
        <v>100</v>
      </c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606">
        <f>'Acq Proj'!M72+'Tar Proj'!M72</f>
        <v>19.093120833333334</v>
      </c>
      <c r="N507" s="606">
        <f>'Acq Proj'!N72+'Tar Proj'!N72</f>
        <v>21.53397291666667</v>
      </c>
      <c r="O507" s="606">
        <f>'Acq Proj'!O72+'Tar Proj'!O72</f>
        <v>24.041730208333338</v>
      </c>
      <c r="P507" s="606">
        <f>'Acq Proj'!P72+'Tar Proj'!P72</f>
        <v>26.844558229166672</v>
      </c>
      <c r="Q507" s="606">
        <f>'Acq Proj'!Q72+'Tar Proj'!Q72</f>
        <v>29.977500927083341</v>
      </c>
    </row>
    <row r="508" spans="2:17" s="4" customFormat="1" ht="12.75" customHeight="1">
      <c r="B508" s="151" t="s">
        <v>259</v>
      </c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858">
        <f>M507/M261</f>
        <v>9.7913440170940169E-2</v>
      </c>
      <c r="N508" s="858">
        <f>N507/N261</f>
        <v>9.7659741118669707E-2</v>
      </c>
      <c r="O508" s="858">
        <f>O507/O261</f>
        <v>9.7512594639356465E-2</v>
      </c>
      <c r="P508" s="858">
        <f>P507/P261</f>
        <v>9.7366961894657947E-2</v>
      </c>
      <c r="Q508" s="858">
        <f>Q507/Q261</f>
        <v>9.7222855850019566E-2</v>
      </c>
    </row>
    <row r="509" spans="2:17" s="4" customFormat="1" ht="12.75" customHeight="1">
      <c r="B509" s="151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905"/>
      <c r="N509" s="905"/>
      <c r="O509" s="905"/>
      <c r="P509" s="905"/>
      <c r="Q509" s="905"/>
    </row>
    <row r="510" spans="2:17" s="4" customFormat="1" ht="12.75" customHeight="1">
      <c r="B510" s="3" t="s">
        <v>55</v>
      </c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874">
        <f>M340</f>
        <v>27.758518771043825</v>
      </c>
      <c r="N510" s="874">
        <f>N340</f>
        <v>31.464126809764366</v>
      </c>
      <c r="O510" s="874">
        <f>O340</f>
        <v>35.230376931818249</v>
      </c>
      <c r="P510" s="874">
        <f>P340</f>
        <v>39.450731746212185</v>
      </c>
      <c r="Q510" s="874">
        <f>Q340</f>
        <v>44.180286682197057</v>
      </c>
    </row>
    <row r="511" spans="2:17" s="4" customFormat="1" ht="12.75" customHeight="1">
      <c r="B511" s="151" t="s">
        <v>263</v>
      </c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858">
        <f>M510/M261</f>
        <v>0.14235137831304526</v>
      </c>
      <c r="N511" s="858">
        <f>N510/N261</f>
        <v>0.1426944526519926</v>
      </c>
      <c r="O511" s="858">
        <f>O510/O261</f>
        <v>0.14289343716008213</v>
      </c>
      <c r="P511" s="858">
        <f>P510/P261</f>
        <v>0.14309037466209237</v>
      </c>
      <c r="Q511" s="858">
        <f>Q510/Q261</f>
        <v>0.14328524762499933</v>
      </c>
    </row>
    <row r="512" spans="2:17" s="4" customFormat="1">
      <c r="O512" s="303"/>
      <c r="P512" s="303"/>
      <c r="Q512" s="303"/>
    </row>
    <row r="513" spans="2:17" s="4" customFormat="1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</row>
    <row r="514" spans="2:17" s="4" customFormat="1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</row>
    <row r="515" spans="2:17" s="4" customFormat="1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</row>
    <row r="516" spans="2:17" s="4" customFormat="1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</row>
    <row r="517" spans="2:17" s="4" customFormat="1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</row>
    <row r="518" spans="2:17" s="4" customFormat="1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</row>
    <row r="519" spans="2:17" s="4" customFormat="1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</row>
    <row r="520" spans="2:17" s="4" customFormat="1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</row>
    <row r="521" spans="2:17" s="4" customFormat="1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</row>
    <row r="522" spans="2:17" s="4" customFormat="1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</row>
    <row r="523" spans="2:17" s="4" customFormat="1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</row>
    <row r="524" spans="2:17" s="4" customFormat="1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</row>
    <row r="525" spans="2:17" s="4" customFormat="1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</row>
    <row r="526" spans="2:17" s="4" customFormat="1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</row>
    <row r="527" spans="2:17" s="4" customFormat="1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</row>
    <row r="528" spans="2:17" s="4" customFormat="1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</row>
    <row r="529" spans="2:17" s="4" customFormat="1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</row>
    <row r="530" spans="2:17" s="4" customFormat="1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</row>
    <row r="531" spans="2:17" s="4" customFormat="1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</row>
    <row r="532" spans="2:17" s="4" customFormat="1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</row>
    <row r="533" spans="2:17" s="4" customFormat="1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</row>
    <row r="534" spans="2:17" s="4" customFormat="1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</row>
    <row r="535" spans="2:17" s="4" customFormat="1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</row>
    <row r="536" spans="2:17" s="4" customFormat="1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</row>
    <row r="537" spans="2:17" s="4" customFormat="1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</row>
    <row r="538" spans="2:17" s="4" customFormat="1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</row>
    <row r="539" spans="2:17" s="4" customFormat="1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</row>
    <row r="540" spans="2:17" s="4" customFormat="1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</row>
    <row r="541" spans="2:17" s="4" customFormat="1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</row>
    <row r="542" spans="2:17" s="4" customFormat="1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</row>
    <row r="543" spans="2:17" s="4" customFormat="1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</row>
    <row r="544" spans="2:17" s="4" customFormat="1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</row>
    <row r="545" spans="2:17" s="4" customFormat="1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</row>
  </sheetData>
  <customSheetViews>
    <customSheetView guid="{9AE38660-BF5A-49A3-9FC0-AD5890AFC019}" scale="85" showPageBreaks="1" showGridLines="0" printArea="1" hiddenRows="1" view="pageBreakPreview" showRuler="0" topLeftCell="A4">
      <selection activeCell="H58" sqref="H58"/>
      <rowBreaks count="9" manualBreakCount="9">
        <brk id="49" min="1" max="15" man="1"/>
        <brk id="88" min="1" max="15" man="1"/>
        <brk id="125" min="1" max="15" man="1"/>
        <brk id="163" min="1" max="15" man="1"/>
        <brk id="199" min="1" max="15" man="1"/>
        <brk id="233" min="1" max="15" man="1"/>
        <brk id="264" min="1" max="15" man="1"/>
        <brk id="292" min="1" max="15" man="1"/>
        <brk id="314" min="1" max="15" man="1"/>
      </rowBreaks>
      <pageMargins left="0.35" right="0.35" top="0.35" bottom="0.35" header="0.15" footer="0.15"/>
      <printOptions horizontalCentered="1"/>
      <pageSetup scale="82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dataValidations count="2">
    <dataValidation type="custom" allowBlank="1" showInputMessage="1" showErrorMessage="1" error="Enter &quot;F&quot; for fixed rate or &quot;L&quot; for LIBOR-based rate" sqref="U39 E447:E455">
      <formula1>OR(E39="F",E39="L")</formula1>
    </dataValidation>
    <dataValidation type="custom" allowBlank="1" showInputMessage="1" showErrorMessage="1" sqref="U40:U42">
      <formula1>OR(U40="F",U40="L")</formula1>
    </dataValidation>
  </dataValidations>
  <printOptions horizontalCentered="1"/>
  <pageMargins left="0.35" right="0.35" top="0.35" bottom="0.35" header="0.15" footer="0.15"/>
  <pageSetup scale="62" orientation="landscape" r:id="rId2"/>
  <headerFooter alignWithMargins="0"/>
  <rowBreaks count="12" manualBreakCount="12">
    <brk id="69" min="1" max="16" man="1"/>
    <brk id="110" min="1" max="16" man="1"/>
    <brk id="158" min="1" max="16" man="1"/>
    <brk id="211" min="1" max="16" man="1"/>
    <brk id="257" min="1" max="16" man="1"/>
    <brk id="308" min="1" max="16" man="1"/>
    <brk id="344" min="1" max="16" man="1"/>
    <brk id="378" min="1" max="16" man="1"/>
    <brk id="436" min="1" max="16" man="1"/>
    <brk id="456" max="16383" man="1"/>
    <brk id="466" max="16383" man="1"/>
    <brk id="489" min="1" max="16" man="1"/>
  </rowBreaks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rgb="FFFFFF66"/>
  </sheetPr>
  <dimension ref="A1:W139"/>
  <sheetViews>
    <sheetView showGridLines="0" view="pageBreakPreview" zoomScale="85" zoomScaleNormal="75" workbookViewId="0"/>
  </sheetViews>
  <sheetFormatPr defaultColWidth="11.83203125" defaultRowHeight="12.75"/>
  <cols>
    <col min="1" max="1" width="5.6640625" style="4" bestFit="1" customWidth="1"/>
    <col min="2" max="2" width="8" style="4" customWidth="1"/>
    <col min="3" max="3" width="11.83203125" style="3"/>
    <col min="4" max="5" width="8.1640625" style="3" customWidth="1"/>
    <col min="6" max="16384" width="11.83203125" style="3"/>
  </cols>
  <sheetData>
    <row r="1" spans="1:23">
      <c r="A1" s="625"/>
      <c r="B1" s="625"/>
      <c r="J1" s="179"/>
    </row>
    <row r="2" spans="1:23" s="4" customFormat="1" ht="23.25">
      <c r="C2" s="97" t="str">
        <f>proj</f>
        <v>Project MODEL</v>
      </c>
      <c r="D2" s="397"/>
      <c r="E2" s="7"/>
      <c r="F2" s="7"/>
      <c r="G2" s="7"/>
      <c r="H2" s="7"/>
      <c r="I2" s="7"/>
      <c r="J2" s="279"/>
      <c r="K2" s="7"/>
      <c r="L2" s="7"/>
      <c r="M2" s="7"/>
      <c r="N2" s="7"/>
      <c r="O2" s="7"/>
      <c r="P2" s="7"/>
      <c r="Q2" s="7"/>
      <c r="R2" s="398"/>
      <c r="S2" s="7"/>
      <c r="T2" s="7"/>
      <c r="U2" s="7"/>
      <c r="V2" s="7"/>
    </row>
    <row r="3" spans="1:23" s="276" customFormat="1" ht="20.100000000000001" customHeight="1" thickBot="1">
      <c r="C3" s="98" t="str">
        <f>'Acq LBO'!B3</f>
        <v>COLEMAN CO. - Leveraged Buy-Out Analysis</v>
      </c>
      <c r="D3" s="98"/>
      <c r="E3" s="395"/>
      <c r="F3" s="395"/>
      <c r="G3" s="395"/>
      <c r="H3" s="395"/>
      <c r="I3" s="395"/>
      <c r="J3" s="626"/>
      <c r="K3" s="395"/>
      <c r="L3" s="395"/>
      <c r="M3" s="395"/>
      <c r="N3" s="395"/>
      <c r="O3" s="395"/>
      <c r="P3" s="395"/>
      <c r="Q3" s="395"/>
      <c r="R3" s="400" t="str">
        <f>'Acq LBO'!Q3</f>
        <v>Wall street consensus</v>
      </c>
    </row>
    <row r="4" spans="1:23" ht="15" customHeight="1">
      <c r="C4" s="335"/>
      <c r="D4" s="8"/>
      <c r="E4" s="8"/>
      <c r="F4" s="8"/>
      <c r="G4" s="8"/>
      <c r="H4" s="8"/>
      <c r="I4" s="8"/>
      <c r="J4" s="179"/>
      <c r="K4" s="8"/>
      <c r="L4" s="8"/>
      <c r="M4" s="8"/>
      <c r="N4" s="8"/>
      <c r="O4" s="8"/>
      <c r="P4" s="457"/>
      <c r="Q4" s="457"/>
      <c r="R4" s="627" t="str">
        <f>'Acq LBO'!Q4</f>
        <v>Source: Research Provider</v>
      </c>
    </row>
    <row r="5" spans="1:23" ht="12.75" customHeight="1">
      <c r="C5" s="506"/>
      <c r="D5" s="8"/>
      <c r="E5" s="8"/>
      <c r="F5" s="8"/>
      <c r="G5" s="8"/>
      <c r="H5" s="8"/>
      <c r="I5" s="8"/>
      <c r="J5" s="179"/>
      <c r="K5" s="8"/>
      <c r="L5" s="8"/>
      <c r="M5" s="8"/>
      <c r="N5" s="8"/>
      <c r="O5" s="8"/>
      <c r="P5" s="8"/>
      <c r="Q5" s="8"/>
      <c r="R5" s="8"/>
    </row>
    <row r="6" spans="1:23" s="4" customFormat="1" ht="15.95" customHeight="1" collapsed="1" thickBot="1">
      <c r="C6" s="459" t="s">
        <v>492</v>
      </c>
      <c r="D6" s="666"/>
      <c r="E6" s="666"/>
      <c r="F6" s="666"/>
      <c r="G6" s="666"/>
      <c r="H6" s="666"/>
      <c r="I6" s="666"/>
      <c r="J6" s="666"/>
      <c r="K6" s="666"/>
      <c r="L6" s="666"/>
      <c r="M6" s="666"/>
      <c r="N6" s="666"/>
      <c r="O6" s="667"/>
      <c r="P6" s="667"/>
      <c r="Q6" s="667"/>
      <c r="R6" s="667"/>
      <c r="S6" s="631"/>
      <c r="T6" s="631"/>
    </row>
    <row r="7" spans="1:23" s="4" customFormat="1">
      <c r="C7" s="100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3" s="4" customFormat="1">
      <c r="C8" s="100"/>
      <c r="D8" s="8"/>
      <c r="E8" s="8"/>
      <c r="F8" s="8"/>
      <c r="G8" s="8"/>
      <c r="H8" s="443" t="s">
        <v>168</v>
      </c>
      <c r="I8" s="8"/>
      <c r="J8" s="8"/>
      <c r="K8" s="8"/>
      <c r="L8" s="8"/>
      <c r="M8" s="8"/>
      <c r="N8" s="8"/>
      <c r="O8" s="8"/>
      <c r="P8" s="8"/>
      <c r="Q8" s="8"/>
      <c r="R8" s="8"/>
    </row>
    <row r="9" spans="1:23" s="4" customFormat="1">
      <c r="C9" s="160" t="s">
        <v>493</v>
      </c>
      <c r="D9" s="8"/>
      <c r="F9" s="632">
        <v>35</v>
      </c>
      <c r="G9" s="8"/>
      <c r="H9" s="632">
        <v>2.5</v>
      </c>
      <c r="I9" s="8"/>
      <c r="J9" s="8"/>
      <c r="K9" s="8"/>
      <c r="L9" s="8"/>
      <c r="M9" s="8"/>
      <c r="N9" s="8"/>
      <c r="O9" s="8"/>
      <c r="P9" s="8"/>
      <c r="Q9" s="8"/>
      <c r="R9" s="8"/>
    </row>
    <row r="10" spans="1:23" s="4" customFormat="1">
      <c r="C10" s="100"/>
      <c r="D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</row>
    <row r="11" spans="1:23" s="4" customFormat="1">
      <c r="C11" s="160" t="s">
        <v>576</v>
      </c>
      <c r="D11" s="8"/>
      <c r="F11" s="633">
        <v>10</v>
      </c>
      <c r="G11" s="8"/>
      <c r="H11" s="633">
        <v>1</v>
      </c>
      <c r="I11" s="8"/>
      <c r="J11" s="8"/>
      <c r="K11" s="8"/>
      <c r="L11" s="8"/>
      <c r="M11" s="8"/>
      <c r="N11" s="8"/>
      <c r="O11" s="8"/>
      <c r="P11" s="8"/>
      <c r="Q11" s="8"/>
      <c r="R11" s="8"/>
    </row>
    <row r="12" spans="1:23" s="4" customFormat="1">
      <c r="C12" s="100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</row>
    <row r="13" spans="1:23" s="4" customFormat="1">
      <c r="P13" s="303"/>
      <c r="Q13" s="303"/>
      <c r="R13" s="303"/>
    </row>
    <row r="14" spans="1:23" s="4" customFormat="1" ht="15.95" customHeight="1" collapsed="1" thickBot="1">
      <c r="C14" s="459" t="s">
        <v>327</v>
      </c>
      <c r="D14" s="666"/>
      <c r="E14" s="666"/>
      <c r="F14" s="666"/>
      <c r="G14" s="666"/>
      <c r="H14" s="666"/>
      <c r="I14" s="666"/>
      <c r="J14" s="666"/>
      <c r="K14" s="666"/>
      <c r="L14" s="666"/>
      <c r="M14" s="666"/>
      <c r="N14" s="666"/>
      <c r="O14" s="667"/>
      <c r="P14" s="667"/>
      <c r="Q14" s="667"/>
      <c r="R14" s="667"/>
      <c r="S14" s="634"/>
      <c r="T14" s="635" t="s">
        <v>577</v>
      </c>
      <c r="U14" s="636"/>
      <c r="V14" s="636"/>
      <c r="W14" s="637"/>
    </row>
    <row r="15" spans="1:23" s="4" customFormat="1">
      <c r="C15" s="176" t="str">
        <f>'Acq LBO'!B8</f>
        <v>(Amounts in Millions, Except Per Share Data)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T15" s="638"/>
      <c r="W15" s="639"/>
    </row>
    <row r="16" spans="1:23" s="4" customFormat="1" ht="5.0999999999999996" customHeight="1">
      <c r="C16" s="335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T16" s="638"/>
      <c r="W16" s="639"/>
    </row>
    <row r="17" spans="1:23" s="4" customFormat="1" ht="12.75" customHeight="1">
      <c r="C17" s="100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T17" s="638"/>
      <c r="W17" s="639"/>
    </row>
    <row r="18" spans="1:23" s="4" customFormat="1" ht="12.75" customHeight="1">
      <c r="D18" s="640" t="s">
        <v>329</v>
      </c>
      <c r="E18" s="640"/>
      <c r="F18" s="640"/>
      <c r="G18" s="640"/>
      <c r="H18" s="640"/>
      <c r="I18" s="640"/>
      <c r="J18" s="640"/>
      <c r="T18" s="638"/>
      <c r="W18" s="639"/>
    </row>
    <row r="19" spans="1:23" s="4" customFormat="1" ht="12.75" customHeight="1">
      <c r="D19" s="211"/>
      <c r="E19" s="211"/>
      <c r="F19" s="211"/>
      <c r="G19" s="211"/>
      <c r="H19" s="211"/>
      <c r="I19" s="211"/>
      <c r="J19" s="211"/>
      <c r="K19" s="7"/>
      <c r="L19" s="7"/>
      <c r="M19" s="7"/>
      <c r="N19" s="7"/>
      <c r="O19" s="7"/>
      <c r="P19" s="7"/>
      <c r="Q19" s="7"/>
      <c r="R19" s="7"/>
      <c r="T19" s="641"/>
      <c r="U19" s="642"/>
      <c r="V19" s="642"/>
      <c r="W19" s="643"/>
    </row>
    <row r="20" spans="1:23" s="4" customFormat="1" ht="12.75" customHeight="1">
      <c r="D20" s="3"/>
      <c r="E20" s="3"/>
      <c r="F20" s="644" t="s">
        <v>328</v>
      </c>
      <c r="G20" s="8"/>
      <c r="H20" s="8"/>
      <c r="I20" s="8"/>
      <c r="J20" s="8"/>
      <c r="K20" s="96"/>
      <c r="L20" s="7"/>
      <c r="M20" s="7"/>
      <c r="N20" s="576"/>
      <c r="O20" s="7"/>
      <c r="P20" s="7"/>
      <c r="Q20" s="7"/>
      <c r="R20" s="7"/>
    </row>
    <row r="21" spans="1:23" s="4" customFormat="1" ht="12.75" customHeight="1">
      <c r="D21" s="3"/>
      <c r="E21" s="645">
        <f ca="1">'Acq LBO'!R337</f>
        <v>0.31977688063069087</v>
      </c>
      <c r="F21" s="646">
        <v>35</v>
      </c>
      <c r="G21" s="646">
        <v>37.5</v>
      </c>
      <c r="H21" s="646">
        <f>+G21+2.5</f>
        <v>40</v>
      </c>
      <c r="I21" s="646">
        <f t="shared" ref="I21:J21" si="0">+H21+2.5</f>
        <v>42.5</v>
      </c>
      <c r="J21" s="646">
        <f t="shared" si="0"/>
        <v>45</v>
      </c>
      <c r="K21" s="576"/>
      <c r="L21" s="576"/>
      <c r="M21" s="576"/>
      <c r="N21" s="7"/>
      <c r="O21" s="7"/>
      <c r="P21" s="7"/>
      <c r="Q21" s="7"/>
      <c r="R21" s="7"/>
    </row>
    <row r="22" spans="1:23" s="647" customFormat="1" ht="12.75" customHeight="1">
      <c r="D22" s="3"/>
      <c r="E22" s="648">
        <v>8</v>
      </c>
      <c r="F22" s="189">
        <f t="dataTable" ref="F22:J26" dt2D="1" dtr="1" r1="F9" r2="F11" ca="1"/>
        <v>0.22159421624230746</v>
      </c>
      <c r="G22" s="189">
        <v>0.16477797232805735</v>
      </c>
      <c r="H22" s="189">
        <v>0.11992848893602415</v>
      </c>
      <c r="I22" s="189">
        <v>8.3235172726155549E-2</v>
      </c>
      <c r="J22" s="189">
        <v>5.2420668309780538E-2</v>
      </c>
      <c r="K22" s="150"/>
      <c r="L22" s="150"/>
      <c r="M22" s="649"/>
      <c r="N22" s="650"/>
      <c r="O22" s="650"/>
      <c r="P22" s="650"/>
    </row>
    <row r="23" spans="1:23" s="4" customFormat="1" ht="12.75" customHeight="1">
      <c r="A23" s="651"/>
      <c r="B23" s="652"/>
      <c r="D23" s="3"/>
      <c r="E23" s="648">
        <v>9</v>
      </c>
      <c r="F23" s="200">
        <v>0.27352161970534938</v>
      </c>
      <c r="G23" s="200">
        <v>0.21383052368290434</v>
      </c>
      <c r="H23" s="200">
        <v>0.16665842146449217</v>
      </c>
      <c r="I23" s="200">
        <v>0.1280220647602619</v>
      </c>
      <c r="J23" s="200">
        <v>9.5540502206545863E-2</v>
      </c>
      <c r="K23" s="150"/>
      <c r="L23" s="150"/>
      <c r="M23" s="649"/>
      <c r="N23" s="652"/>
      <c r="O23" s="652"/>
      <c r="P23" s="652"/>
    </row>
    <row r="24" spans="1:23" s="4" customFormat="1" ht="12.75" customHeight="1">
      <c r="A24" s="653"/>
      <c r="B24" s="652"/>
      <c r="D24" s="3"/>
      <c r="E24" s="648">
        <v>10</v>
      </c>
      <c r="F24" s="200">
        <v>0.31977688068549304</v>
      </c>
      <c r="G24" s="200">
        <v>0.25756772170966435</v>
      </c>
      <c r="H24" s="200">
        <v>0.20836477046183544</v>
      </c>
      <c r="I24" s="200">
        <v>0.16803207164085121</v>
      </c>
      <c r="J24" s="200">
        <v>0.13409709533530134</v>
      </c>
      <c r="K24" s="150"/>
      <c r="L24" s="150"/>
      <c r="M24" s="649"/>
      <c r="N24" s="652"/>
      <c r="O24" s="652"/>
      <c r="P24" s="652"/>
    </row>
    <row r="25" spans="1:23" s="4" customFormat="1" ht="12.75" customHeight="1">
      <c r="A25" s="653"/>
      <c r="B25" s="652"/>
      <c r="D25" s="3"/>
      <c r="E25" s="648">
        <v>11</v>
      </c>
      <c r="F25" s="200">
        <v>0.36162402133294602</v>
      </c>
      <c r="G25" s="200">
        <v>0.29716579147527256</v>
      </c>
      <c r="H25" s="200">
        <v>0.24615147282790173</v>
      </c>
      <c r="I25" s="200">
        <v>0.20430767634015634</v>
      </c>
      <c r="J25" s="200">
        <v>0.16907948360014724</v>
      </c>
      <c r="K25" s="150"/>
      <c r="L25" s="150"/>
      <c r="M25" s="649"/>
      <c r="N25" s="652"/>
      <c r="O25" s="652"/>
      <c r="P25" s="652"/>
    </row>
    <row r="26" spans="1:23" s="4" customFormat="1" ht="12.75" customHeight="1">
      <c r="A26" s="653"/>
      <c r="B26" s="652"/>
      <c r="D26" s="3"/>
      <c r="E26" s="648">
        <v>12</v>
      </c>
      <c r="F26" s="200">
        <v>0.39993389908715571</v>
      </c>
      <c r="G26" s="200">
        <v>0.33343738029325265</v>
      </c>
      <c r="H26" s="200">
        <v>0.28078334388630122</v>
      </c>
      <c r="I26" s="200">
        <v>0.23757308777526864</v>
      </c>
      <c r="J26" s="200">
        <v>0.20117659169386681</v>
      </c>
      <c r="K26" s="150"/>
      <c r="L26" s="150"/>
      <c r="M26" s="649"/>
      <c r="N26" s="652"/>
      <c r="O26" s="652"/>
      <c r="P26" s="652"/>
    </row>
    <row r="27" spans="1:23" s="4" customFormat="1" ht="12.75" customHeight="1">
      <c r="A27" s="653"/>
      <c r="B27" s="652"/>
      <c r="D27" s="3"/>
      <c r="E27" s="3"/>
      <c r="F27" s="3"/>
      <c r="G27" s="3"/>
      <c r="H27" s="3"/>
      <c r="I27" s="3"/>
      <c r="J27" s="3"/>
      <c r="K27" s="150"/>
      <c r="L27" s="150"/>
      <c r="M27" s="649"/>
      <c r="N27" s="652"/>
      <c r="O27" s="652"/>
      <c r="P27" s="652"/>
    </row>
    <row r="28" spans="1:23" s="4" customFormat="1" ht="12.75" customHeight="1">
      <c r="A28" s="653"/>
      <c r="B28" s="652"/>
      <c r="D28" s="3"/>
      <c r="E28" s="3"/>
      <c r="F28" s="3"/>
      <c r="G28" s="3"/>
      <c r="H28" s="3"/>
      <c r="I28" s="3"/>
      <c r="J28" s="3"/>
      <c r="K28" s="150"/>
      <c r="L28" s="150"/>
      <c r="M28" s="649"/>
      <c r="N28" s="652"/>
      <c r="O28" s="652"/>
      <c r="P28" s="652"/>
    </row>
    <row r="29" spans="1:23" s="4" customFormat="1" ht="12.75" customHeight="1">
      <c r="A29" s="653"/>
      <c r="B29" s="652"/>
      <c r="D29" s="3"/>
      <c r="E29" s="3"/>
      <c r="F29" s="3"/>
      <c r="G29" s="3"/>
      <c r="H29" s="3"/>
      <c r="I29" s="3"/>
      <c r="J29" s="3"/>
      <c r="K29" s="150"/>
      <c r="L29" s="150"/>
      <c r="M29" s="649"/>
      <c r="N29" s="652"/>
      <c r="O29" s="652"/>
      <c r="P29" s="652"/>
    </row>
    <row r="30" spans="1:23" s="4" customFormat="1" ht="12.75" customHeight="1">
      <c r="A30" s="653"/>
      <c r="B30" s="652"/>
      <c r="D30" s="640" t="s">
        <v>330</v>
      </c>
      <c r="E30" s="640"/>
      <c r="F30" s="640"/>
      <c r="G30" s="640"/>
      <c r="H30" s="640"/>
      <c r="I30" s="640"/>
      <c r="J30" s="640"/>
      <c r="K30" s="150"/>
      <c r="L30" s="150"/>
      <c r="M30" s="649"/>
      <c r="N30" s="652"/>
      <c r="O30" s="652"/>
      <c r="P30" s="652"/>
    </row>
    <row r="31" spans="1:23" s="4" customFormat="1" ht="12.75" customHeight="1">
      <c r="A31" s="653"/>
      <c r="B31" s="652"/>
      <c r="D31" s="211"/>
      <c r="E31" s="211"/>
      <c r="F31" s="211"/>
      <c r="G31" s="211"/>
      <c r="H31" s="211"/>
      <c r="I31" s="211"/>
      <c r="J31" s="211"/>
      <c r="K31" s="150"/>
      <c r="L31" s="150"/>
      <c r="M31" s="649"/>
      <c r="N31" s="652"/>
      <c r="O31" s="652"/>
      <c r="P31" s="652"/>
    </row>
    <row r="32" spans="1:23" s="4" customFormat="1" ht="12.75" customHeight="1">
      <c r="A32" s="653"/>
      <c r="B32" s="652"/>
      <c r="D32" s="3"/>
      <c r="E32" s="3"/>
      <c r="F32" s="644" t="s">
        <v>328</v>
      </c>
      <c r="G32" s="8"/>
      <c r="H32" s="8"/>
      <c r="I32" s="8"/>
      <c r="J32" s="8"/>
      <c r="K32" s="150"/>
      <c r="L32" s="150"/>
      <c r="M32" s="649"/>
      <c r="N32" s="652"/>
      <c r="O32" s="652"/>
      <c r="P32" s="652"/>
    </row>
    <row r="33" spans="1:18" s="4" customFormat="1" ht="12.75" customHeight="1">
      <c r="A33" s="653"/>
      <c r="B33" s="652"/>
      <c r="D33" s="3"/>
      <c r="E33" s="645">
        <f ca="1">'Acq LBO'!R343</f>
        <v>0.29859348513399198</v>
      </c>
      <c r="F33" s="654">
        <f>+F21</f>
        <v>35</v>
      </c>
      <c r="G33" s="654">
        <f>+G21</f>
        <v>37.5</v>
      </c>
      <c r="H33" s="654">
        <f>+H21</f>
        <v>40</v>
      </c>
      <c r="I33" s="654">
        <f>+I21</f>
        <v>42.5</v>
      </c>
      <c r="J33" s="654">
        <f>+J21</f>
        <v>45</v>
      </c>
      <c r="K33" s="150"/>
      <c r="L33" s="150"/>
      <c r="M33" s="649"/>
      <c r="N33" s="652"/>
      <c r="O33" s="652"/>
      <c r="P33" s="652"/>
    </row>
    <row r="34" spans="1:18" s="4" customFormat="1" ht="12.75" customHeight="1">
      <c r="A34" s="653"/>
      <c r="B34" s="652"/>
      <c r="D34" s="3"/>
      <c r="E34" s="655">
        <f>+E22</f>
        <v>8</v>
      </c>
      <c r="F34" s="189">
        <f t="dataTable" ref="F34:J38" dt2D="1" dtr="1" r1="F9" r2="F11" ca="1"/>
        <v>0.22734462778476683</v>
      </c>
      <c r="G34" s="189">
        <v>0.180993641563439</v>
      </c>
      <c r="H34" s="189">
        <v>0.14402729911961609</v>
      </c>
      <c r="I34" s="189">
        <v>0.11351589480271929</v>
      </c>
      <c r="J34" s="189">
        <v>8.7693790429166585E-2</v>
      </c>
      <c r="K34" s="150"/>
      <c r="L34" s="150"/>
      <c r="M34" s="649"/>
      <c r="N34" s="652"/>
      <c r="O34" s="652"/>
      <c r="P34" s="652"/>
    </row>
    <row r="35" spans="1:18" s="211" customFormat="1" ht="12.75" customHeight="1">
      <c r="D35" s="3"/>
      <c r="E35" s="655">
        <f>+E23</f>
        <v>9</v>
      </c>
      <c r="F35" s="200">
        <v>0.26497319205801428</v>
      </c>
      <c r="G35" s="200">
        <v>0.21693133835311906</v>
      </c>
      <c r="H35" s="200">
        <v>0.17858261141142395</v>
      </c>
      <c r="I35" s="200">
        <v>0.14690266768801652</v>
      </c>
      <c r="J35" s="200">
        <v>0.12006863939295442</v>
      </c>
      <c r="K35" s="656"/>
      <c r="L35" s="656"/>
      <c r="M35" s="656"/>
      <c r="N35" s="657"/>
      <c r="O35" s="657"/>
      <c r="P35" s="657"/>
      <c r="Q35" s="657"/>
      <c r="R35" s="657"/>
    </row>
    <row r="36" spans="1:18" s="211" customFormat="1" ht="12.75" customHeight="1">
      <c r="D36" s="3"/>
      <c r="E36" s="655">
        <f>+E24</f>
        <v>10</v>
      </c>
      <c r="F36" s="200">
        <v>0.29859348341002034</v>
      </c>
      <c r="G36" s="200">
        <v>0.2490657219921526</v>
      </c>
      <c r="H36" s="200">
        <v>0.20950449107645874</v>
      </c>
      <c r="I36" s="200">
        <v>0.17680136919967437</v>
      </c>
      <c r="J36" s="200">
        <v>0.14908266832841055</v>
      </c>
      <c r="K36" s="658"/>
      <c r="L36" s="658"/>
      <c r="M36" s="658"/>
      <c r="N36" s="658"/>
      <c r="O36" s="658"/>
      <c r="P36" s="658"/>
    </row>
    <row r="37" spans="1:18" s="4" customFormat="1" ht="12.75" customHeight="1">
      <c r="D37" s="3"/>
      <c r="E37" s="655">
        <f>+E25</f>
        <v>11</v>
      </c>
      <c r="F37" s="200">
        <v>0.32905446454292742</v>
      </c>
      <c r="G37" s="200">
        <v>0.27819771557710626</v>
      </c>
      <c r="H37" s="200">
        <v>0.23755371427259697</v>
      </c>
      <c r="I37" s="200">
        <v>0.20393818979559897</v>
      </c>
      <c r="J37" s="200">
        <v>0.17543162205537244</v>
      </c>
    </row>
    <row r="38" spans="1:18" s="4" customFormat="1" ht="12.75" customHeight="1">
      <c r="D38" s="3"/>
      <c r="E38" s="655">
        <f>+E26</f>
        <v>12</v>
      </c>
      <c r="F38" s="200">
        <v>0.35695456285124916</v>
      </c>
      <c r="G38" s="200">
        <v>0.30489310122034374</v>
      </c>
      <c r="H38" s="200">
        <v>0.26326884866652867</v>
      </c>
      <c r="I38" s="200">
        <v>0.22882829576415209</v>
      </c>
      <c r="J38" s="200">
        <v>0.1996100949786388</v>
      </c>
      <c r="K38" s="541"/>
      <c r="L38" s="541"/>
      <c r="M38" s="541"/>
      <c r="N38" s="541"/>
      <c r="O38" s="541"/>
      <c r="P38" s="541"/>
      <c r="Q38" s="541"/>
      <c r="R38" s="541"/>
    </row>
    <row r="39" spans="1:18" s="4" customFormat="1" ht="12.75" customHeight="1">
      <c r="C39" s="142"/>
      <c r="D39" s="540"/>
      <c r="E39" s="541"/>
      <c r="F39" s="541"/>
      <c r="G39" s="541"/>
      <c r="H39" s="541"/>
      <c r="I39" s="540"/>
      <c r="J39" s="541"/>
      <c r="K39" s="541"/>
      <c r="L39" s="541"/>
      <c r="M39" s="541"/>
      <c r="N39" s="540"/>
      <c r="O39" s="541"/>
      <c r="P39" s="541"/>
      <c r="Q39" s="541"/>
      <c r="R39" s="541"/>
    </row>
    <row r="40" spans="1:18" s="4" customFormat="1" ht="12.75" customHeight="1"/>
    <row r="41" spans="1:18" s="4" customFormat="1" ht="12.75" customHeight="1">
      <c r="E41" s="645"/>
      <c r="F41" s="654">
        <f>+alboprice-2*$H$9</f>
        <v>30</v>
      </c>
      <c r="G41" s="654">
        <f>+F41+$H$9</f>
        <v>32.5</v>
      </c>
      <c r="H41" s="654">
        <f>+G41+$H$9</f>
        <v>35</v>
      </c>
      <c r="I41" s="654">
        <f>+H41+$H$9</f>
        <v>37.5</v>
      </c>
      <c r="J41" s="654">
        <f>+I41+$H$9</f>
        <v>40</v>
      </c>
    </row>
    <row r="42" spans="1:18" s="4" customFormat="1" ht="12.75" customHeight="1">
      <c r="C42" s="659"/>
      <c r="D42" s="659"/>
      <c r="E42" s="655">
        <f>+aexit-2*$H$11</f>
        <v>8</v>
      </c>
      <c r="F42" s="660"/>
      <c r="G42" s="660"/>
      <c r="H42" s="660"/>
      <c r="I42" s="660"/>
      <c r="J42" s="660"/>
    </row>
    <row r="43" spans="1:18" s="4" customFormat="1" ht="12.75" customHeight="1">
      <c r="C43" s="211"/>
      <c r="D43" s="211"/>
      <c r="E43" s="655">
        <f>+E42+$H$11</f>
        <v>9</v>
      </c>
      <c r="F43" s="200"/>
      <c r="G43" s="661"/>
      <c r="H43" s="200"/>
      <c r="I43" s="200"/>
      <c r="J43" s="200"/>
    </row>
    <row r="44" spans="1:18" s="4" customFormat="1" ht="12.75" customHeight="1">
      <c r="E44" s="655">
        <f>+E43+$H$11</f>
        <v>10</v>
      </c>
      <c r="F44" s="662" t="s">
        <v>584</v>
      </c>
      <c r="G44" s="663"/>
      <c r="H44" s="200"/>
      <c r="I44" s="200"/>
      <c r="J44" s="200"/>
    </row>
    <row r="45" spans="1:18" s="4" customFormat="1" ht="12.75" customHeight="1">
      <c r="D45" s="664"/>
      <c r="E45" s="655">
        <f>+E44+$H$11</f>
        <v>11</v>
      </c>
      <c r="F45" s="200"/>
      <c r="G45" s="200"/>
      <c r="H45" s="200"/>
      <c r="I45" s="200"/>
      <c r="J45" s="200"/>
      <c r="M45" s="3"/>
      <c r="N45" s="3"/>
      <c r="O45" s="3"/>
      <c r="P45" s="3"/>
      <c r="Q45" s="3"/>
      <c r="R45" s="3"/>
    </row>
    <row r="46" spans="1:18" s="4" customFormat="1" ht="12.75" customHeight="1">
      <c r="D46" s="665"/>
      <c r="E46" s="655">
        <f>+E45+$H$11</f>
        <v>12</v>
      </c>
      <c r="F46" s="200"/>
      <c r="G46" s="200"/>
      <c r="H46" s="200"/>
      <c r="I46" s="200"/>
      <c r="J46" s="200"/>
      <c r="M46" s="3"/>
      <c r="N46" s="3"/>
      <c r="O46" s="3"/>
      <c r="P46" s="3"/>
      <c r="Q46" s="3"/>
      <c r="R46" s="3"/>
    </row>
    <row r="47" spans="1:18" s="4" customFormat="1" ht="12.75" customHeight="1">
      <c r="D47" s="665"/>
      <c r="E47" s="150"/>
      <c r="F47" s="150"/>
      <c r="G47" s="150"/>
      <c r="H47" s="150"/>
      <c r="I47" s="150"/>
      <c r="M47" s="3"/>
      <c r="N47" s="3"/>
      <c r="O47" s="3"/>
      <c r="P47" s="3"/>
      <c r="Q47" s="3"/>
      <c r="R47" s="3"/>
    </row>
    <row r="48" spans="1:18" s="4" customFormat="1" ht="12.75" customHeight="1">
      <c r="D48" s="665"/>
      <c r="E48" s="150"/>
      <c r="F48" s="150"/>
      <c r="G48" s="150"/>
      <c r="H48" s="150"/>
      <c r="I48" s="150"/>
      <c r="M48" s="3"/>
      <c r="N48" s="3"/>
      <c r="O48" s="3"/>
      <c r="P48" s="3"/>
      <c r="Q48" s="3"/>
      <c r="R48" s="3"/>
    </row>
    <row r="49" spans="3:18" s="4" customFormat="1" ht="12.75" customHeight="1">
      <c r="D49" s="665"/>
      <c r="E49" s="150"/>
      <c r="F49" s="150"/>
      <c r="G49" s="150"/>
      <c r="H49" s="150"/>
      <c r="I49" s="150"/>
      <c r="M49" s="3"/>
      <c r="N49" s="3"/>
      <c r="O49" s="3"/>
      <c r="P49" s="3"/>
      <c r="Q49" s="3"/>
      <c r="R49" s="3"/>
    </row>
    <row r="50" spans="3:18" s="4" customFormat="1" ht="12.75" customHeight="1">
      <c r="D50" s="665"/>
      <c r="E50" s="150"/>
      <c r="F50" s="150"/>
      <c r="G50" s="150"/>
      <c r="H50" s="150"/>
      <c r="I50" s="150"/>
      <c r="M50" s="3"/>
      <c r="N50" s="3"/>
      <c r="O50" s="3"/>
      <c r="P50" s="3"/>
      <c r="Q50" s="3"/>
      <c r="R50" s="3"/>
    </row>
    <row r="51" spans="3:18" s="4" customFormat="1" ht="12.75" customHeight="1">
      <c r="M51" s="3"/>
      <c r="N51" s="3"/>
      <c r="O51" s="3"/>
      <c r="P51" s="3"/>
      <c r="Q51" s="3"/>
      <c r="R51" s="3"/>
    </row>
    <row r="52" spans="3:18" s="4" customFormat="1" ht="12.75" customHeight="1">
      <c r="M52" s="3"/>
      <c r="N52" s="3"/>
      <c r="O52" s="3"/>
      <c r="P52" s="3"/>
      <c r="Q52" s="3"/>
      <c r="R52" s="3"/>
    </row>
    <row r="53" spans="3:18" s="4" customFormat="1" ht="12.75" customHeight="1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3:18" s="4" customFormat="1" ht="12.75" customHeigh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3:18" s="4" customFormat="1" ht="12.75" customHeight="1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3:18" s="4" customFormat="1" ht="12.75" customHeight="1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3:18" s="4" customFormat="1" ht="12.75" customHeight="1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3:18" s="4" customFormat="1" ht="12.75" customHeight="1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</row>
    <row r="59" spans="3:18" s="4" customFormat="1" ht="12.75" customHeight="1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</row>
    <row r="60" spans="3:18" s="4" customFormat="1" ht="12.75" customHeight="1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3:18" s="4" customFormat="1" ht="12.75" customHeight="1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3:18" s="4" customFormat="1" ht="12.7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3:18" s="4" customFormat="1" ht="12.75" customHeight="1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3:18" s="4" customFormat="1" ht="12.75" customHeight="1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3:18" s="4" customFormat="1" ht="12.75" customHeight="1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3:18" s="4" customFormat="1" ht="12.75" customHeigh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3:18" s="4" customFormat="1" ht="12.75" customHeight="1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</row>
    <row r="68" spans="3:18" s="4" customFormat="1" ht="12.75" customHeight="1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3:18" s="4" customFormat="1" ht="12.75" customHeight="1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3:18" s="4" customFormat="1" ht="12.75" customHeight="1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3:18" s="4" customFormat="1" ht="12.75" customHeight="1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3:18" s="4" customFormat="1" ht="12.75" customHeight="1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3:18" s="4" customFormat="1" ht="12.75" customHeight="1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</row>
    <row r="74" spans="3:18" s="4" customFormat="1" ht="12.75" customHeight="1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</row>
    <row r="75" spans="3:18" s="4" customFormat="1" ht="12.75" customHeight="1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3:18" s="4" customFormat="1" ht="12.75" customHeight="1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3:18" ht="12.75" customHeight="1"/>
    <row r="78" spans="3:18" ht="12.75" customHeight="1"/>
    <row r="79" spans="3:18" ht="12.75" customHeight="1"/>
    <row r="80" spans="3:18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</sheetData>
  <conditionalFormatting sqref="H19:H20 H31:H32 H27:H29 H34:H35">
    <cfRule type="expression" dxfId="21" priority="7" stopIfTrue="1">
      <formula>#REF!=0</formula>
    </cfRule>
  </conditionalFormatting>
  <conditionalFormatting sqref="G19:G21 F21 F31:G32 F27:G29 F34:G34 F33:J33 H21:J21">
    <cfRule type="expression" dxfId="20" priority="8" stopIfTrue="1">
      <formula>#REF!=0</formula>
    </cfRule>
  </conditionalFormatting>
  <conditionalFormatting sqref="F20">
    <cfRule type="expression" dxfId="19" priority="9" stopIfTrue="1">
      <formula>#REF!&gt;0</formula>
    </cfRule>
  </conditionalFormatting>
  <conditionalFormatting sqref="I20">
    <cfRule type="expression" dxfId="18" priority="6" stopIfTrue="1">
      <formula>#REF!=0</formula>
    </cfRule>
  </conditionalFormatting>
  <conditionalFormatting sqref="H22:H23">
    <cfRule type="expression" dxfId="17" priority="4" stopIfTrue="1">
      <formula>#REF!=0</formula>
    </cfRule>
  </conditionalFormatting>
  <conditionalFormatting sqref="F22:G22">
    <cfRule type="expression" dxfId="16" priority="5" stopIfTrue="1">
      <formula>#REF!=0</formula>
    </cfRule>
  </conditionalFormatting>
  <conditionalFormatting sqref="F41:J41">
    <cfRule type="expression" dxfId="15" priority="3" stopIfTrue="1">
      <formula>#REF!=0</formula>
    </cfRule>
  </conditionalFormatting>
  <conditionalFormatting sqref="H42:H43">
    <cfRule type="expression" dxfId="14" priority="1" stopIfTrue="1">
      <formula>#REF!=0</formula>
    </cfRule>
  </conditionalFormatting>
  <conditionalFormatting sqref="F42:G42">
    <cfRule type="expression" dxfId="13" priority="2" stopIfTrue="1">
      <formula>#REF!=0</formula>
    </cfRule>
  </conditionalFormatting>
  <printOptions horizontalCentered="1"/>
  <pageMargins left="0.35" right="0.35" top="0.35" bottom="0.35" header="0.15" footer="0.15"/>
  <pageSetup scale="77" orientation="landscape" r:id="rId1"/>
  <headerFooter alignWithMargins="0"/>
  <rowBreaks count="1" manualBreakCount="1">
    <brk id="13" min="2" max="1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3" r:id="rId4" name="Button 1">
              <controlPr defaultSize="0" print="0" autoFill="0" autoPict="0" macro="[0]!Fill_Tables_Acq_LBO">
                <anchor moveWithCells="1" sizeWithCells="1">
                  <from>
                    <xdr:col>15</xdr:col>
                    <xdr:colOff>161925</xdr:colOff>
                    <xdr:row>11</xdr:row>
                    <xdr:rowOff>19050</xdr:rowOff>
                  </from>
                  <to>
                    <xdr:col>16</xdr:col>
                    <xdr:colOff>276225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4" r:id="rId5" name="Button 2">
              <controlPr defaultSize="0" print="0" autoFill="0" autoPict="0" macro="[0]!Clear_Tables_Acq_LBO">
                <anchor moveWithCells="1" sizeWithCells="1">
                  <from>
                    <xdr:col>16</xdr:col>
                    <xdr:colOff>457200</xdr:colOff>
                    <xdr:row>11</xdr:row>
                    <xdr:rowOff>19050</xdr:rowOff>
                  </from>
                  <to>
                    <xdr:col>17</xdr:col>
                    <xdr:colOff>561975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rgb="FFFFFF66"/>
  </sheetPr>
  <dimension ref="A1:W139"/>
  <sheetViews>
    <sheetView showGridLines="0" view="pageBreakPreview" zoomScale="85" zoomScaleNormal="75" workbookViewId="0"/>
  </sheetViews>
  <sheetFormatPr defaultColWidth="11.83203125" defaultRowHeight="12.75"/>
  <cols>
    <col min="1" max="1" width="5.6640625" style="4" bestFit="1" customWidth="1"/>
    <col min="2" max="2" width="8" style="4" customWidth="1"/>
    <col min="3" max="3" width="11.83203125" style="3"/>
    <col min="4" max="5" width="8.1640625" style="3" customWidth="1"/>
    <col min="6" max="16384" width="11.83203125" style="3"/>
  </cols>
  <sheetData>
    <row r="1" spans="1:23">
      <c r="A1" s="625"/>
      <c r="B1" s="625"/>
      <c r="J1" s="179"/>
    </row>
    <row r="2" spans="1:23" s="4" customFormat="1" ht="23.25">
      <c r="C2" s="97" t="str">
        <f>proj</f>
        <v>Project MODEL</v>
      </c>
      <c r="D2" s="397"/>
      <c r="E2" s="7"/>
      <c r="F2" s="7"/>
      <c r="G2" s="7"/>
      <c r="H2" s="7"/>
      <c r="I2" s="7"/>
      <c r="J2" s="279"/>
      <c r="K2" s="7"/>
      <c r="L2" s="7"/>
      <c r="M2" s="7"/>
      <c r="N2" s="7"/>
      <c r="O2" s="7"/>
      <c r="P2" s="7"/>
      <c r="Q2" s="7"/>
      <c r="R2" s="398"/>
      <c r="S2" s="7"/>
      <c r="T2" s="7"/>
      <c r="U2" s="7"/>
      <c r="V2" s="7"/>
    </row>
    <row r="3" spans="1:23" s="276" customFormat="1" ht="20.100000000000001" customHeight="1" thickBot="1">
      <c r="C3" s="98" t="str">
        <f>'Tar LBO'!B3</f>
        <v>SG ENTERPRISES - Leveraged Buy-Out Analysis</v>
      </c>
      <c r="D3" s="98"/>
      <c r="E3" s="395"/>
      <c r="F3" s="395"/>
      <c r="G3" s="395"/>
      <c r="H3" s="395"/>
      <c r="I3" s="395"/>
      <c r="J3" s="626"/>
      <c r="K3" s="395"/>
      <c r="L3" s="395"/>
      <c r="M3" s="395"/>
      <c r="N3" s="395"/>
      <c r="O3" s="395"/>
      <c r="P3" s="395"/>
      <c r="Q3" s="395"/>
      <c r="R3" s="400" t="str">
        <f>'Tar LBO'!Q3</f>
        <v>Wall street consensus</v>
      </c>
    </row>
    <row r="4" spans="1:23" ht="15" customHeight="1">
      <c r="C4" s="335"/>
      <c r="D4" s="8"/>
      <c r="E4" s="8"/>
      <c r="F4" s="8"/>
      <c r="G4" s="8"/>
      <c r="H4" s="8"/>
      <c r="I4" s="8"/>
      <c r="J4" s="179"/>
      <c r="K4" s="8"/>
      <c r="L4" s="8"/>
      <c r="M4" s="8"/>
      <c r="N4" s="8"/>
      <c r="O4" s="8"/>
      <c r="P4" s="8"/>
      <c r="Q4" s="457"/>
      <c r="R4" s="627" t="str">
        <f>'Tar LBO'!Q4</f>
        <v>Source: Research Provider</v>
      </c>
    </row>
    <row r="5" spans="1:23" ht="12.75" customHeight="1">
      <c r="C5" s="506"/>
      <c r="D5" s="8"/>
      <c r="E5" s="8"/>
      <c r="F5" s="8"/>
      <c r="G5" s="8"/>
      <c r="H5" s="8"/>
      <c r="I5" s="8"/>
      <c r="J5" s="179"/>
      <c r="K5" s="8"/>
      <c r="L5" s="8"/>
      <c r="M5" s="8"/>
      <c r="N5" s="8"/>
      <c r="O5" s="8"/>
      <c r="P5" s="8"/>
      <c r="Q5" s="8"/>
      <c r="R5" s="8"/>
    </row>
    <row r="6" spans="1:23" s="4" customFormat="1" ht="15.95" customHeight="1" collapsed="1" thickBot="1">
      <c r="C6" s="628" t="s">
        <v>492</v>
      </c>
      <c r="D6" s="629"/>
      <c r="E6" s="629"/>
      <c r="F6" s="629"/>
      <c r="G6" s="629"/>
      <c r="H6" s="629"/>
      <c r="I6" s="629"/>
      <c r="J6" s="629"/>
      <c r="K6" s="629"/>
      <c r="L6" s="629"/>
      <c r="M6" s="629"/>
      <c r="N6" s="629"/>
      <c r="O6" s="630"/>
      <c r="P6" s="630"/>
      <c r="Q6" s="630"/>
      <c r="R6" s="630"/>
      <c r="S6" s="631"/>
      <c r="T6" s="631"/>
    </row>
    <row r="7" spans="1:23" s="4" customFormat="1">
      <c r="C7" s="100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3" s="4" customFormat="1">
      <c r="C8" s="100"/>
      <c r="D8" s="8"/>
      <c r="E8" s="8"/>
      <c r="F8" s="8"/>
      <c r="G8" s="8"/>
      <c r="H8" s="443" t="s">
        <v>168</v>
      </c>
      <c r="I8" s="8"/>
      <c r="J8" s="8"/>
      <c r="K8" s="8"/>
      <c r="L8" s="8"/>
      <c r="M8" s="8"/>
      <c r="N8" s="8"/>
      <c r="O8" s="8"/>
      <c r="P8" s="8"/>
      <c r="Q8" s="8"/>
      <c r="R8" s="8"/>
    </row>
    <row r="9" spans="1:23" s="4" customFormat="1">
      <c r="C9" s="160" t="s">
        <v>493</v>
      </c>
      <c r="D9" s="8"/>
      <c r="F9" s="632">
        <v>35</v>
      </c>
      <c r="G9" s="8"/>
      <c r="H9" s="632">
        <v>2.5</v>
      </c>
      <c r="I9" s="8"/>
      <c r="J9" s="8"/>
      <c r="K9" s="8"/>
      <c r="L9" s="8"/>
      <c r="M9" s="8"/>
      <c r="N9" s="8"/>
      <c r="O9" s="8"/>
      <c r="P9" s="8"/>
      <c r="Q9" s="8"/>
      <c r="R9" s="8"/>
    </row>
    <row r="10" spans="1:23" s="4" customFormat="1">
      <c r="C10" s="100"/>
      <c r="D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</row>
    <row r="11" spans="1:23" s="4" customFormat="1">
      <c r="C11" s="160" t="s">
        <v>576</v>
      </c>
      <c r="D11" s="8"/>
      <c r="F11" s="633">
        <v>10</v>
      </c>
      <c r="G11" s="8"/>
      <c r="H11" s="633">
        <v>1</v>
      </c>
      <c r="I11" s="8"/>
      <c r="J11" s="8"/>
      <c r="K11" s="8"/>
      <c r="L11" s="8"/>
      <c r="M11" s="8"/>
      <c r="N11" s="8"/>
      <c r="O11" s="8"/>
      <c r="P11" s="8"/>
      <c r="Q11" s="8"/>
      <c r="R11" s="8"/>
    </row>
    <row r="12" spans="1:23" s="4" customFormat="1">
      <c r="C12" s="100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</row>
    <row r="13" spans="1:23" s="4" customFormat="1">
      <c r="P13" s="303"/>
      <c r="Q13" s="303"/>
      <c r="R13" s="303"/>
    </row>
    <row r="14" spans="1:23" s="4" customFormat="1" ht="15.95" customHeight="1" collapsed="1" thickBot="1">
      <c r="C14" s="628" t="s">
        <v>327</v>
      </c>
      <c r="D14" s="629"/>
      <c r="E14" s="629"/>
      <c r="F14" s="629"/>
      <c r="G14" s="629"/>
      <c r="H14" s="629"/>
      <c r="I14" s="629"/>
      <c r="J14" s="629"/>
      <c r="K14" s="629"/>
      <c r="L14" s="629"/>
      <c r="M14" s="629"/>
      <c r="N14" s="629"/>
      <c r="O14" s="630"/>
      <c r="P14" s="630"/>
      <c r="Q14" s="630"/>
      <c r="R14" s="630"/>
      <c r="S14" s="634"/>
      <c r="T14" s="635" t="s">
        <v>577</v>
      </c>
      <c r="U14" s="636"/>
      <c r="V14" s="636"/>
      <c r="W14" s="637"/>
    </row>
    <row r="15" spans="1:23" s="4" customFormat="1">
      <c r="C15" s="176" t="str">
        <f>'Tar LBO'!B8</f>
        <v>(Amounts in Millions, Except Per Share Data)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T15" s="638"/>
      <c r="W15" s="639"/>
    </row>
    <row r="16" spans="1:23" s="4" customFormat="1" ht="5.0999999999999996" customHeight="1">
      <c r="C16" s="335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T16" s="638"/>
      <c r="W16" s="639"/>
    </row>
    <row r="17" spans="1:23" s="4" customFormat="1" ht="12.75" customHeight="1">
      <c r="C17" s="100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T17" s="638"/>
      <c r="W17" s="639"/>
    </row>
    <row r="18" spans="1:23" s="4" customFormat="1" ht="12.75" customHeight="1">
      <c r="D18" s="640" t="s">
        <v>329</v>
      </c>
      <c r="E18" s="640"/>
      <c r="F18" s="640"/>
      <c r="G18" s="640"/>
      <c r="H18" s="640"/>
      <c r="I18" s="640"/>
      <c r="J18" s="640"/>
      <c r="T18" s="638"/>
      <c r="W18" s="639"/>
    </row>
    <row r="19" spans="1:23" s="4" customFormat="1" ht="12.75" customHeight="1">
      <c r="D19" s="211"/>
      <c r="E19" s="211"/>
      <c r="F19" s="211"/>
      <c r="G19" s="211"/>
      <c r="H19" s="211"/>
      <c r="I19" s="211"/>
      <c r="J19" s="211"/>
      <c r="K19" s="7"/>
      <c r="L19" s="7"/>
      <c r="M19" s="7"/>
      <c r="N19" s="7"/>
      <c r="O19" s="7"/>
      <c r="P19" s="7"/>
      <c r="Q19" s="7"/>
      <c r="R19" s="7"/>
      <c r="T19" s="641"/>
      <c r="U19" s="642"/>
      <c r="V19" s="642"/>
      <c r="W19" s="643"/>
    </row>
    <row r="20" spans="1:23" s="4" customFormat="1" ht="12.75" customHeight="1">
      <c r="D20" s="3"/>
      <c r="E20" s="3"/>
      <c r="F20" s="644" t="s">
        <v>328</v>
      </c>
      <c r="G20" s="8"/>
      <c r="H20" s="8"/>
      <c r="I20" s="8"/>
      <c r="J20" s="8"/>
      <c r="K20" s="96"/>
      <c r="L20" s="7"/>
      <c r="M20" s="7"/>
      <c r="N20" s="576"/>
      <c r="O20" s="7"/>
      <c r="P20" s="7"/>
      <c r="Q20" s="7"/>
      <c r="R20" s="7"/>
    </row>
    <row r="21" spans="1:23" s="4" customFormat="1" ht="12.75" customHeight="1">
      <c r="D21" s="3"/>
      <c r="E21" s="645">
        <f ca="1">'Tar LBO'!R337</f>
        <v>0.18013805014653639</v>
      </c>
      <c r="F21" s="646">
        <v>35</v>
      </c>
      <c r="G21" s="646">
        <f>+F21+2.5</f>
        <v>37.5</v>
      </c>
      <c r="H21" s="646">
        <f t="shared" ref="H21:J21" si="0">+G21+2.5</f>
        <v>40</v>
      </c>
      <c r="I21" s="646">
        <f t="shared" si="0"/>
        <v>42.5</v>
      </c>
      <c r="J21" s="646">
        <f t="shared" si="0"/>
        <v>45</v>
      </c>
      <c r="K21" s="576"/>
      <c r="L21" s="576"/>
      <c r="M21" s="576"/>
      <c r="N21" s="7"/>
      <c r="O21" s="7"/>
      <c r="P21" s="7"/>
      <c r="Q21" s="7"/>
      <c r="R21" s="7"/>
    </row>
    <row r="22" spans="1:23" s="647" customFormat="1" ht="12.75" customHeight="1">
      <c r="D22" s="3"/>
      <c r="E22" s="648">
        <v>8</v>
      </c>
      <c r="F22" s="189">
        <f t="dataTable" ref="F22:J26" dt2D="1" dtr="1" r1="F9" r2="F11" ca="1"/>
        <v>9.2004356373503571E-2</v>
      </c>
      <c r="G22" s="189">
        <v>5.0524495886364651E-2</v>
      </c>
      <c r="H22" s="189">
        <v>1.6690323341611801E-2</v>
      </c>
      <c r="I22" s="189">
        <v>-1.2964406595376121E-2</v>
      </c>
      <c r="J22" s="189">
        <v>-4.0096091402176959E-2</v>
      </c>
      <c r="K22" s="150"/>
      <c r="L22" s="150"/>
      <c r="M22" s="649"/>
      <c r="N22" s="650"/>
      <c r="O22" s="650"/>
      <c r="P22" s="650"/>
    </row>
    <row r="23" spans="1:23" s="4" customFormat="1" ht="12.75" customHeight="1">
      <c r="A23" s="651"/>
      <c r="B23" s="652"/>
      <c r="D23" s="3"/>
      <c r="E23" s="648">
        <v>9</v>
      </c>
      <c r="F23" s="200">
        <v>0.13862715809673753</v>
      </c>
      <c r="G23" s="200">
        <v>9.484147632365425E-2</v>
      </c>
      <c r="H23" s="200">
        <v>5.907458904363927E-2</v>
      </c>
      <c r="I23" s="200">
        <v>2.9078320031073135E-2</v>
      </c>
      <c r="J23" s="200">
        <v>3.4118555661866168E-3</v>
      </c>
      <c r="K23" s="150"/>
      <c r="L23" s="150"/>
      <c r="M23" s="649"/>
      <c r="N23" s="652"/>
      <c r="O23" s="652"/>
      <c r="P23" s="652"/>
    </row>
    <row r="24" spans="1:23" s="4" customFormat="1" ht="12.75" customHeight="1">
      <c r="A24" s="653"/>
      <c r="B24" s="652"/>
      <c r="D24" s="3"/>
      <c r="E24" s="648">
        <v>10</v>
      </c>
      <c r="F24" s="200">
        <v>0.18013805014653639</v>
      </c>
      <c r="G24" s="200">
        <v>0.13059441845000141</v>
      </c>
      <c r="H24" s="200">
        <v>9.2914598537207516E-2</v>
      </c>
      <c r="I24" s="200">
        <v>6.1340251497453924E-2</v>
      </c>
      <c r="J24" s="200">
        <v>3.4336096367347801E-2</v>
      </c>
      <c r="K24" s="150"/>
      <c r="L24" s="150"/>
      <c r="M24" s="649"/>
      <c r="N24" s="652"/>
      <c r="O24" s="652"/>
      <c r="P24" s="652"/>
    </row>
    <row r="25" spans="1:23" s="4" customFormat="1" ht="12.75" customHeight="1">
      <c r="A25" s="653"/>
      <c r="B25" s="652"/>
      <c r="D25" s="3"/>
      <c r="E25" s="648">
        <v>11</v>
      </c>
      <c r="F25" s="200">
        <v>0.21564198662724765</v>
      </c>
      <c r="G25" s="200">
        <v>0.1675848348639013</v>
      </c>
      <c r="H25" s="200">
        <v>0.12834933976082241</v>
      </c>
      <c r="I25" s="200">
        <v>9.5443349138827127E-2</v>
      </c>
      <c r="J25" s="200">
        <v>6.7276725754954914E-2</v>
      </c>
      <c r="K25" s="150"/>
      <c r="L25" s="150"/>
      <c r="M25" s="649"/>
      <c r="N25" s="652"/>
      <c r="O25" s="652"/>
      <c r="P25" s="652"/>
    </row>
    <row r="26" spans="1:23" s="4" customFormat="1" ht="12.75" customHeight="1">
      <c r="A26" s="653"/>
      <c r="B26" s="652"/>
      <c r="D26" s="3"/>
      <c r="E26" s="648">
        <v>12</v>
      </c>
      <c r="F26" s="200">
        <v>0.25109307144490778</v>
      </c>
      <c r="G26" s="200">
        <v>0.20136021022523276</v>
      </c>
      <c r="H26" s="200">
        <v>0.16072893751135764</v>
      </c>
      <c r="I26" s="200">
        <v>0.12662949483964181</v>
      </c>
      <c r="J26" s="200">
        <v>9.7422057600865752E-2</v>
      </c>
      <c r="K26" s="150"/>
      <c r="L26" s="150"/>
      <c r="M26" s="649"/>
      <c r="N26" s="652"/>
      <c r="O26" s="652"/>
      <c r="P26" s="652"/>
    </row>
    <row r="27" spans="1:23" s="4" customFormat="1" ht="12.75" customHeight="1">
      <c r="A27" s="653"/>
      <c r="B27" s="652"/>
      <c r="D27" s="3"/>
      <c r="E27" s="3"/>
      <c r="F27" s="3"/>
      <c r="G27" s="3"/>
      <c r="H27" s="3"/>
      <c r="I27" s="3"/>
      <c r="J27" s="3"/>
      <c r="K27" s="150"/>
      <c r="L27" s="150"/>
      <c r="M27" s="649"/>
      <c r="N27" s="652"/>
      <c r="O27" s="652"/>
      <c r="P27" s="652"/>
    </row>
    <row r="28" spans="1:23" s="4" customFormat="1" ht="12.75" customHeight="1">
      <c r="A28" s="653"/>
      <c r="B28" s="652"/>
      <c r="D28" s="3"/>
      <c r="E28" s="3"/>
      <c r="F28" s="3"/>
      <c r="G28" s="3"/>
      <c r="H28" s="3"/>
      <c r="I28" s="3"/>
      <c r="J28" s="3"/>
      <c r="K28" s="150"/>
      <c r="L28" s="150"/>
      <c r="M28" s="649"/>
      <c r="N28" s="652"/>
      <c r="O28" s="652"/>
      <c r="P28" s="652"/>
    </row>
    <row r="29" spans="1:23" s="4" customFormat="1" ht="12.75" customHeight="1">
      <c r="A29" s="653"/>
      <c r="B29" s="652"/>
      <c r="D29" s="3"/>
      <c r="E29" s="3"/>
      <c r="F29" s="3"/>
      <c r="G29" s="3"/>
      <c r="H29" s="3"/>
      <c r="I29" s="3"/>
      <c r="J29" s="3"/>
      <c r="K29" s="150"/>
      <c r="L29" s="150"/>
      <c r="M29" s="649"/>
      <c r="N29" s="652"/>
      <c r="O29" s="652"/>
      <c r="P29" s="652"/>
    </row>
    <row r="30" spans="1:23" s="4" customFormat="1" ht="12.75" customHeight="1">
      <c r="A30" s="653"/>
      <c r="B30" s="652"/>
      <c r="D30" s="640" t="s">
        <v>330</v>
      </c>
      <c r="E30" s="640"/>
      <c r="F30" s="640"/>
      <c r="G30" s="640"/>
      <c r="H30" s="640"/>
      <c r="I30" s="640"/>
      <c r="J30" s="640"/>
      <c r="K30" s="150"/>
      <c r="L30" s="150"/>
      <c r="M30" s="649"/>
      <c r="N30" s="652"/>
      <c r="O30" s="652"/>
      <c r="P30" s="652"/>
    </row>
    <row r="31" spans="1:23" s="4" customFormat="1" ht="12.75" customHeight="1">
      <c r="A31" s="653"/>
      <c r="B31" s="652"/>
      <c r="D31" s="211"/>
      <c r="E31" s="211"/>
      <c r="F31" s="211"/>
      <c r="G31" s="211"/>
      <c r="H31" s="211"/>
      <c r="I31" s="211"/>
      <c r="J31" s="211"/>
      <c r="K31" s="150"/>
      <c r="L31" s="150"/>
      <c r="M31" s="649"/>
      <c r="N31" s="652"/>
      <c r="O31" s="652"/>
      <c r="P31" s="652"/>
    </row>
    <row r="32" spans="1:23" s="4" customFormat="1" ht="12.75" customHeight="1">
      <c r="A32" s="653"/>
      <c r="B32" s="652"/>
      <c r="D32" s="3"/>
      <c r="E32" s="3"/>
      <c r="F32" s="644" t="s">
        <v>328</v>
      </c>
      <c r="G32" s="8"/>
      <c r="H32" s="8"/>
      <c r="I32" s="8"/>
      <c r="J32" s="8"/>
      <c r="K32" s="150"/>
      <c r="L32" s="150"/>
      <c r="M32" s="649"/>
      <c r="N32" s="652"/>
      <c r="O32" s="652"/>
      <c r="P32" s="652"/>
    </row>
    <row r="33" spans="1:18" s="4" customFormat="1" ht="12.75" customHeight="1">
      <c r="A33" s="653"/>
      <c r="B33" s="652"/>
      <c r="D33" s="3"/>
      <c r="E33" s="645">
        <f ca="1">'Tar LBO'!R343</f>
        <v>0.18142070651772224</v>
      </c>
      <c r="F33" s="654">
        <f>+F21</f>
        <v>35</v>
      </c>
      <c r="G33" s="654">
        <f>+G21</f>
        <v>37.5</v>
      </c>
      <c r="H33" s="654">
        <f>+H21</f>
        <v>40</v>
      </c>
      <c r="I33" s="654">
        <f>+I21</f>
        <v>42.5</v>
      </c>
      <c r="J33" s="654">
        <f>+J21</f>
        <v>45</v>
      </c>
      <c r="K33" s="150"/>
      <c r="L33" s="150"/>
      <c r="M33" s="649"/>
      <c r="N33" s="652"/>
      <c r="O33" s="652"/>
      <c r="P33" s="652"/>
    </row>
    <row r="34" spans="1:18" s="4" customFormat="1" ht="12.75" customHeight="1">
      <c r="A34" s="653"/>
      <c r="B34" s="652"/>
      <c r="D34" s="3"/>
      <c r="E34" s="655">
        <f>+E22</f>
        <v>8</v>
      </c>
      <c r="F34" s="189">
        <f t="dataTable" ref="F34:J38" dt2D="1" dtr="1" r1="F9" r2="F11" ca="1"/>
        <v>0.10915758623635985</v>
      </c>
      <c r="G34" s="189">
        <v>7.4481157087976202E-2</v>
      </c>
      <c r="H34" s="189">
        <v>4.6015353746573284E-2</v>
      </c>
      <c r="I34" s="189">
        <v>2.2036036026366501E-2</v>
      </c>
      <c r="J34" s="189">
        <v>1.43557971582986E-3</v>
      </c>
      <c r="K34" s="150"/>
      <c r="L34" s="150"/>
      <c r="M34" s="649"/>
      <c r="N34" s="652"/>
      <c r="O34" s="652"/>
      <c r="P34" s="652"/>
    </row>
    <row r="35" spans="1:18" s="211" customFormat="1" ht="12.75" customHeight="1">
      <c r="D35" s="3"/>
      <c r="E35" s="655">
        <f>+E23</f>
        <v>9</v>
      </c>
      <c r="F35" s="200">
        <v>0.14539316048449047</v>
      </c>
      <c r="G35" s="200">
        <v>0.10922436945275593</v>
      </c>
      <c r="H35" s="200">
        <v>7.949526987005795E-2</v>
      </c>
      <c r="I35" s="200">
        <v>5.4420181923528377E-2</v>
      </c>
      <c r="J35" s="200">
        <v>3.2851739162698124E-2</v>
      </c>
      <c r="K35" s="656"/>
      <c r="L35" s="656"/>
      <c r="M35" s="656"/>
      <c r="N35" s="657"/>
      <c r="O35" s="657"/>
      <c r="P35" s="657"/>
      <c r="Q35" s="657"/>
      <c r="R35" s="657"/>
    </row>
    <row r="36" spans="1:18" s="211" customFormat="1" ht="12.75" customHeight="1">
      <c r="D36" s="3"/>
      <c r="E36" s="655">
        <f>+E24</f>
        <v>10</v>
      </c>
      <c r="F36" s="200">
        <v>0.17755037122508988</v>
      </c>
      <c r="G36" s="200">
        <v>0.14009180248648012</v>
      </c>
      <c r="H36" s="200">
        <v>0.10927309556596776</v>
      </c>
      <c r="I36" s="200">
        <v>8.3254540006951316E-2</v>
      </c>
      <c r="J36" s="200">
        <v>6.0853899333250583E-2</v>
      </c>
      <c r="K36" s="658"/>
      <c r="L36" s="658"/>
      <c r="M36" s="658"/>
      <c r="N36" s="658"/>
      <c r="O36" s="658"/>
      <c r="P36" s="658"/>
    </row>
    <row r="37" spans="1:18" s="4" customFormat="1" ht="12.75" customHeight="1">
      <c r="D37" s="3"/>
      <c r="E37" s="655">
        <f>+E25</f>
        <v>11</v>
      </c>
      <c r="F37" s="200">
        <v>0.2065360233670277</v>
      </c>
      <c r="G37" s="200">
        <v>0.16793849626907242</v>
      </c>
      <c r="H37" s="200">
        <v>0.13615924043253513</v>
      </c>
      <c r="I37" s="200">
        <v>0.10931022029100013</v>
      </c>
      <c r="J37" s="200">
        <v>8.6178029389419653E-2</v>
      </c>
    </row>
    <row r="38" spans="1:18" s="4" customFormat="1" ht="12.75" customHeight="1">
      <c r="D38" s="3"/>
      <c r="E38" s="655">
        <f>+E26</f>
        <v>12</v>
      </c>
      <c r="F38" s="200">
        <v>0.23297742719420644</v>
      </c>
      <c r="G38" s="200">
        <v>0.19335779124572627</v>
      </c>
      <c r="H38" s="200">
        <v>0.16071778764893696</v>
      </c>
      <c r="I38" s="200">
        <v>0.13312555924525293</v>
      </c>
      <c r="J38" s="200">
        <v>0.10933944617970437</v>
      </c>
      <c r="K38" s="541"/>
      <c r="L38" s="541"/>
      <c r="M38" s="541"/>
      <c r="N38" s="541"/>
      <c r="O38" s="541"/>
      <c r="P38" s="541"/>
      <c r="Q38" s="541"/>
      <c r="R38" s="541"/>
    </row>
    <row r="39" spans="1:18" s="4" customFormat="1" ht="12.75" customHeight="1">
      <c r="C39" s="142"/>
      <c r="D39" s="540"/>
      <c r="E39" s="541"/>
      <c r="F39" s="541"/>
      <c r="G39" s="541"/>
      <c r="H39" s="541"/>
      <c r="I39" s="540"/>
      <c r="J39" s="541"/>
      <c r="K39" s="541"/>
      <c r="L39" s="541"/>
      <c r="M39" s="541"/>
      <c r="N39" s="540"/>
      <c r="O39" s="541"/>
      <c r="P39" s="541"/>
      <c r="Q39" s="541"/>
      <c r="R39" s="541"/>
    </row>
    <row r="40" spans="1:18" s="4" customFormat="1" ht="12.75" customHeight="1"/>
    <row r="41" spans="1:18" s="4" customFormat="1" ht="12.75" customHeight="1">
      <c r="E41" s="645"/>
      <c r="F41" s="654">
        <f ca="1">+tlboprice-2*$H$9</f>
        <v>30</v>
      </c>
      <c r="G41" s="654">
        <f ca="1">+F41+$H$9</f>
        <v>32.5</v>
      </c>
      <c r="H41" s="654">
        <f ca="1">+G41+$H$9</f>
        <v>35</v>
      </c>
      <c r="I41" s="654">
        <f ca="1">+H41+$H$9</f>
        <v>37.5</v>
      </c>
      <c r="J41" s="654">
        <f ca="1">+I41+$H$9</f>
        <v>40</v>
      </c>
    </row>
    <row r="42" spans="1:18" s="4" customFormat="1" ht="12.75" customHeight="1">
      <c r="C42" s="659"/>
      <c r="D42" s="659"/>
      <c r="E42" s="655">
        <f ca="1">+texit-2*$H$11</f>
        <v>8</v>
      </c>
      <c r="F42" s="660"/>
      <c r="G42" s="660"/>
      <c r="H42" s="660"/>
      <c r="I42" s="660"/>
      <c r="J42" s="660"/>
    </row>
    <row r="43" spans="1:18" s="4" customFormat="1" ht="12.75" customHeight="1">
      <c r="C43" s="211"/>
      <c r="D43" s="211"/>
      <c r="E43" s="655">
        <f ca="1">+E42+$H$11</f>
        <v>9</v>
      </c>
      <c r="F43" s="200"/>
      <c r="G43" s="661"/>
      <c r="H43" s="200"/>
      <c r="I43" s="200"/>
      <c r="J43" s="200"/>
    </row>
    <row r="44" spans="1:18" s="4" customFormat="1" ht="12.75" customHeight="1">
      <c r="E44" s="655">
        <f ca="1">+E43+$H$11</f>
        <v>10</v>
      </c>
      <c r="F44" s="662" t="s">
        <v>584</v>
      </c>
      <c r="G44" s="663"/>
      <c r="H44" s="200"/>
      <c r="I44" s="200"/>
      <c r="J44" s="200"/>
    </row>
    <row r="45" spans="1:18" s="4" customFormat="1" ht="12.75" customHeight="1">
      <c r="D45" s="664"/>
      <c r="E45" s="655">
        <f ca="1">+E44+$H$11</f>
        <v>11</v>
      </c>
      <c r="F45" s="200"/>
      <c r="G45" s="200"/>
      <c r="H45" s="200"/>
      <c r="I45" s="200"/>
      <c r="J45" s="200"/>
      <c r="M45" s="3"/>
      <c r="N45" s="3"/>
      <c r="O45" s="3"/>
      <c r="P45" s="3"/>
      <c r="Q45" s="3"/>
      <c r="R45" s="3"/>
    </row>
    <row r="46" spans="1:18" s="4" customFormat="1" ht="12.75" customHeight="1">
      <c r="D46" s="665"/>
      <c r="E46" s="655">
        <f ca="1">+E45+$H$11</f>
        <v>12</v>
      </c>
      <c r="F46" s="200"/>
      <c r="G46" s="200"/>
      <c r="H46" s="200"/>
      <c r="I46" s="200"/>
      <c r="J46" s="200"/>
      <c r="M46" s="3"/>
      <c r="N46" s="3"/>
      <c r="O46" s="3"/>
      <c r="P46" s="3"/>
      <c r="Q46" s="3"/>
      <c r="R46" s="3"/>
    </row>
    <row r="47" spans="1:18" s="4" customFormat="1" ht="12.75" customHeight="1">
      <c r="D47" s="665"/>
      <c r="E47" s="150"/>
      <c r="F47" s="150"/>
      <c r="G47" s="150"/>
      <c r="H47" s="150"/>
      <c r="I47" s="150"/>
      <c r="M47" s="3"/>
      <c r="N47" s="3"/>
      <c r="O47" s="3"/>
      <c r="P47" s="3"/>
      <c r="Q47" s="3"/>
      <c r="R47" s="3"/>
    </row>
    <row r="48" spans="1:18" s="4" customFormat="1" ht="12.75" customHeight="1">
      <c r="D48" s="665"/>
      <c r="E48" s="150"/>
      <c r="F48" s="150"/>
      <c r="G48" s="150"/>
      <c r="H48" s="150"/>
      <c r="I48" s="150"/>
      <c r="M48" s="3"/>
      <c r="N48" s="3"/>
      <c r="O48" s="3"/>
      <c r="P48" s="3"/>
      <c r="Q48" s="3"/>
      <c r="R48" s="3"/>
    </row>
    <row r="49" spans="3:18" s="4" customFormat="1" ht="12.75" customHeight="1">
      <c r="D49" s="665"/>
      <c r="E49" s="150"/>
      <c r="F49" s="150"/>
      <c r="G49" s="150"/>
      <c r="H49" s="150"/>
      <c r="I49" s="150"/>
      <c r="M49" s="3"/>
      <c r="N49" s="3"/>
      <c r="O49" s="3"/>
      <c r="P49" s="3"/>
      <c r="Q49" s="3"/>
      <c r="R49" s="3"/>
    </row>
    <row r="50" spans="3:18" s="4" customFormat="1" ht="12.75" customHeight="1">
      <c r="D50" s="665"/>
      <c r="E50" s="150"/>
      <c r="F50" s="150"/>
      <c r="G50" s="150"/>
      <c r="H50" s="150"/>
      <c r="I50" s="150"/>
      <c r="M50" s="3"/>
      <c r="N50" s="3"/>
      <c r="O50" s="3"/>
      <c r="P50" s="3"/>
      <c r="Q50" s="3"/>
      <c r="R50" s="3"/>
    </row>
    <row r="51" spans="3:18" s="4" customFormat="1" ht="12.75" customHeight="1">
      <c r="M51" s="3"/>
      <c r="N51" s="3"/>
      <c r="O51" s="3"/>
      <c r="P51" s="3"/>
      <c r="Q51" s="3"/>
      <c r="R51" s="3"/>
    </row>
    <row r="52" spans="3:18" s="4" customFormat="1" ht="12.75" customHeight="1">
      <c r="M52" s="3"/>
      <c r="N52" s="3"/>
      <c r="O52" s="3"/>
      <c r="P52" s="3"/>
      <c r="Q52" s="3"/>
      <c r="R52" s="3"/>
    </row>
    <row r="53" spans="3:18" s="4" customFormat="1" ht="12.75" customHeight="1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3:18" s="4" customFormat="1" ht="12.75" customHeigh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3:18" s="4" customFormat="1" ht="12.75" customHeight="1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3:18" s="4" customFormat="1" ht="12.75" customHeight="1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3:18" s="4" customFormat="1" ht="12.75" customHeight="1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3:18" s="4" customFormat="1" ht="12.75" customHeight="1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</row>
    <row r="59" spans="3:18" s="4" customFormat="1" ht="12.75" customHeight="1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</row>
    <row r="60" spans="3:18" s="4" customFormat="1" ht="12.75" customHeight="1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3:18" s="4" customFormat="1" ht="12.75" customHeight="1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3:18" s="4" customFormat="1" ht="12.7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3:18" s="4" customFormat="1" ht="12.75" customHeight="1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3:18" s="4" customFormat="1" ht="12.75" customHeight="1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3:18" s="4" customFormat="1" ht="12.75" customHeight="1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3:18" s="4" customFormat="1" ht="12.75" customHeigh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3:18" s="4" customFormat="1" ht="12.75" customHeight="1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</row>
    <row r="68" spans="3:18" s="4" customFormat="1" ht="12.75" customHeight="1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3:18" s="4" customFormat="1" ht="12.75" customHeight="1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3:18" s="4" customFormat="1" ht="12.75" customHeight="1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3:18" s="4" customFormat="1" ht="12.75" customHeight="1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3:18" s="4" customFormat="1" ht="12.75" customHeight="1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3:18" s="4" customFormat="1" ht="12.75" customHeight="1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</row>
    <row r="74" spans="3:18" s="4" customFormat="1" ht="12.75" customHeight="1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</row>
    <row r="75" spans="3:18" s="4" customFormat="1" ht="12.75" customHeight="1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3:18" s="4" customFormat="1" ht="12.75" customHeight="1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3:18" ht="12.75" customHeight="1"/>
    <row r="78" spans="3:18" ht="12.75" customHeight="1"/>
    <row r="79" spans="3:18" ht="12.75" customHeight="1"/>
    <row r="80" spans="3:18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</sheetData>
  <conditionalFormatting sqref="H19:H20 H31:H32 H27:H29 H34:H35">
    <cfRule type="expression" dxfId="12" priority="7" stopIfTrue="1">
      <formula>#REF!=0</formula>
    </cfRule>
  </conditionalFormatting>
  <conditionalFormatting sqref="G19:G21 F21 F31:G32 F27:G29 H21:J21 F34:G34 F33:J33">
    <cfRule type="expression" dxfId="11" priority="8" stopIfTrue="1">
      <formula>#REF!=0</formula>
    </cfRule>
  </conditionalFormatting>
  <conditionalFormatting sqref="F20">
    <cfRule type="expression" dxfId="10" priority="9" stopIfTrue="1">
      <formula>#REF!&gt;0</formula>
    </cfRule>
  </conditionalFormatting>
  <conditionalFormatting sqref="I20">
    <cfRule type="expression" dxfId="9" priority="6" stopIfTrue="1">
      <formula>#REF!=0</formula>
    </cfRule>
  </conditionalFormatting>
  <conditionalFormatting sqref="H22:H23">
    <cfRule type="expression" dxfId="8" priority="4" stopIfTrue="1">
      <formula>#REF!=0</formula>
    </cfRule>
  </conditionalFormatting>
  <conditionalFormatting sqref="F22:G22">
    <cfRule type="expression" dxfId="7" priority="5" stopIfTrue="1">
      <formula>#REF!=0</formula>
    </cfRule>
  </conditionalFormatting>
  <conditionalFormatting sqref="F41:J41">
    <cfRule type="expression" dxfId="6" priority="3" stopIfTrue="1">
      <formula>#REF!=0</formula>
    </cfRule>
  </conditionalFormatting>
  <conditionalFormatting sqref="H42:H43">
    <cfRule type="expression" dxfId="5" priority="1" stopIfTrue="1">
      <formula>#REF!=0</formula>
    </cfRule>
  </conditionalFormatting>
  <conditionalFormatting sqref="F42:G42">
    <cfRule type="expression" dxfId="4" priority="2" stopIfTrue="1">
      <formula>#REF!=0</formula>
    </cfRule>
  </conditionalFormatting>
  <printOptions horizontalCentered="1"/>
  <pageMargins left="0.35" right="0.35" top="0.35" bottom="0.35" header="0.15" footer="0.15"/>
  <pageSetup scale="77" orientation="landscape" r:id="rId1"/>
  <headerFooter alignWithMargins="0"/>
  <rowBreaks count="1" manualBreakCount="1">
    <brk id="13" min="2" max="1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4" name="Button 1">
              <controlPr defaultSize="0" print="0" autoFill="0" autoPict="0" macro="[0]!Fill_Tables_Tar_LBO">
                <anchor moveWithCells="1" sizeWithCells="1">
                  <from>
                    <xdr:col>15</xdr:col>
                    <xdr:colOff>161925</xdr:colOff>
                    <xdr:row>11</xdr:row>
                    <xdr:rowOff>19050</xdr:rowOff>
                  </from>
                  <to>
                    <xdr:col>16</xdr:col>
                    <xdr:colOff>276225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5" name="Button 2">
              <controlPr defaultSize="0" print="0" autoFill="0" autoPict="0" macro="[0]!Clear_Tables_Tar_LBO">
                <anchor moveWithCells="1" sizeWithCells="1">
                  <from>
                    <xdr:col>16</xdr:col>
                    <xdr:colOff>457200</xdr:colOff>
                    <xdr:row>11</xdr:row>
                    <xdr:rowOff>19050</xdr:rowOff>
                  </from>
                  <to>
                    <xdr:col>17</xdr:col>
                    <xdr:colOff>571500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rgb="FFFFFF66"/>
  </sheetPr>
  <dimension ref="A1:W92"/>
  <sheetViews>
    <sheetView showGridLines="0" view="pageBreakPreview" zoomScale="85" zoomScaleNormal="75" workbookViewId="0"/>
  </sheetViews>
  <sheetFormatPr defaultColWidth="11.83203125" defaultRowHeight="12.75" outlineLevelRow="1"/>
  <cols>
    <col min="1" max="1" width="5.6640625" style="4" bestFit="1" customWidth="1"/>
    <col min="2" max="2" width="8" style="4" customWidth="1"/>
    <col min="3" max="16384" width="11.83203125" style="3"/>
  </cols>
  <sheetData>
    <row r="1" spans="1:23">
      <c r="A1" s="625"/>
      <c r="B1" s="625"/>
      <c r="J1" s="179"/>
    </row>
    <row r="2" spans="1:23" s="4" customFormat="1" ht="23.25">
      <c r="C2" s="97" t="str">
        <f>proj</f>
        <v>Project MODEL</v>
      </c>
      <c r="D2" s="397"/>
      <c r="E2" s="7"/>
      <c r="F2" s="7"/>
      <c r="G2" s="7"/>
      <c r="H2" s="7"/>
      <c r="I2" s="7"/>
      <c r="J2" s="279"/>
      <c r="K2" s="7"/>
      <c r="L2" s="7"/>
      <c r="M2" s="7"/>
      <c r="N2" s="7"/>
      <c r="O2" s="7"/>
      <c r="P2" s="180"/>
      <c r="Q2" s="180"/>
      <c r="R2" s="399" t="str">
        <f>acq&amp;" - "&amp;acname</f>
        <v>COLEMAN CO. - Wall street consensus</v>
      </c>
      <c r="S2" s="7"/>
      <c r="T2" s="7"/>
      <c r="U2" s="7"/>
      <c r="V2" s="7"/>
    </row>
    <row r="3" spans="1:23" s="276" customFormat="1" ht="20.100000000000001" customHeight="1" thickBot="1">
      <c r="C3" s="98" t="str">
        <f>Merger!B3</f>
        <v>COLEMAN CO. Acquires SG ENTERPRISES - 90% Cash / 10% Stock</v>
      </c>
      <c r="D3" s="98"/>
      <c r="E3" s="395"/>
      <c r="F3" s="395"/>
      <c r="G3" s="395"/>
      <c r="H3" s="395"/>
      <c r="I3" s="395"/>
      <c r="J3" s="626"/>
      <c r="K3" s="395"/>
      <c r="L3" s="395"/>
      <c r="M3" s="395"/>
      <c r="N3" s="395"/>
      <c r="O3" s="395"/>
      <c r="P3" s="395"/>
      <c r="Q3" s="395"/>
      <c r="R3" s="400" t="str">
        <f>tar&amp;" - "&amp;tcname</f>
        <v>SG ENTERPRISES - Wall street consensus</v>
      </c>
    </row>
    <row r="4" spans="1:23" ht="15" customHeight="1">
      <c r="C4" s="176" t="str">
        <f>Merger!B8</f>
        <v>(Amounts in Millions, Except Per Share Data)</v>
      </c>
      <c r="D4" s="8"/>
      <c r="E4" s="8"/>
      <c r="F4" s="8"/>
      <c r="G4" s="8"/>
      <c r="H4" s="8"/>
      <c r="I4" s="8"/>
      <c r="J4" s="179"/>
      <c r="K4" s="8"/>
      <c r="L4" s="8"/>
      <c r="M4" s="8"/>
      <c r="N4" s="8"/>
      <c r="O4" s="8"/>
      <c r="P4" s="457"/>
      <c r="Q4" s="457"/>
      <c r="R4" s="627" t="str">
        <f>Merger!Q4</f>
        <v>Includes Cost Savings/Synergies</v>
      </c>
    </row>
    <row r="5" spans="1:23" ht="12.75" customHeight="1">
      <c r="C5" s="506"/>
      <c r="D5" s="8"/>
      <c r="E5" s="8"/>
      <c r="F5" s="8"/>
      <c r="G5" s="8"/>
      <c r="H5" s="8"/>
      <c r="I5" s="8"/>
      <c r="J5" s="179"/>
      <c r="K5" s="8"/>
      <c r="L5" s="8"/>
      <c r="M5" s="8"/>
      <c r="N5" s="8"/>
      <c r="O5" s="8"/>
      <c r="P5" s="8"/>
      <c r="Q5" s="8"/>
      <c r="R5" s="8"/>
    </row>
    <row r="6" spans="1:23" s="4" customFormat="1" ht="15.95" customHeight="1" collapsed="1" thickBot="1">
      <c r="C6" s="459" t="s">
        <v>492</v>
      </c>
      <c r="D6" s="666"/>
      <c r="E6" s="666"/>
      <c r="F6" s="666"/>
      <c r="G6" s="666"/>
      <c r="H6" s="666"/>
      <c r="I6" s="666"/>
      <c r="J6" s="666"/>
      <c r="K6" s="666"/>
      <c r="L6" s="666"/>
      <c r="M6" s="666"/>
      <c r="N6" s="666"/>
      <c r="O6" s="667"/>
      <c r="P6" s="667"/>
      <c r="Q6" s="667"/>
      <c r="R6" s="667"/>
      <c r="S6" s="631"/>
      <c r="T6" s="631"/>
    </row>
    <row r="7" spans="1:23" s="4" customFormat="1">
      <c r="C7" s="100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3" s="4" customFormat="1">
      <c r="C8" s="100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</row>
    <row r="9" spans="1:23" s="4" customFormat="1">
      <c r="C9" s="160" t="s">
        <v>493</v>
      </c>
      <c r="D9" s="8"/>
      <c r="F9" s="632">
        <v>30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</row>
    <row r="10" spans="1:23" s="4" customFormat="1">
      <c r="C10" s="100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</row>
    <row r="11" spans="1:23" s="4" customFormat="1">
      <c r="C11" s="100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</row>
    <row r="12" spans="1:23" s="4" customFormat="1">
      <c r="P12" s="303"/>
      <c r="Q12" s="303"/>
      <c r="R12" s="303"/>
    </row>
    <row r="13" spans="1:23" s="4" customFormat="1" ht="15.95" customHeight="1" collapsed="1" thickBot="1">
      <c r="C13" s="459" t="s">
        <v>243</v>
      </c>
      <c r="D13" s="666"/>
      <c r="E13" s="666"/>
      <c r="F13" s="666"/>
      <c r="G13" s="666"/>
      <c r="H13" s="666"/>
      <c r="I13" s="666"/>
      <c r="J13" s="666"/>
      <c r="K13" s="666"/>
      <c r="L13" s="666"/>
      <c r="M13" s="666"/>
      <c r="N13" s="666"/>
      <c r="O13" s="667"/>
      <c r="P13" s="667"/>
      <c r="Q13" s="667"/>
      <c r="R13" s="667"/>
      <c r="S13" s="634"/>
      <c r="T13" s="635" t="s">
        <v>494</v>
      </c>
      <c r="U13" s="636"/>
      <c r="V13" s="636"/>
      <c r="W13" s="637"/>
    </row>
    <row r="14" spans="1:23" s="4" customFormat="1">
      <c r="C14" s="100" t="s">
        <v>128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T14" s="638"/>
      <c r="W14" s="639"/>
    </row>
    <row r="15" spans="1:23" s="4" customFormat="1">
      <c r="C15" s="100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T15" s="638"/>
      <c r="W15" s="639"/>
    </row>
    <row r="16" spans="1:23" s="4" customFormat="1">
      <c r="C16" s="3"/>
      <c r="D16" s="8" t="s">
        <v>101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T16" s="638"/>
      <c r="W16" s="639"/>
    </row>
    <row r="17" spans="1:23" s="4" customFormat="1">
      <c r="C17" s="104" t="s">
        <v>483</v>
      </c>
      <c r="D17" s="8" t="s">
        <v>491</v>
      </c>
      <c r="E17" s="3"/>
      <c r="F17" s="457" t="str">
        <f>tar</f>
        <v>SG ENTERPRISES</v>
      </c>
      <c r="G17" s="363" t="s">
        <v>476</v>
      </c>
      <c r="H17" s="363"/>
      <c r="I17" s="96"/>
      <c r="J17" s="668"/>
      <c r="K17" s="8"/>
      <c r="L17" s="8"/>
      <c r="M17" s="8"/>
      <c r="N17" s="8"/>
      <c r="O17" s="8"/>
      <c r="P17" s="8"/>
      <c r="Q17" s="8"/>
      <c r="R17" s="8"/>
      <c r="T17" s="641"/>
      <c r="U17" s="642"/>
      <c r="V17" s="642"/>
      <c r="W17" s="643"/>
    </row>
    <row r="18" spans="1:23" s="4" customFormat="1">
      <c r="C18" s="8" t="s">
        <v>102</v>
      </c>
      <c r="D18" s="8" t="s">
        <v>104</v>
      </c>
      <c r="E18" s="8" t="s">
        <v>103</v>
      </c>
      <c r="F18" s="8" t="s">
        <v>29</v>
      </c>
      <c r="G18" s="8" t="s">
        <v>268</v>
      </c>
      <c r="H18" s="8" t="s">
        <v>477</v>
      </c>
      <c r="I18" s="416" t="str">
        <f>"E.P.S. Accretion (Dilution) % to "&amp;acq</f>
        <v>E.P.S. Accretion (Dilution) % to COLEMAN CO.</v>
      </c>
      <c r="J18" s="416"/>
      <c r="K18" s="416"/>
      <c r="L18" s="416"/>
      <c r="M18" s="180"/>
      <c r="N18" s="180" t="str">
        <f>"E.P.S. Accretion (Dilution) $ to "&amp;acq</f>
        <v>E.P.S. Accretion (Dilution) $ to COLEMAN CO.</v>
      </c>
      <c r="O18" s="416"/>
      <c r="P18" s="416"/>
      <c r="Q18" s="363"/>
      <c r="R18" s="363"/>
    </row>
    <row r="19" spans="1:23" s="4" customFormat="1">
      <c r="C19" s="7" t="s">
        <v>484</v>
      </c>
      <c r="D19" s="669">
        <f>Merger!H13</f>
        <v>25</v>
      </c>
      <c r="E19" s="670" t="s">
        <v>105</v>
      </c>
      <c r="F19" s="670" t="s">
        <v>106</v>
      </c>
      <c r="G19" s="671" t="s">
        <v>63</v>
      </c>
      <c r="H19" s="671" t="s">
        <v>306</v>
      </c>
      <c r="I19" s="672">
        <f>Merger!M12</f>
        <v>2020</v>
      </c>
      <c r="J19" s="673">
        <f>+I19+1</f>
        <v>2021</v>
      </c>
      <c r="K19" s="673">
        <f>+J19+1</f>
        <v>2022</v>
      </c>
      <c r="L19" s="673">
        <f>+K19+1</f>
        <v>2023</v>
      </c>
      <c r="M19" s="674">
        <f>+L19+1</f>
        <v>2024</v>
      </c>
      <c r="N19" s="675">
        <f>+I19</f>
        <v>2020</v>
      </c>
      <c r="O19" s="673">
        <f>+J19</f>
        <v>2021</v>
      </c>
      <c r="P19" s="673">
        <f>+K19</f>
        <v>2022</v>
      </c>
      <c r="Q19" s="673">
        <f>+L19</f>
        <v>2023</v>
      </c>
      <c r="R19" s="673">
        <f>+M19</f>
        <v>2024</v>
      </c>
    </row>
    <row r="20" spans="1:23" s="4" customFormat="1" ht="12.75" hidden="1" customHeight="1" outlineLevel="1">
      <c r="C20" s="676" t="s">
        <v>134</v>
      </c>
      <c r="D20" s="677">
        <f ca="1">Merger!H15</f>
        <v>0.19999999999999996</v>
      </c>
      <c r="E20" s="678">
        <f ca="1">IF(Merger!H20&gt;0,Merger!H14/Merger!H12," ")</f>
        <v>1.1111111111111112</v>
      </c>
      <c r="F20" s="677">
        <f ca="1">Merger!H49</f>
        <v>6.0553827771118784E-2</v>
      </c>
      <c r="G20" s="679">
        <f ca="1">Merger!P147</f>
        <v>1.6666666666666667</v>
      </c>
      <c r="H20" s="680">
        <f ca="1">Merger!P150</f>
        <v>2.2558417837122882</v>
      </c>
      <c r="I20" s="677">
        <f ca="1">Merger!M164</f>
        <v>0.22786477618777079</v>
      </c>
      <c r="J20" s="677">
        <f ca="1">Merger!N164</f>
        <v>0.34309369732007933</v>
      </c>
      <c r="K20" s="677">
        <f ca="1">Merger!O164</f>
        <v>0.36447905344103182</v>
      </c>
      <c r="L20" s="677">
        <f ca="1">Merger!P164</f>
        <v>0.36851644937216999</v>
      </c>
      <c r="M20" s="677">
        <f ca="1">Merger!Q164</f>
        <v>0.35761537487737227</v>
      </c>
      <c r="N20" s="681">
        <f ca="1">Merger!M165</f>
        <v>0.49310862293240953</v>
      </c>
      <c r="O20" s="681">
        <f ca="1">Merger!N165</f>
        <v>0.84958505290288677</v>
      </c>
      <c r="P20" s="681">
        <f ca="1">Merger!O165</f>
        <v>1.0167292046671492</v>
      </c>
      <c r="Q20" s="681">
        <f ca="1">Merger!P165</f>
        <v>1.157912012219195</v>
      </c>
      <c r="R20" s="681">
        <f ca="1">Merger!Q165</f>
        <v>1.2655095886524768</v>
      </c>
    </row>
    <row r="21" spans="1:23" s="647" customFormat="1" ht="15" customHeight="1" collapsed="1">
      <c r="B21" s="682">
        <f ca="1">Merger!H14</f>
        <v>30</v>
      </c>
      <c r="C21" s="683">
        <v>25</v>
      </c>
      <c r="D21" s="684">
        <f t="dataTable" ref="D21:R32" dt2D="0" dtr="0" r1="F9" ca="1"/>
        <v>0</v>
      </c>
      <c r="E21" s="685">
        <v>0.92592592592592593</v>
      </c>
      <c r="F21" s="141">
        <v>5.0885461327628868E-2</v>
      </c>
      <c r="G21" s="686">
        <v>0.83333333333333337</v>
      </c>
      <c r="H21" s="148">
        <v>1.500031492095484</v>
      </c>
      <c r="I21" s="687">
        <v>0.31853269309324395</v>
      </c>
      <c r="J21" s="688">
        <v>0.41998878456740907</v>
      </c>
      <c r="K21" s="689">
        <v>0.43666044856239306</v>
      </c>
      <c r="L21" s="690">
        <v>0.43434871217568571</v>
      </c>
      <c r="M21" s="687">
        <v>0.41765325178897217</v>
      </c>
      <c r="N21" s="691">
        <v>0.68931767462263549</v>
      </c>
      <c r="O21" s="692">
        <v>1.0399963524320879</v>
      </c>
      <c r="P21" s="693">
        <v>1.2180821542005855</v>
      </c>
      <c r="Q21" s="138">
        <v>1.3647629357576943</v>
      </c>
      <c r="R21" s="138">
        <v>1.4779683201598122</v>
      </c>
    </row>
    <row r="22" spans="1:23" s="4" customFormat="1">
      <c r="A22" s="651">
        <v>0.05</v>
      </c>
      <c r="B22" s="652">
        <f>$C$21*(1+A22)</f>
        <v>26.25</v>
      </c>
      <c r="C22" s="694">
        <f>+C21+1</f>
        <v>26</v>
      </c>
      <c r="D22" s="687">
        <v>4.0000000000000036E-2</v>
      </c>
      <c r="E22" s="685">
        <v>0.96296296296296291</v>
      </c>
      <c r="F22" s="141">
        <v>5.2835022325863984E-2</v>
      </c>
      <c r="G22" s="695">
        <v>1.1666666666666667</v>
      </c>
      <c r="H22" s="148">
        <v>1.8023556087422057</v>
      </c>
      <c r="I22" s="687">
        <v>0.29261497443848783</v>
      </c>
      <c r="J22" s="141">
        <v>0.40202020186532206</v>
      </c>
      <c r="K22" s="141">
        <v>0.41907203508958446</v>
      </c>
      <c r="L22" s="141">
        <v>0.41837569952999831</v>
      </c>
      <c r="M22" s="687">
        <v>0.4031463947070193</v>
      </c>
      <c r="N22" s="449">
        <v>0.63323067965477353</v>
      </c>
      <c r="O22" s="449">
        <v>0.99550168696669239</v>
      </c>
      <c r="P22" s="449">
        <v>1.1690185565185347</v>
      </c>
      <c r="Q22" s="449">
        <v>1.3145742854402371</v>
      </c>
      <c r="R22" s="449">
        <v>1.4266322534576528</v>
      </c>
    </row>
    <row r="23" spans="1:23" s="4" customFormat="1">
      <c r="A23" s="653">
        <f>+A22+0.05</f>
        <v>0.1</v>
      </c>
      <c r="B23" s="652">
        <f t="shared" ref="B23:B32" si="0">$C$21*(1+A23)</f>
        <v>27.500000000000004</v>
      </c>
      <c r="C23" s="694">
        <f t="shared" ref="C23:C32" si="1">+C22+1</f>
        <v>27</v>
      </c>
      <c r="D23" s="687">
        <v>8.0000000000000071E-2</v>
      </c>
      <c r="E23" s="685">
        <v>1</v>
      </c>
      <c r="F23" s="141">
        <v>5.477659061764082E-2</v>
      </c>
      <c r="G23" s="695">
        <v>1.3333333333333333</v>
      </c>
      <c r="H23" s="148">
        <v>1.9535176670655667</v>
      </c>
      <c r="I23" s="687">
        <v>0.27473693155535539</v>
      </c>
      <c r="J23" s="141">
        <v>0.38583153002520065</v>
      </c>
      <c r="K23" s="141">
        <v>0.40271597134129333</v>
      </c>
      <c r="L23" s="141">
        <v>0.40349722023981593</v>
      </c>
      <c r="M23" s="687">
        <v>0.38961186891938326</v>
      </c>
      <c r="N23" s="449">
        <v>0.59454186932472375</v>
      </c>
      <c r="O23" s="449">
        <v>0.95541452206349708</v>
      </c>
      <c r="P23" s="449">
        <v>1.1233926487214059</v>
      </c>
      <c r="Q23" s="449">
        <v>1.2678247579143767</v>
      </c>
      <c r="R23" s="449">
        <v>1.3787370191769934</v>
      </c>
    </row>
    <row r="24" spans="1:23" s="4" customFormat="1">
      <c r="A24" s="653">
        <f t="shared" ref="A24:A32" si="2">+A23+0.05</f>
        <v>0.15000000000000002</v>
      </c>
      <c r="B24" s="652">
        <f t="shared" si="0"/>
        <v>28.749999999999996</v>
      </c>
      <c r="C24" s="694">
        <f t="shared" si="1"/>
        <v>28</v>
      </c>
      <c r="D24" s="687">
        <v>0.12000000000000011</v>
      </c>
      <c r="E24" s="685">
        <v>1.037037037037037</v>
      </c>
      <c r="F24" s="141">
        <v>5.6710215254518935E-2</v>
      </c>
      <c r="G24" s="695">
        <v>1.3333333333333333</v>
      </c>
      <c r="H24" s="148">
        <v>1.9535176670655667</v>
      </c>
      <c r="I24" s="687">
        <v>0.26328280027257911</v>
      </c>
      <c r="J24" s="141">
        <v>0.37516371869368181</v>
      </c>
      <c r="K24" s="141">
        <v>0.39690090961816837</v>
      </c>
      <c r="L24" s="141">
        <v>0.39800856943488339</v>
      </c>
      <c r="M24" s="687">
        <v>0.38444297770270408</v>
      </c>
      <c r="N24" s="449">
        <v>0.56975466439453903</v>
      </c>
      <c r="O24" s="449">
        <v>0.92899837648798922</v>
      </c>
      <c r="P24" s="449">
        <v>1.1071712965613161</v>
      </c>
      <c r="Q24" s="449">
        <v>1.250578920696702</v>
      </c>
      <c r="R24" s="449">
        <v>1.3604456316781981</v>
      </c>
    </row>
    <row r="25" spans="1:23" s="4" customFormat="1">
      <c r="A25" s="653">
        <f t="shared" si="2"/>
        <v>0.2</v>
      </c>
      <c r="B25" s="652">
        <f t="shared" si="0"/>
        <v>30</v>
      </c>
      <c r="C25" s="694">
        <f t="shared" si="1"/>
        <v>29</v>
      </c>
      <c r="D25" s="687">
        <v>0.15999999999999992</v>
      </c>
      <c r="E25" s="685">
        <v>1.0740740740740742</v>
      </c>
      <c r="F25" s="141">
        <v>5.8635944887502137E-2</v>
      </c>
      <c r="G25" s="695">
        <v>1.5</v>
      </c>
      <c r="H25" s="148">
        <v>2.1046797253889276</v>
      </c>
      <c r="I25" s="687">
        <v>0.24553763531119821</v>
      </c>
      <c r="J25" s="141">
        <v>0.35909597277243233</v>
      </c>
      <c r="K25" s="141">
        <v>0.38065688991431279</v>
      </c>
      <c r="L25" s="141">
        <v>0.38323239683685961</v>
      </c>
      <c r="M25" s="687">
        <v>0.37100190297348967</v>
      </c>
      <c r="N25" s="449">
        <v>0.53135340727964264</v>
      </c>
      <c r="O25" s="449">
        <v>0.8892106541393634</v>
      </c>
      <c r="P25" s="449">
        <v>1.0618579402019481</v>
      </c>
      <c r="Q25" s="449">
        <v>1.2041508500501275</v>
      </c>
      <c r="R25" s="449">
        <v>1.3128810968551408</v>
      </c>
    </row>
    <row r="26" spans="1:23" s="4" customFormat="1">
      <c r="A26" s="653">
        <f t="shared" si="2"/>
        <v>0.25</v>
      </c>
      <c r="B26" s="652">
        <f t="shared" si="0"/>
        <v>31.25</v>
      </c>
      <c r="C26" s="694">
        <f t="shared" si="1"/>
        <v>30</v>
      </c>
      <c r="D26" s="687">
        <v>0.19999999999999996</v>
      </c>
      <c r="E26" s="685">
        <v>1.1111111111111112</v>
      </c>
      <c r="F26" s="141">
        <v>6.0553827771118784E-2</v>
      </c>
      <c r="G26" s="695">
        <v>1.6666666666666667</v>
      </c>
      <c r="H26" s="148">
        <v>2.2558417837122882</v>
      </c>
      <c r="I26" s="687">
        <v>0.22786477637034475</v>
      </c>
      <c r="J26" s="141">
        <v>0.34309369802271594</v>
      </c>
      <c r="K26" s="141">
        <v>0.36447905945165116</v>
      </c>
      <c r="L26" s="141">
        <v>0.36851645449083059</v>
      </c>
      <c r="M26" s="687">
        <v>0.35761557706363956</v>
      </c>
      <c r="N26" s="449">
        <v>0.49310862332750727</v>
      </c>
      <c r="O26" s="449">
        <v>0.84958505464278877</v>
      </c>
      <c r="P26" s="449">
        <v>1.0167292214340171</v>
      </c>
      <c r="Q26" s="449">
        <v>1.1579120283024897</v>
      </c>
      <c r="R26" s="449">
        <v>1.2655103041381013</v>
      </c>
    </row>
    <row r="27" spans="1:23" s="4" customFormat="1">
      <c r="A27" s="653">
        <f t="shared" si="2"/>
        <v>0.3</v>
      </c>
      <c r="B27" s="652">
        <f t="shared" si="0"/>
        <v>32.5</v>
      </c>
      <c r="C27" s="694">
        <f t="shared" si="1"/>
        <v>31</v>
      </c>
      <c r="D27" s="687">
        <v>0.24</v>
      </c>
      <c r="E27" s="685">
        <v>1.1481481481481481</v>
      </c>
      <c r="F27" s="141">
        <v>6.2463911767452411E-2</v>
      </c>
      <c r="G27" s="695">
        <v>1.6666666666666667</v>
      </c>
      <c r="H27" s="148">
        <v>2.2558417837122882</v>
      </c>
      <c r="I27" s="687">
        <v>0.21657581112952462</v>
      </c>
      <c r="J27" s="141">
        <v>0.33257784992061845</v>
      </c>
      <c r="K27" s="141">
        <v>0.35877720338313468</v>
      </c>
      <c r="L27" s="141">
        <v>0.36313239217186033</v>
      </c>
      <c r="M27" s="687">
        <v>0.35254302348067412</v>
      </c>
      <c r="N27" s="449">
        <v>0.46867884441492347</v>
      </c>
      <c r="O27" s="449">
        <v>0.82354520769740969</v>
      </c>
      <c r="P27" s="449">
        <v>1.0008236610707044</v>
      </c>
      <c r="Q27" s="449">
        <v>1.1409948175665958</v>
      </c>
      <c r="R27" s="449">
        <v>1.2475598309505394</v>
      </c>
    </row>
    <row r="28" spans="1:23" s="4" customFormat="1">
      <c r="A28" s="653">
        <f t="shared" si="2"/>
        <v>0.35</v>
      </c>
      <c r="B28" s="652">
        <f t="shared" si="0"/>
        <v>33.75</v>
      </c>
      <c r="C28" s="694">
        <f t="shared" si="1"/>
        <v>32</v>
      </c>
      <c r="D28" s="687">
        <v>0.28000000000000003</v>
      </c>
      <c r="E28" s="685">
        <v>1.1851851851851851</v>
      </c>
      <c r="F28" s="141">
        <v>6.4366244350123211E-2</v>
      </c>
      <c r="G28" s="695">
        <v>1.8333333333333333</v>
      </c>
      <c r="H28" s="148">
        <v>2.4070038420356492</v>
      </c>
      <c r="I28" s="687">
        <v>0.19903343712856114</v>
      </c>
      <c r="J28" s="141">
        <v>0.31669432205525627</v>
      </c>
      <c r="K28" s="141">
        <v>0.34270942068652754</v>
      </c>
      <c r="L28" s="141">
        <v>0.34851693194542643</v>
      </c>
      <c r="M28" s="687">
        <v>0.33924849683563796</v>
      </c>
      <c r="N28" s="449">
        <v>0.43071643516808056</v>
      </c>
      <c r="O28" s="449">
        <v>0.78421365492572193</v>
      </c>
      <c r="P28" s="449">
        <v>0.95600192504046388</v>
      </c>
      <c r="Q28" s="449">
        <v>1.0950717197262376</v>
      </c>
      <c r="R28" s="449">
        <v>1.2005138924148762</v>
      </c>
    </row>
    <row r="29" spans="1:23" s="4" customFormat="1">
      <c r="A29" s="653">
        <f t="shared" si="2"/>
        <v>0.39999999999999997</v>
      </c>
      <c r="B29" s="652">
        <f t="shared" si="0"/>
        <v>35</v>
      </c>
      <c r="C29" s="694">
        <f t="shared" si="1"/>
        <v>33</v>
      </c>
      <c r="D29" s="687">
        <v>0.32000000000000006</v>
      </c>
      <c r="E29" s="685">
        <v>1.2222222222222223</v>
      </c>
      <c r="F29" s="141">
        <v>6.6260872608221139E-2</v>
      </c>
      <c r="G29" s="695">
        <v>2</v>
      </c>
      <c r="H29" s="148">
        <v>2.5581659003590103</v>
      </c>
      <c r="I29" s="687">
        <v>0.181562108605684</v>
      </c>
      <c r="J29" s="141">
        <v>0.30087512155912366</v>
      </c>
      <c r="K29" s="141">
        <v>0.32670671138722729</v>
      </c>
      <c r="L29" s="141">
        <v>0.33396068522871247</v>
      </c>
      <c r="M29" s="687">
        <v>0.32600779118987022</v>
      </c>
      <c r="N29" s="449">
        <v>0.39290777121900078</v>
      </c>
      <c r="O29" s="449">
        <v>0.7450413926680155</v>
      </c>
      <c r="P29" s="449">
        <v>0.91136171390956688</v>
      </c>
      <c r="Q29" s="449">
        <v>1.0493346760886348</v>
      </c>
      <c r="R29" s="449">
        <v>1.1536584126665854</v>
      </c>
    </row>
    <row r="30" spans="1:23" s="4" customFormat="1">
      <c r="A30" s="653">
        <f t="shared" si="2"/>
        <v>0.44999999999999996</v>
      </c>
      <c r="B30" s="652">
        <f t="shared" si="0"/>
        <v>36.25</v>
      </c>
      <c r="C30" s="694">
        <f t="shared" si="1"/>
        <v>34</v>
      </c>
      <c r="D30" s="687">
        <v>0.3600000000000001</v>
      </c>
      <c r="E30" s="685">
        <v>1.2592592592592593</v>
      </c>
      <c r="F30" s="141">
        <v>6.8147843250191381E-2</v>
      </c>
      <c r="G30" s="695">
        <v>2</v>
      </c>
      <c r="H30" s="148">
        <v>2.5581659003590103</v>
      </c>
      <c r="I30" s="687">
        <v>0.17043515608152382</v>
      </c>
      <c r="J30" s="141">
        <v>0.29050834561239935</v>
      </c>
      <c r="K30" s="141">
        <v>0.32111575676063131</v>
      </c>
      <c r="L30" s="141">
        <v>0.32867909739921153</v>
      </c>
      <c r="M30" s="687">
        <v>0.32102986487885432</v>
      </c>
      <c r="N30" s="449">
        <v>0.36882859440010707</v>
      </c>
      <c r="O30" s="449">
        <v>0.71937068533667858</v>
      </c>
      <c r="P30" s="449">
        <v>0.89576551764763623</v>
      </c>
      <c r="Q30" s="449">
        <v>1.0327394494663524</v>
      </c>
      <c r="R30" s="449">
        <v>1.1360428012562647</v>
      </c>
    </row>
    <row r="31" spans="1:23" s="4" customFormat="1">
      <c r="A31" s="653">
        <f t="shared" si="2"/>
        <v>0.49999999999999994</v>
      </c>
      <c r="B31" s="652">
        <f t="shared" si="0"/>
        <v>37.5</v>
      </c>
      <c r="C31" s="694">
        <f t="shared" si="1"/>
        <v>35</v>
      </c>
      <c r="D31" s="687">
        <v>0.39999999999999991</v>
      </c>
      <c r="E31" s="685">
        <v>1.2962962962962963</v>
      </c>
      <c r="F31" s="141">
        <v>7.0027202607672812E-2</v>
      </c>
      <c r="G31" s="695">
        <v>2.1666666666666665</v>
      </c>
      <c r="H31" s="148">
        <v>2.7093279586823709</v>
      </c>
      <c r="I31" s="687">
        <v>0.15309197692565801</v>
      </c>
      <c r="J31" s="141">
        <v>0.27480576521335287</v>
      </c>
      <c r="K31" s="141">
        <v>0.30522114617671914</v>
      </c>
      <c r="L31" s="141">
        <v>0.31422155193540191</v>
      </c>
      <c r="M31" s="687">
        <v>0.30787933230000686</v>
      </c>
      <c r="N31" s="449">
        <v>0.33129725088182793</v>
      </c>
      <c r="O31" s="449">
        <v>0.68048720335131874</v>
      </c>
      <c r="P31" s="449">
        <v>0.85142685229799753</v>
      </c>
      <c r="Q31" s="449">
        <v>0.98731253409182695</v>
      </c>
      <c r="R31" s="449">
        <v>1.0895064209898262</v>
      </c>
    </row>
    <row r="32" spans="1:23" s="4" customFormat="1" ht="12.75" customHeight="1">
      <c r="A32" s="653">
        <f t="shared" si="2"/>
        <v>0.54999999999999993</v>
      </c>
      <c r="B32" s="652">
        <f t="shared" si="0"/>
        <v>38.749999999999993</v>
      </c>
      <c r="C32" s="694">
        <f t="shared" si="1"/>
        <v>36</v>
      </c>
      <c r="D32" s="687">
        <v>0.43999999999999995</v>
      </c>
      <c r="E32" s="685">
        <v>1.3333333333333333</v>
      </c>
      <c r="F32" s="141">
        <v>7.1898996639289947E-2</v>
      </c>
      <c r="G32" s="141">
        <v>2.3333333333333335</v>
      </c>
      <c r="H32" s="148">
        <v>2.8604900170057319</v>
      </c>
      <c r="I32" s="687">
        <v>0.13581861240440363</v>
      </c>
      <c r="J32" s="141">
        <v>0.25916639535998676</v>
      </c>
      <c r="K32" s="141">
        <v>0.28939051896003543</v>
      </c>
      <c r="L32" s="141">
        <v>0.29982222677080772</v>
      </c>
      <c r="M32" s="687">
        <v>0.29478171496470806</v>
      </c>
      <c r="N32" s="449">
        <v>0.29391698906608177</v>
      </c>
      <c r="O32" s="449">
        <v>0.64176024634795503</v>
      </c>
      <c r="P32" s="449">
        <v>0.80726667116428219</v>
      </c>
      <c r="Q32" s="449">
        <v>0.94206855216282648</v>
      </c>
      <c r="R32" s="449">
        <v>1.0431572942723149</v>
      </c>
    </row>
    <row r="33" spans="1:18" s="4" customFormat="1" ht="5.0999999999999996" customHeight="1">
      <c r="A33" s="653"/>
      <c r="B33" s="652"/>
      <c r="C33" s="694"/>
      <c r="D33" s="687"/>
      <c r="E33" s="685"/>
      <c r="F33" s="141"/>
      <c r="G33" s="695"/>
      <c r="H33" s="148"/>
      <c r="I33" s="687"/>
      <c r="J33" s="141"/>
      <c r="K33" s="141"/>
      <c r="L33" s="141"/>
      <c r="M33" s="687"/>
      <c r="N33" s="449"/>
      <c r="O33" s="449"/>
      <c r="P33" s="449"/>
      <c r="Q33" s="3"/>
      <c r="R33" s="3"/>
    </row>
    <row r="34" spans="1:18" s="211" customFormat="1" ht="12.75" customHeight="1">
      <c r="D34" s="205"/>
      <c r="E34" s="532" t="str">
        <f>acq&amp;" Stand Alone"</f>
        <v>COLEMAN CO. Stand Alone</v>
      </c>
      <c r="F34" s="696"/>
      <c r="G34" s="697" t="str">
        <f ca="1">Merger!H147</f>
        <v>NM</v>
      </c>
      <c r="H34" s="698">
        <f ca="1">Merger!H150</f>
        <v>0.85714285714285721</v>
      </c>
      <c r="I34" s="699">
        <f ca="1">Merger!M13</f>
        <v>2.1640405822357822</v>
      </c>
      <c r="J34" s="699">
        <f ca="1">Merger!N13</f>
        <v>2.4762479157706321</v>
      </c>
      <c r="K34" s="699">
        <f ca="1">Merger!O13</f>
        <v>2.7895408393658023</v>
      </c>
      <c r="L34" s="699">
        <f ca="1">Merger!P13</f>
        <v>3.1420904390886593</v>
      </c>
      <c r="M34" s="699">
        <f>Merger!Q13</f>
        <v>0</v>
      </c>
      <c r="N34" s="700">
        <f ca="1">+I34</f>
        <v>2.1640405822357822</v>
      </c>
      <c r="O34" s="700">
        <f ca="1">+J34</f>
        <v>2.4762479157706321</v>
      </c>
      <c r="P34" s="700">
        <f ca="1">+K34</f>
        <v>2.7895408393658023</v>
      </c>
      <c r="Q34" s="700">
        <f ca="1">+L34</f>
        <v>3.1420904390886593</v>
      </c>
      <c r="R34" s="700">
        <f>+M34</f>
        <v>0</v>
      </c>
    </row>
    <row r="35" spans="1:18" s="211" customFormat="1" ht="12.75" customHeight="1">
      <c r="C35" s="205"/>
      <c r="D35" s="205"/>
      <c r="E35" s="205"/>
      <c r="F35" s="205"/>
      <c r="G35" s="205"/>
      <c r="H35" s="701"/>
      <c r="I35" s="701"/>
      <c r="J35" s="702"/>
      <c r="K35" s="702"/>
      <c r="L35" s="702"/>
      <c r="M35" s="702"/>
      <c r="N35" s="702"/>
      <c r="O35" s="702"/>
      <c r="P35" s="702"/>
      <c r="Q35" s="205"/>
      <c r="R35" s="205"/>
    </row>
    <row r="36" spans="1:18" s="4" customFormat="1" ht="12.75" customHeight="1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1:18" s="4" customFormat="1" ht="12.75" customHeight="1">
      <c r="C37" s="104" t="str">
        <f>+C17</f>
        <v>Purchase</v>
      </c>
      <c r="D37" s="541" t="s">
        <v>487</v>
      </c>
      <c r="E37" s="541"/>
      <c r="F37" s="541"/>
      <c r="G37" s="541"/>
      <c r="H37" s="541"/>
      <c r="I37" s="541" t="str">
        <f>+D37</f>
        <v>Additional Pre-Tax Synergies /</v>
      </c>
      <c r="J37" s="541"/>
      <c r="K37" s="541"/>
      <c r="L37" s="541"/>
      <c r="M37" s="541"/>
      <c r="N37" s="541" t="str">
        <f>+I37</f>
        <v>Additional Pre-Tax Synergies /</v>
      </c>
      <c r="O37" s="541"/>
      <c r="P37" s="541"/>
      <c r="Q37" s="541"/>
      <c r="R37" s="541"/>
    </row>
    <row r="38" spans="1:18" s="4" customFormat="1" ht="12.75" customHeight="1">
      <c r="C38" s="104" t="str">
        <f>+C18</f>
        <v>Price per</v>
      </c>
      <c r="D38" s="514" t="str">
        <f>"(Cushion) Needed for " &amp;TEXT(Merger!$I$168,"0.0%") &amp;" Accretion"</f>
        <v>(Cushion) Needed for 0.0% Accretion</v>
      </c>
      <c r="E38" s="514"/>
      <c r="F38" s="514"/>
      <c r="G38" s="514"/>
      <c r="H38" s="514"/>
      <c r="I38" s="514" t="str">
        <f>"(Cushion) Needed for " &amp;TEXT(Merger!$I$171,"0.0%") &amp;" Accretion"</f>
        <v>(Cushion) Needed for 5.0% Accretion</v>
      </c>
      <c r="J38" s="514"/>
      <c r="K38" s="514"/>
      <c r="L38" s="514"/>
      <c r="M38" s="514"/>
      <c r="N38" s="514" t="str">
        <f>"(Cushion) Needed for " &amp;TEXT(Merger!$I$174,"0.0%") &amp;" Accretion"</f>
        <v>(Cushion) Needed for 10.0% Accretion</v>
      </c>
      <c r="O38" s="514"/>
      <c r="P38" s="514"/>
      <c r="Q38" s="703"/>
      <c r="R38" s="703"/>
    </row>
    <row r="39" spans="1:18" s="4" customFormat="1" ht="12.75" customHeight="1">
      <c r="C39" s="7" t="str">
        <f>+C19</f>
        <v>Share</v>
      </c>
      <c r="D39" s="675">
        <f>+I19</f>
        <v>2020</v>
      </c>
      <c r="E39" s="673">
        <f>+J19</f>
        <v>2021</v>
      </c>
      <c r="F39" s="673">
        <f>+K19</f>
        <v>2022</v>
      </c>
      <c r="G39" s="673">
        <f>+L19</f>
        <v>2023</v>
      </c>
      <c r="H39" s="674">
        <f>+M19</f>
        <v>2024</v>
      </c>
      <c r="I39" s="675">
        <f>+D39</f>
        <v>2020</v>
      </c>
      <c r="J39" s="673">
        <f t="shared" ref="J39:R39" si="3">+E39</f>
        <v>2021</v>
      </c>
      <c r="K39" s="673">
        <f t="shared" si="3"/>
        <v>2022</v>
      </c>
      <c r="L39" s="673">
        <f t="shared" si="3"/>
        <v>2023</v>
      </c>
      <c r="M39" s="673">
        <f t="shared" si="3"/>
        <v>2024</v>
      </c>
      <c r="N39" s="675">
        <f t="shared" si="3"/>
        <v>2020</v>
      </c>
      <c r="O39" s="673">
        <f t="shared" si="3"/>
        <v>2021</v>
      </c>
      <c r="P39" s="673">
        <f t="shared" si="3"/>
        <v>2022</v>
      </c>
      <c r="Q39" s="673">
        <f t="shared" si="3"/>
        <v>2023</v>
      </c>
      <c r="R39" s="673">
        <f t="shared" si="3"/>
        <v>2024</v>
      </c>
    </row>
    <row r="40" spans="1:18" s="4" customFormat="1" ht="12.75" hidden="1" customHeight="1" outlineLevel="1">
      <c r="C40" s="676" t="s">
        <v>134</v>
      </c>
      <c r="D40" s="704">
        <f ca="1">Merger!M168</f>
        <v>-8.5969029732272535</v>
      </c>
      <c r="E40" s="704">
        <f ca="1">Merger!N168</f>
        <v>-14.811747204654742</v>
      </c>
      <c r="F40" s="704">
        <f ca="1">Merger!O168</f>
        <v>-17.725754359335337</v>
      </c>
      <c r="G40" s="704">
        <f ca="1">Merger!P168</f>
        <v>-20.187148951859257</v>
      </c>
      <c r="H40" s="704">
        <f ca="1">Merger!Q168</f>
        <v>-22.063015407510591</v>
      </c>
      <c r="I40" s="704">
        <f ca="1">Merger!M171</f>
        <v>-6.710498431670767</v>
      </c>
      <c r="J40" s="704">
        <f ca="1">Merger!N171</f>
        <v>-12.653190034944251</v>
      </c>
      <c r="K40" s="704">
        <f ca="1">Merger!O171</f>
        <v>-15.294098247415159</v>
      </c>
      <c r="L40" s="704">
        <f ca="1">Merger!P171</f>
        <v>-17.448173665104559</v>
      </c>
      <c r="M40" s="704">
        <f ca="1">Merger!Q171</f>
        <v>-18.978274515836659</v>
      </c>
      <c r="N40" s="704">
        <f ca="1">Merger!M174</f>
        <v>-4.824093890114284</v>
      </c>
      <c r="O40" s="704">
        <f ca="1">Merger!N174</f>
        <v>-10.494632865233759</v>
      </c>
      <c r="P40" s="704">
        <f ca="1">Merger!O174</f>
        <v>-12.862442135494973</v>
      </c>
      <c r="Q40" s="704">
        <f ca="1">Merger!P174</f>
        <v>-14.709198378349848</v>
      </c>
      <c r="R40" s="705">
        <f ca="1">Merger!Q174</f>
        <v>-15.893533624162728</v>
      </c>
    </row>
    <row r="41" spans="1:18" s="299" customFormat="1" ht="15" customHeight="1" collapsed="1">
      <c r="C41" s="382">
        <f t="shared" ref="C41:C52" si="4">C21</f>
        <v>25</v>
      </c>
      <c r="D41" s="706">
        <f t="dataTable" ref="D41:R52" dt2D="0" dtr="0" r1="F9" ca="1"/>
        <v>-11.895210111721715</v>
      </c>
      <c r="E41" s="707">
        <v>-17.946696542165881</v>
      </c>
      <c r="F41" s="708">
        <v>-21.019834092440352</v>
      </c>
      <c r="G41" s="708">
        <v>-23.551030926945639</v>
      </c>
      <c r="H41" s="708">
        <v>-25.504559586976892</v>
      </c>
      <c r="I41" s="706">
        <v>-10.028021849787223</v>
      </c>
      <c r="J41" s="707">
        <v>-15.810127995383008</v>
      </c>
      <c r="K41" s="708">
        <v>-18.612948586592115</v>
      </c>
      <c r="L41" s="708">
        <v>-20.839956821421453</v>
      </c>
      <c r="M41" s="708">
        <v>-22.451242094807146</v>
      </c>
      <c r="N41" s="706">
        <v>-8.1608335878527409</v>
      </c>
      <c r="O41" s="707">
        <v>-13.673559448600136</v>
      </c>
      <c r="P41" s="708">
        <v>-16.20606308074386</v>
      </c>
      <c r="Q41" s="708">
        <v>-18.128882715897248</v>
      </c>
      <c r="R41" s="708">
        <v>-19.397924602637385</v>
      </c>
    </row>
    <row r="42" spans="1:18" s="4" customFormat="1">
      <c r="C42" s="709">
        <f t="shared" si="4"/>
        <v>26</v>
      </c>
      <c r="D42" s="161">
        <v>-10.949836795437667</v>
      </c>
      <c r="E42" s="161">
        <v>-17.214233852047357</v>
      </c>
      <c r="F42" s="161">
        <v>-20.214690816456852</v>
      </c>
      <c r="G42" s="161">
        <v>-22.73164321238708</v>
      </c>
      <c r="H42" s="161">
        <v>-24.669351698160408</v>
      </c>
      <c r="I42" s="161">
        <v>-9.0788052775787751</v>
      </c>
      <c r="J42" s="161">
        <v>-15.073267580678959</v>
      </c>
      <c r="K42" s="161">
        <v>-17.802851189394215</v>
      </c>
      <c r="L42" s="161">
        <v>-20.014988870616786</v>
      </c>
      <c r="M42" s="161">
        <v>-21.609749526089825</v>
      </c>
      <c r="N42" s="161">
        <v>-7.2077737597198892</v>
      </c>
      <c r="O42" s="161">
        <v>-12.93230130931056</v>
      </c>
      <c r="P42" s="161">
        <v>-15.391011562331576</v>
      </c>
      <c r="Q42" s="161">
        <v>-17.298334528846482</v>
      </c>
      <c r="R42" s="161">
        <v>-18.550147354019241</v>
      </c>
    </row>
    <row r="43" spans="1:18" s="4" customFormat="1">
      <c r="C43" s="709">
        <f t="shared" si="4"/>
        <v>27</v>
      </c>
      <c r="D43" s="161">
        <v>-10.301946847995231</v>
      </c>
      <c r="E43" s="161">
        <v>-16.554981460397567</v>
      </c>
      <c r="F43" s="161">
        <v>-19.465628837378897</v>
      </c>
      <c r="G43" s="161">
        <v>-21.968281701406472</v>
      </c>
      <c r="H43" s="161">
        <v>-23.890118125838967</v>
      </c>
      <c r="I43" s="161">
        <v>-8.4270720742119405</v>
      </c>
      <c r="J43" s="161">
        <v>-14.409617464443642</v>
      </c>
      <c r="K43" s="161">
        <v>-17.048835089101885</v>
      </c>
      <c r="L43" s="161">
        <v>-19.246047123390081</v>
      </c>
      <c r="M43" s="161">
        <v>-20.824231273867543</v>
      </c>
      <c r="N43" s="161">
        <v>-6.5521973004286549</v>
      </c>
      <c r="O43" s="161">
        <v>-12.264253468489727</v>
      </c>
      <c r="P43" s="161">
        <v>-14.632041340824856</v>
      </c>
      <c r="Q43" s="161">
        <v>-16.523812545373676</v>
      </c>
      <c r="R43" s="161">
        <v>-17.758344421896123</v>
      </c>
    </row>
    <row r="44" spans="1:18" s="4" customFormat="1">
      <c r="C44" s="709">
        <f t="shared" si="4"/>
        <v>28</v>
      </c>
      <c r="D44" s="161">
        <v>-10.14625235714559</v>
      </c>
      <c r="E44" s="161">
        <v>-16.085135197844583</v>
      </c>
      <c r="F44" s="161">
        <v>-19.494924172041777</v>
      </c>
      <c r="G44" s="161">
        <v>-22.36615213230154</v>
      </c>
      <c r="H44" s="161">
        <v>-17.24107295102948</v>
      </c>
      <c r="I44" s="161">
        <v>-8.5447514014605961</v>
      </c>
      <c r="J44" s="161">
        <v>-14.253038186715576</v>
      </c>
      <c r="K44" s="161">
        <v>-17.431630213188384</v>
      </c>
      <c r="L44" s="161">
        <v>-20.042683157831579</v>
      </c>
      <c r="M44" s="161">
        <v>-14.624879760640018</v>
      </c>
      <c r="N44" s="161">
        <v>-6.9432504457755995</v>
      </c>
      <c r="O44" s="161">
        <v>-12.420941175586563</v>
      </c>
      <c r="P44" s="161">
        <v>-15.368336254335</v>
      </c>
      <c r="Q44" s="161">
        <v>-17.719214183361618</v>
      </c>
      <c r="R44" s="161">
        <v>-12.008686570250546</v>
      </c>
    </row>
    <row r="45" spans="1:18" s="4" customFormat="1">
      <c r="C45" s="709">
        <f t="shared" si="4"/>
        <v>29</v>
      </c>
      <c r="D45" s="161">
        <v>-9.5152219956837598</v>
      </c>
      <c r="E45" s="161">
        <v>-15.517625945242216</v>
      </c>
      <c r="F45" s="161">
        <v>-18.838249587458094</v>
      </c>
      <c r="G45" s="161">
        <v>-21.623175061684083</v>
      </c>
      <c r="H45" s="161">
        <v>-16.484507267421765</v>
      </c>
      <c r="I45" s="161">
        <v>-7.9104896949729762</v>
      </c>
      <c r="J45" s="161">
        <v>-13.681832315923467</v>
      </c>
      <c r="K45" s="161">
        <v>-16.77079252483195</v>
      </c>
      <c r="L45" s="161">
        <v>-19.295018028873244</v>
      </c>
      <c r="M45" s="161">
        <v>-13.863035389672016</v>
      </c>
      <c r="N45" s="161">
        <v>-6.3057573942621872</v>
      </c>
      <c r="O45" s="161">
        <v>-11.846038686604714</v>
      </c>
      <c r="P45" s="161">
        <v>-14.703335462205805</v>
      </c>
      <c r="Q45" s="161">
        <v>-16.966860996062405</v>
      </c>
      <c r="R45" s="161">
        <v>-11.241563511922246</v>
      </c>
    </row>
    <row r="46" spans="1:18" s="4" customFormat="1">
      <c r="C46" s="709">
        <f t="shared" si="4"/>
        <v>30</v>
      </c>
      <c r="D46" s="161">
        <v>-8.8841916342267719</v>
      </c>
      <c r="E46" s="161">
        <v>-14.950116688222499</v>
      </c>
      <c r="F46" s="161">
        <v>-18.181574974268518</v>
      </c>
      <c r="G46" s="161">
        <v>-20.880197806802851</v>
      </c>
      <c r="H46" s="161">
        <v>-15.727940215215682</v>
      </c>
      <c r="I46" s="161">
        <v>-7.2762279884902012</v>
      </c>
      <c r="J46" s="161">
        <v>-13.110626440714009</v>
      </c>
      <c r="K46" s="161">
        <v>-16.109954807869627</v>
      </c>
      <c r="L46" s="161">
        <v>-18.54735271565113</v>
      </c>
      <c r="M46" s="161">
        <v>-13.101189650105644</v>
      </c>
      <c r="N46" s="161">
        <v>-5.6682643427536261</v>
      </c>
      <c r="O46" s="161">
        <v>-11.271136193205512</v>
      </c>
      <c r="P46" s="161">
        <v>-14.038334641470726</v>
      </c>
      <c r="Q46" s="161">
        <v>-16.214507624499408</v>
      </c>
      <c r="R46" s="161">
        <v>-10.474439084995586</v>
      </c>
    </row>
    <row r="47" spans="1:18" s="4" customFormat="1">
      <c r="C47" s="709">
        <f t="shared" si="4"/>
        <v>31</v>
      </c>
      <c r="D47" s="161">
        <v>-8.4917872404031502</v>
      </c>
      <c r="E47" s="161">
        <v>-14.342561429844844</v>
      </c>
      <c r="F47" s="161">
        <v>-17.751836008292425</v>
      </c>
      <c r="G47" s="161">
        <v>-20.644084844565935</v>
      </c>
      <c r="H47" s="161">
        <v>-15.479866472726854</v>
      </c>
      <c r="I47" s="161">
        <v>-6.880592249640789</v>
      </c>
      <c r="J47" s="161">
        <v>-12.499374564146621</v>
      </c>
      <c r="K47" s="161">
        <v>-15.676052738120774</v>
      </c>
      <c r="L47" s="161">
        <v>-18.306551695073335</v>
      </c>
      <c r="M47" s="161">
        <v>-12.847837220256517</v>
      </c>
      <c r="N47" s="161">
        <v>-5.2693972588784277</v>
      </c>
      <c r="O47" s="161">
        <v>-10.656187698448383</v>
      </c>
      <c r="P47" s="161">
        <v>-13.600269467949127</v>
      </c>
      <c r="Q47" s="161">
        <v>-15.969018545580733</v>
      </c>
      <c r="R47" s="161">
        <v>-10.215807967786182</v>
      </c>
    </row>
    <row r="48" spans="1:18" s="4" customFormat="1">
      <c r="C48" s="709">
        <f t="shared" si="4"/>
        <v>32</v>
      </c>
      <c r="D48" s="161">
        <v>-7.8607568789412596</v>
      </c>
      <c r="E48" s="161">
        <v>-13.77505216927679</v>
      </c>
      <c r="F48" s="161">
        <v>-17.095161381825118</v>
      </c>
      <c r="G48" s="161">
        <v>-19.901107426016285</v>
      </c>
      <c r="H48" s="161">
        <v>-14.723298972693831</v>
      </c>
      <c r="I48" s="161">
        <v>-6.2463305431531113</v>
      </c>
      <c r="J48" s="161">
        <v>-11.928168685388821</v>
      </c>
      <c r="K48" s="161">
        <v>-15.015215007880718</v>
      </c>
      <c r="L48" s="161">
        <v>-17.558886218182806</v>
      </c>
      <c r="M48" s="161">
        <v>-12.085991032863205</v>
      </c>
      <c r="N48" s="161">
        <v>-4.6319042073649639</v>
      </c>
      <c r="O48" s="161">
        <v>-10.081285201500847</v>
      </c>
      <c r="P48" s="161">
        <v>-12.935268633936317</v>
      </c>
      <c r="Q48" s="161">
        <v>-15.216665010349326</v>
      </c>
      <c r="R48" s="161">
        <v>-9.4486830930325798</v>
      </c>
    </row>
    <row r="49" spans="3:18" s="4" customFormat="1">
      <c r="C49" s="709">
        <f t="shared" si="4"/>
        <v>33</v>
      </c>
      <c r="D49" s="161">
        <v>-7.2297265174842851</v>
      </c>
      <c r="E49" s="161">
        <v>-13.207542909266854</v>
      </c>
      <c r="F49" s="161">
        <v>-16.438486752913843</v>
      </c>
      <c r="G49" s="161">
        <v>-19.158130040545995</v>
      </c>
      <c r="H49" s="161">
        <v>-13.966731238896964</v>
      </c>
      <c r="I49" s="161">
        <v>-5.6120688366703506</v>
      </c>
      <c r="J49" s="161">
        <v>-11.356962807189143</v>
      </c>
      <c r="K49" s="161">
        <v>-14.354377275196688</v>
      </c>
      <c r="L49" s="161">
        <v>-16.811220774371634</v>
      </c>
      <c r="M49" s="161">
        <v>-11.324144611706052</v>
      </c>
      <c r="N49" s="161">
        <v>-3.9944111558564166</v>
      </c>
      <c r="O49" s="161">
        <v>-9.5063827051114291</v>
      </c>
      <c r="P49" s="161">
        <v>-12.270267797479534</v>
      </c>
      <c r="Q49" s="161">
        <v>-14.464311508197275</v>
      </c>
      <c r="R49" s="161">
        <v>-8.6815579845151376</v>
      </c>
    </row>
    <row r="50" spans="3:18" s="4" customFormat="1">
      <c r="C50" s="709">
        <f t="shared" si="4"/>
        <v>34</v>
      </c>
      <c r="D50" s="161">
        <v>-6.837322122002722</v>
      </c>
      <c r="E50" s="161">
        <v>-12.599988314141513</v>
      </c>
      <c r="F50" s="161">
        <v>-16.008751659753003</v>
      </c>
      <c r="G50" s="161">
        <v>-18.922044270176031</v>
      </c>
      <c r="H50" s="161">
        <v>-13.718812947532626</v>
      </c>
      <c r="I50" s="161">
        <v>-5.216433096162997</v>
      </c>
      <c r="J50" s="161">
        <v>-10.745711593874063</v>
      </c>
      <c r="K50" s="161">
        <v>-13.920479078263099</v>
      </c>
      <c r="L50" s="161">
        <v>-16.570446945660791</v>
      </c>
      <c r="M50" s="161">
        <v>-11.070947632981424</v>
      </c>
      <c r="N50" s="161">
        <v>-3.5955440703232711</v>
      </c>
      <c r="O50" s="161">
        <v>-8.8914348736066042</v>
      </c>
      <c r="P50" s="161">
        <v>-11.832206496773191</v>
      </c>
      <c r="Q50" s="161">
        <v>-14.218849621145552</v>
      </c>
      <c r="R50" s="161">
        <v>-8.4230823184302235</v>
      </c>
    </row>
    <row r="51" spans="3:18" s="4" customFormat="1">
      <c r="C51" s="709">
        <f t="shared" si="4"/>
        <v>35</v>
      </c>
      <c r="D51" s="161">
        <v>-6.206291762198755</v>
      </c>
      <c r="E51" s="161">
        <v>-12.032478401296308</v>
      </c>
      <c r="F51" s="161">
        <v>-15.352073218174525</v>
      </c>
      <c r="G51" s="161">
        <v>-18.179040139066586</v>
      </c>
      <c r="H51" s="161">
        <v>-12.962092498049932</v>
      </c>
      <c r="I51" s="161">
        <v>-4.5821713913332474</v>
      </c>
      <c r="J51" s="161">
        <v>-10.174505062839117</v>
      </c>
      <c r="K51" s="161">
        <v>-13.259637532911873</v>
      </c>
      <c r="L51" s="161">
        <v>-15.822754756210466</v>
      </c>
      <c r="M51" s="161">
        <v>-10.308948496138441</v>
      </c>
      <c r="N51" s="161">
        <v>-2.9580510204677304</v>
      </c>
      <c r="O51" s="161">
        <v>-8.3165317243819175</v>
      </c>
      <c r="P51" s="161">
        <v>-11.16720184764921</v>
      </c>
      <c r="Q51" s="161">
        <v>-13.466469373354348</v>
      </c>
      <c r="R51" s="161">
        <v>-7.6558044942269516</v>
      </c>
    </row>
    <row r="52" spans="3:18" s="4" customFormat="1" ht="12.75" customHeight="1">
      <c r="C52" s="709">
        <f t="shared" si="4"/>
        <v>36</v>
      </c>
      <c r="D52" s="161">
        <v>-5.5752614007417804</v>
      </c>
      <c r="E52" s="161">
        <v>-11.464969130311204</v>
      </c>
      <c r="F52" s="161">
        <v>-14.695398531559158</v>
      </c>
      <c r="G52" s="161">
        <v>-17.436062274289128</v>
      </c>
      <c r="H52" s="161">
        <v>-12.205522262578237</v>
      </c>
      <c r="I52" s="161">
        <v>-3.9479096848504867</v>
      </c>
      <c r="J52" s="161">
        <v>-9.6032991736642739</v>
      </c>
      <c r="K52" s="161">
        <v>-12.598799742523747</v>
      </c>
      <c r="L52" s="161">
        <v>-15.07508883309213</v>
      </c>
      <c r="M52" s="161">
        <v>-9.5470995733064594</v>
      </c>
      <c r="N52" s="161">
        <v>-2.3205579689591835</v>
      </c>
      <c r="O52" s="161">
        <v>-7.7416292170173335</v>
      </c>
      <c r="P52" s="161">
        <v>-10.502200953488341</v>
      </c>
      <c r="Q52" s="161">
        <v>-12.714115391895129</v>
      </c>
      <c r="R52" s="161">
        <v>-6.8886768840346804</v>
      </c>
    </row>
    <row r="53" spans="3:18" s="4" customFormat="1" ht="5.0999999999999996" customHeight="1">
      <c r="C53" s="709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</row>
    <row r="54" spans="3:18" s="211" customFormat="1" ht="12.75" customHeight="1">
      <c r="C54" s="220" t="s">
        <v>274</v>
      </c>
      <c r="D54" s="710">
        <f>Merger!M29</f>
        <v>2.5</v>
      </c>
      <c r="E54" s="710">
        <f>Merger!N29</f>
        <v>5.6538461538461533</v>
      </c>
      <c r="F54" s="710">
        <f>Merger!O29</f>
        <v>6.3217948717948707</v>
      </c>
      <c r="G54" s="710">
        <f>Merger!P29</f>
        <v>7.0693589743589742</v>
      </c>
      <c r="H54" s="710">
        <f>Merger!Q29</f>
        <v>0</v>
      </c>
      <c r="I54" s="711">
        <f>+D54</f>
        <v>2.5</v>
      </c>
      <c r="J54" s="711">
        <f t="shared" ref="J54:R54" si="5">+E54</f>
        <v>5.6538461538461533</v>
      </c>
      <c r="K54" s="711">
        <f t="shared" si="5"/>
        <v>6.3217948717948707</v>
      </c>
      <c r="L54" s="711">
        <f t="shared" si="5"/>
        <v>7.0693589743589742</v>
      </c>
      <c r="M54" s="711">
        <f t="shared" si="5"/>
        <v>0</v>
      </c>
      <c r="N54" s="711">
        <f t="shared" si="5"/>
        <v>2.5</v>
      </c>
      <c r="O54" s="711">
        <f t="shared" si="5"/>
        <v>5.6538461538461533</v>
      </c>
      <c r="P54" s="711">
        <f t="shared" si="5"/>
        <v>6.3217948717948707</v>
      </c>
      <c r="Q54" s="711">
        <f t="shared" si="5"/>
        <v>7.0693589743589742</v>
      </c>
      <c r="R54" s="711">
        <f t="shared" si="5"/>
        <v>0</v>
      </c>
    </row>
    <row r="55" spans="3:18" s="211" customFormat="1" ht="12.75" customHeight="1">
      <c r="C55" s="205"/>
      <c r="D55" s="205"/>
      <c r="E55" s="205"/>
      <c r="F55" s="205"/>
      <c r="G55" s="712"/>
      <c r="H55" s="712"/>
      <c r="I55" s="712"/>
      <c r="J55" s="712"/>
      <c r="K55" s="712"/>
      <c r="L55" s="712"/>
      <c r="M55" s="712"/>
      <c r="N55" s="712"/>
      <c r="O55" s="712"/>
      <c r="P55" s="712"/>
      <c r="Q55" s="712"/>
      <c r="R55" s="712"/>
    </row>
    <row r="56" spans="3:18" s="4" customFormat="1" ht="12.75" customHeight="1"/>
    <row r="57" spans="3:18" s="4" customFormat="1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3:18" s="4" customFormat="1">
      <c r="C58" s="659"/>
      <c r="D58" s="659"/>
      <c r="E58" s="659"/>
      <c r="F58" s="659"/>
      <c r="G58" s="659"/>
      <c r="H58" s="659"/>
      <c r="I58" s="659"/>
      <c r="M58" s="3"/>
      <c r="N58" s="3"/>
      <c r="O58" s="3"/>
      <c r="P58" s="3"/>
      <c r="Q58" s="3"/>
      <c r="R58" s="3"/>
    </row>
    <row r="59" spans="3:18" s="4" customFormat="1">
      <c r="C59" s="211"/>
      <c r="D59" s="211"/>
      <c r="E59" s="211"/>
      <c r="F59" s="211"/>
      <c r="G59" s="211"/>
      <c r="H59" s="211"/>
      <c r="I59" s="211"/>
      <c r="M59" s="3"/>
      <c r="N59" s="3"/>
      <c r="O59" s="3"/>
      <c r="P59" s="3"/>
      <c r="Q59" s="3"/>
      <c r="R59" s="3"/>
    </row>
    <row r="60" spans="3:18" s="4" customFormat="1">
      <c r="E60" s="713"/>
      <c r="F60" s="7"/>
      <c r="G60" s="7"/>
      <c r="H60" s="7"/>
      <c r="I60" s="7"/>
      <c r="M60" s="3"/>
      <c r="N60" s="3"/>
      <c r="O60" s="3"/>
      <c r="P60" s="3"/>
      <c r="Q60" s="3"/>
      <c r="R60" s="3"/>
    </row>
    <row r="61" spans="3:18" s="4" customFormat="1">
      <c r="D61" s="664"/>
      <c r="E61" s="714"/>
      <c r="F61" s="714"/>
      <c r="G61" s="714"/>
      <c r="H61" s="714"/>
      <c r="I61" s="714"/>
      <c r="M61" s="3"/>
      <c r="N61" s="3"/>
      <c r="O61" s="3"/>
      <c r="P61" s="3"/>
      <c r="Q61" s="3"/>
      <c r="R61" s="3"/>
    </row>
    <row r="62" spans="3:18" s="4" customFormat="1">
      <c r="D62" s="665"/>
      <c r="E62" s="150"/>
      <c r="F62" s="150"/>
      <c r="G62" s="150"/>
      <c r="H62" s="150"/>
      <c r="I62" s="150"/>
      <c r="M62" s="3"/>
      <c r="N62" s="3"/>
      <c r="O62" s="3"/>
      <c r="P62" s="3"/>
      <c r="Q62" s="3"/>
      <c r="R62" s="3"/>
    </row>
    <row r="63" spans="3:18" s="4" customFormat="1">
      <c r="D63" s="665"/>
      <c r="E63" s="150"/>
      <c r="F63" s="150"/>
      <c r="G63" s="150"/>
      <c r="H63" s="150"/>
      <c r="I63" s="150"/>
      <c r="M63" s="3"/>
      <c r="N63" s="3"/>
      <c r="O63" s="3"/>
      <c r="P63" s="3"/>
      <c r="Q63" s="3"/>
      <c r="R63" s="3"/>
    </row>
    <row r="64" spans="3:18" s="4" customFormat="1">
      <c r="D64" s="665"/>
      <c r="E64" s="150"/>
      <c r="F64" s="150"/>
      <c r="G64" s="150"/>
      <c r="H64" s="150"/>
      <c r="I64" s="150"/>
      <c r="M64" s="3"/>
      <c r="N64" s="3"/>
      <c r="O64" s="3"/>
      <c r="P64" s="3"/>
      <c r="Q64" s="3"/>
      <c r="R64" s="3"/>
    </row>
    <row r="65" spans="3:18" s="4" customFormat="1">
      <c r="D65" s="665"/>
      <c r="E65" s="150"/>
      <c r="F65" s="150"/>
      <c r="G65" s="150"/>
      <c r="H65" s="150"/>
      <c r="I65" s="150"/>
      <c r="M65" s="3"/>
      <c r="N65" s="3"/>
      <c r="O65" s="3"/>
      <c r="P65" s="3"/>
      <c r="Q65" s="3"/>
      <c r="R65" s="3"/>
    </row>
    <row r="66" spans="3:18" s="4" customFormat="1">
      <c r="D66" s="665"/>
      <c r="E66" s="150"/>
      <c r="F66" s="150"/>
      <c r="G66" s="150"/>
      <c r="H66" s="150"/>
      <c r="I66" s="150"/>
      <c r="M66" s="3"/>
      <c r="N66" s="3"/>
      <c r="O66" s="3"/>
      <c r="P66" s="3"/>
      <c r="Q66" s="3"/>
      <c r="R66" s="3"/>
    </row>
    <row r="67" spans="3:18" s="4" customFormat="1">
      <c r="M67" s="3"/>
      <c r="N67" s="3"/>
      <c r="O67" s="3"/>
      <c r="P67" s="3"/>
      <c r="Q67" s="3"/>
      <c r="R67" s="3"/>
    </row>
    <row r="68" spans="3:18" s="4" customFormat="1">
      <c r="M68" s="3"/>
      <c r="N68" s="3"/>
      <c r="O68" s="3"/>
      <c r="P68" s="3"/>
      <c r="Q68" s="3"/>
      <c r="R68" s="3"/>
    </row>
    <row r="69" spans="3:18" s="4" customFormat="1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3:18" s="4" customFormat="1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3:18" s="4" customFormat="1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3:18" s="4" customFormat="1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3:18" s="4" customFormat="1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</row>
    <row r="74" spans="3:18" s="4" customFormat="1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</row>
    <row r="75" spans="3:18" s="4" customFormat="1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3:18" s="4" customFormat="1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3:18" s="4" customFormat="1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3:18" s="4" customFormat="1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3:18" s="4" customFormat="1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3:18" s="4" customFormat="1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</row>
    <row r="81" spans="3:18" s="4" customFormat="1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</row>
    <row r="82" spans="3:18" s="4" customFormat="1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</row>
    <row r="83" spans="3:18" s="4" customFormat="1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</row>
    <row r="84" spans="3:18" s="4" customFormat="1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3:18" s="4" customFormat="1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</row>
    <row r="86" spans="3:18" s="4" customFormat="1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</row>
    <row r="87" spans="3:18" s="4" customFormat="1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</row>
    <row r="88" spans="3:18" s="4" customFormat="1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</row>
    <row r="89" spans="3:18" s="4" customFormat="1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</row>
    <row r="90" spans="3:18" s="4" customFormat="1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</row>
    <row r="91" spans="3:18" s="4" customFormat="1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</row>
    <row r="92" spans="3:18" s="4" customFormat="1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</row>
  </sheetData>
  <conditionalFormatting sqref="G17:G31 G33:G34">
    <cfRule type="expression" dxfId="3" priority="2" stopIfTrue="1">
      <formula>#REF!=0</formula>
    </cfRule>
  </conditionalFormatting>
  <conditionalFormatting sqref="F17:F33 E19:E33 G32">
    <cfRule type="expression" dxfId="2" priority="3" stopIfTrue="1">
      <formula>#REF!=0</formula>
    </cfRule>
  </conditionalFormatting>
  <conditionalFormatting sqref="E18">
    <cfRule type="expression" dxfId="1" priority="4" stopIfTrue="1">
      <formula>#REF!&gt;0</formula>
    </cfRule>
  </conditionalFormatting>
  <conditionalFormatting sqref="H18:H19">
    <cfRule type="expression" dxfId="0" priority="1" stopIfTrue="1">
      <formula>#REF!=0</formula>
    </cfRule>
  </conditionalFormatting>
  <printOptions horizontalCentered="1"/>
  <pageMargins left="0.35" right="0.35" top="0.35" bottom="0.35" header="0.15" footer="0.15"/>
  <pageSetup scale="77" orientation="landscape" r:id="rId1"/>
  <headerFooter alignWithMargins="0"/>
  <rowBreaks count="1" manualBreakCount="1">
    <brk id="12" min="2" max="1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6" r:id="rId4" name="Button 2">
              <controlPr defaultSize="0" print="0" autoFill="0" autoPict="0" macro="[0]!Fill_Tables_Merger">
                <anchor moveWithCells="1" sizeWithCells="1">
                  <from>
                    <xdr:col>15</xdr:col>
                    <xdr:colOff>66675</xdr:colOff>
                    <xdr:row>10</xdr:row>
                    <xdr:rowOff>47625</xdr:rowOff>
                  </from>
                  <to>
                    <xdr:col>16</xdr:col>
                    <xdr:colOff>180975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7" r:id="rId5" name="Button 3">
              <controlPr defaultSize="0" print="0" autoFill="0" autoPict="0" macro="[0]!Clear_Tables_Merger">
                <anchor moveWithCells="1" sizeWithCells="1">
                  <from>
                    <xdr:col>16</xdr:col>
                    <xdr:colOff>361950</xdr:colOff>
                    <xdr:row>10</xdr:row>
                    <xdr:rowOff>47625</xdr:rowOff>
                  </from>
                  <to>
                    <xdr:col>17</xdr:col>
                    <xdr:colOff>466725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FFFF66"/>
  </sheetPr>
  <dimension ref="A1:AZ89"/>
  <sheetViews>
    <sheetView showGridLines="0" view="pageBreakPreview" zoomScaleNormal="100" zoomScaleSheetLayoutView="100" workbookViewId="0"/>
  </sheetViews>
  <sheetFormatPr defaultRowHeight="12.75"/>
  <cols>
    <col min="1" max="1" width="2.83203125" style="4" customWidth="1"/>
    <col min="2" max="9" width="9.33203125" style="3"/>
    <col min="10" max="11" width="2.83203125" style="3" customWidth="1"/>
    <col min="12" max="12" width="9.33203125" style="3"/>
    <col min="13" max="17" width="10.1640625" style="3" bestFit="1" customWidth="1"/>
    <col min="18" max="30" width="9.33203125" style="3"/>
    <col min="31" max="16384" width="9.33203125" style="4"/>
  </cols>
  <sheetData>
    <row r="1" spans="1:30">
      <c r="A1" s="454"/>
    </row>
    <row r="2" spans="1:30" ht="23.25">
      <c r="B2" s="97" t="str">
        <f>proj</f>
        <v>Project MODEL</v>
      </c>
      <c r="C2" s="397"/>
      <c r="D2" s="7"/>
      <c r="E2" s="7"/>
      <c r="F2" s="7"/>
      <c r="G2" s="7"/>
      <c r="H2" s="7"/>
      <c r="I2" s="455"/>
      <c r="J2" s="7"/>
      <c r="K2" s="7"/>
      <c r="L2" s="7"/>
      <c r="M2" s="180"/>
      <c r="N2" s="180"/>
      <c r="O2" s="399"/>
      <c r="P2" s="399"/>
      <c r="Q2" s="399" t="str">
        <f>acq&amp;" - "&amp;acname</f>
        <v>COLEMAN CO. - Wall street consensus</v>
      </c>
      <c r="R2" s="7"/>
      <c r="S2" s="7"/>
      <c r="T2" s="7"/>
      <c r="U2" s="7"/>
      <c r="V2" s="7"/>
      <c r="W2" s="7"/>
      <c r="X2" s="7"/>
      <c r="Y2" s="7"/>
      <c r="Z2" s="7"/>
      <c r="AA2" s="4"/>
      <c r="AB2" s="4"/>
      <c r="AC2" s="4"/>
      <c r="AD2" s="4"/>
    </row>
    <row r="3" spans="1:30" s="276" customFormat="1" ht="20.100000000000001" customHeight="1" thickBot="1">
      <c r="B3" s="98" t="str">
        <f>Merger!B3</f>
        <v>COLEMAN CO. Acquires SG ENTERPRISES - 90% Cash / 10% Stock</v>
      </c>
      <c r="C3" s="98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400"/>
      <c r="P3" s="400"/>
      <c r="Q3" s="400" t="str">
        <f>tar&amp;" - "&amp;tcname</f>
        <v>SG ENTERPRISES - Wall street consensus</v>
      </c>
      <c r="R3" s="278"/>
      <c r="S3" s="278"/>
      <c r="T3" s="278"/>
      <c r="U3" s="278"/>
      <c r="V3" s="402"/>
      <c r="W3" s="278"/>
    </row>
    <row r="4" spans="1:30" ht="15.75">
      <c r="B4" s="456" t="str">
        <f>Merger!B8</f>
        <v>(Amounts in Millions, Except Per Share Data)</v>
      </c>
      <c r="C4" s="8"/>
      <c r="D4" s="8"/>
      <c r="E4" s="8"/>
      <c r="F4" s="8"/>
      <c r="G4" s="8"/>
      <c r="H4" s="8"/>
      <c r="I4" s="8"/>
      <c r="J4" s="8"/>
      <c r="K4" s="8"/>
      <c r="L4" s="8"/>
      <c r="M4" s="457"/>
      <c r="N4" s="457"/>
      <c r="O4" s="423"/>
      <c r="P4" s="423"/>
      <c r="Q4" s="423" t="str">
        <f>Merger!$Q$4</f>
        <v>Includes Cost Savings/Synergies</v>
      </c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0" s="17" customFormat="1">
      <c r="B5" s="458"/>
      <c r="R5" s="10"/>
      <c r="S5" s="10"/>
      <c r="T5" s="10"/>
      <c r="U5" s="10"/>
      <c r="W5" s="10"/>
      <c r="X5" s="10"/>
      <c r="Y5" s="10"/>
      <c r="Z5" s="10"/>
      <c r="AA5" s="10"/>
      <c r="AB5" s="10"/>
      <c r="AC5" s="10"/>
      <c r="AD5" s="10"/>
    </row>
    <row r="6" spans="1:30" s="17" customFormat="1" ht="16.5" thickBot="1">
      <c r="B6" s="459" t="s">
        <v>301</v>
      </c>
      <c r="C6" s="459"/>
      <c r="D6" s="459"/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59"/>
      <c r="Q6" s="459"/>
      <c r="R6" s="10"/>
      <c r="S6" s="10"/>
      <c r="T6" s="10"/>
      <c r="U6" s="10"/>
      <c r="W6" s="10"/>
      <c r="X6" s="10"/>
      <c r="Y6" s="10"/>
      <c r="Z6" s="10"/>
      <c r="AA6" s="10"/>
      <c r="AB6" s="10"/>
      <c r="AC6" s="10"/>
      <c r="AD6" s="10"/>
    </row>
    <row r="7" spans="1:30" s="17" customFormat="1">
      <c r="B7" s="460" t="str">
        <f>'Acq Proj'!B7</f>
        <v>Fiscal Year Ended December 31,</v>
      </c>
      <c r="C7" s="461"/>
      <c r="D7" s="461"/>
      <c r="E7" s="461"/>
      <c r="F7" s="461"/>
      <c r="G7" s="461"/>
      <c r="H7" s="461"/>
      <c r="I7" s="461"/>
      <c r="J7" s="461"/>
      <c r="K7" s="461"/>
      <c r="L7" s="462"/>
      <c r="M7" s="463">
        <f>'Acq Proj'!M7</f>
        <v>2020</v>
      </c>
      <c r="N7" s="463">
        <f>'Acq Proj'!N7</f>
        <v>2021</v>
      </c>
      <c r="O7" s="463">
        <f>'Acq Proj'!O7</f>
        <v>2022</v>
      </c>
      <c r="P7" s="463">
        <f>'Acq Proj'!P7</f>
        <v>2023</v>
      </c>
      <c r="Q7" s="463">
        <f>'Acq Proj'!Q7</f>
        <v>2024</v>
      </c>
      <c r="R7" s="10"/>
      <c r="Z7" s="10"/>
      <c r="AA7" s="10"/>
      <c r="AB7" s="10"/>
      <c r="AC7" s="10"/>
      <c r="AD7" s="10"/>
    </row>
    <row r="8" spans="1:30" s="17" customFormat="1">
      <c r="B8" s="464" t="str">
        <f>acq&amp;" Stand Alone Net Income"</f>
        <v>COLEMAN CO. Stand Alone Net Income</v>
      </c>
      <c r="L8" s="465"/>
      <c r="M8" s="466">
        <f ca="1">'Acq Proj'!M20</f>
        <v>26.58263288760627</v>
      </c>
      <c r="N8" s="466">
        <f ca="1">'Acq Proj'!N20</f>
        <v>30.417724059325856</v>
      </c>
      <c r="O8" s="466">
        <f ca="1">'Acq Proj'!O20</f>
        <v>34.266150397805632</v>
      </c>
      <c r="P8" s="466">
        <f ca="1">'Acq Proj'!P20</f>
        <v>38.596797734568078</v>
      </c>
      <c r="Q8" s="466">
        <f ca="1">'Acq Proj'!Q20</f>
        <v>43.469220345014577</v>
      </c>
      <c r="R8" s="10"/>
      <c r="Z8" s="10"/>
      <c r="AA8" s="10"/>
      <c r="AB8" s="10"/>
      <c r="AC8" s="10"/>
      <c r="AD8" s="10"/>
    </row>
    <row r="9" spans="1:30" s="17" customFormat="1">
      <c r="B9" s="467"/>
      <c r="L9" s="465"/>
      <c r="M9" s="468"/>
      <c r="N9" s="468"/>
      <c r="O9" s="468"/>
      <c r="P9" s="468"/>
      <c r="Q9" s="468"/>
      <c r="R9" s="10"/>
      <c r="Z9" s="469"/>
      <c r="AA9" s="10"/>
      <c r="AB9" s="10"/>
      <c r="AC9" s="10"/>
      <c r="AD9" s="10"/>
    </row>
    <row r="10" spans="1:30" s="17" customFormat="1">
      <c r="B10" s="428" t="s">
        <v>304</v>
      </c>
      <c r="L10" s="465"/>
      <c r="M10" s="468"/>
      <c r="N10" s="468"/>
      <c r="O10" s="468"/>
      <c r="P10" s="468"/>
      <c r="Q10" s="468"/>
      <c r="R10" s="10"/>
      <c r="Z10" s="10"/>
      <c r="AA10" s="10"/>
      <c r="AB10" s="10"/>
      <c r="AC10" s="10"/>
      <c r="AD10" s="10"/>
    </row>
    <row r="11" spans="1:30" s="17" customFormat="1">
      <c r="B11" s="282" t="str">
        <f>tar&amp;" Stand Alone EBIT"</f>
        <v>SG ENTERPRISES Stand Alone EBIT</v>
      </c>
      <c r="L11" s="465"/>
      <c r="M11" s="466">
        <f>'Tar Proj'!M13</f>
        <v>16.500000000000007</v>
      </c>
      <c r="N11" s="466">
        <f>'Tar Proj'!N13</f>
        <v>18.150000000000002</v>
      </c>
      <c r="O11" s="466">
        <f>'Tar Proj'!O13</f>
        <v>19.965000000000014</v>
      </c>
      <c r="P11" s="466">
        <f>'Tar Proj'!P13</f>
        <v>21.961500000000015</v>
      </c>
      <c r="Q11" s="466">
        <f>'Tar Proj'!Q13</f>
        <v>24.157650000000018</v>
      </c>
      <c r="R11" s="10"/>
      <c r="Z11" s="10"/>
      <c r="AA11" s="10"/>
      <c r="AB11" s="10"/>
      <c r="AC11" s="10"/>
      <c r="AD11" s="10"/>
    </row>
    <row r="12" spans="1:30" s="17" customFormat="1">
      <c r="B12" s="470" t="str">
        <f>Merger!B223</f>
        <v>Less: Gross Profit Reduction from Lost Net Sales</v>
      </c>
      <c r="L12" s="471"/>
      <c r="M12" s="472">
        <f>-Merger!M223</f>
        <v>0</v>
      </c>
      <c r="N12" s="472">
        <f>-Merger!N223</f>
        <v>0</v>
      </c>
      <c r="O12" s="472">
        <f>-Merger!O223</f>
        <v>0</v>
      </c>
      <c r="P12" s="472">
        <f>-Merger!P223</f>
        <v>0</v>
      </c>
      <c r="Q12" s="472">
        <f>-Merger!Q223</f>
        <v>0</v>
      </c>
      <c r="R12" s="10"/>
      <c r="S12" s="886"/>
      <c r="T12" s="10"/>
      <c r="U12" s="10"/>
      <c r="W12" s="10"/>
      <c r="X12" s="10"/>
      <c r="Y12" s="10"/>
      <c r="Z12" s="10"/>
      <c r="AA12" s="10"/>
      <c r="AB12" s="10"/>
      <c r="AC12" s="10"/>
      <c r="AD12" s="10"/>
    </row>
    <row r="13" spans="1:30" s="17" customFormat="1">
      <c r="B13" s="470" t="str">
        <f>"Plus: "&amp;RIGHT(Merger!B230,LEN(Merger!B230)-6)</f>
        <v>Plus: SG&amp;A Reduction from Lost Net Sales</v>
      </c>
      <c r="L13" s="471"/>
      <c r="M13" s="472">
        <f>-Merger!M230</f>
        <v>0</v>
      </c>
      <c r="N13" s="472">
        <f>-Merger!N230</f>
        <v>0</v>
      </c>
      <c r="O13" s="472">
        <f>-Merger!O230</f>
        <v>0</v>
      </c>
      <c r="P13" s="472">
        <f>-Merger!P230</f>
        <v>0</v>
      </c>
      <c r="Q13" s="472">
        <f>-Merger!Q230</f>
        <v>0</v>
      </c>
      <c r="R13" s="10"/>
      <c r="S13" s="10"/>
      <c r="T13" s="10"/>
      <c r="U13" s="10"/>
      <c r="W13" s="10"/>
      <c r="X13" s="10"/>
      <c r="Y13" s="10"/>
      <c r="Z13" s="10"/>
      <c r="AA13" s="10"/>
      <c r="AB13" s="10"/>
      <c r="AC13" s="10"/>
      <c r="AD13" s="10"/>
    </row>
    <row r="14" spans="1:30" s="17" customFormat="1">
      <c r="B14" s="470" t="str">
        <f>"Plus: "&amp;RIGHT(Merger!B229,LEN(Merger!B229)-6)</f>
        <v>Plus: Cost Savings/Synergies (SG&amp;A)</v>
      </c>
      <c r="L14" s="471"/>
      <c r="M14" s="472">
        <f>-Merger!M229</f>
        <v>2.5</v>
      </c>
      <c r="N14" s="472">
        <f>-Merger!N229</f>
        <v>5.6538461538461533</v>
      </c>
      <c r="O14" s="472">
        <f>-Merger!O229</f>
        <v>6.3217948717948707</v>
      </c>
      <c r="P14" s="472">
        <f>-Merger!P229</f>
        <v>7.0693589743589742</v>
      </c>
      <c r="Q14" s="472">
        <f>-Merger!Q229</f>
        <v>7.0693589743589742</v>
      </c>
      <c r="R14" s="10"/>
      <c r="S14" s="10"/>
      <c r="T14" s="10"/>
      <c r="U14" s="10"/>
      <c r="W14" s="10"/>
      <c r="X14" s="10"/>
      <c r="Y14" s="10"/>
      <c r="Z14" s="10"/>
      <c r="AA14" s="10"/>
      <c r="AB14" s="10"/>
      <c r="AC14" s="10"/>
      <c r="AD14" s="10"/>
    </row>
    <row r="15" spans="1:30" s="17" customFormat="1">
      <c r="B15" s="470" t="str">
        <f>"Plus: "&amp;RIGHT(Merger!B236,LEN(Merger!B236)-6)</f>
        <v>Plus: Cost Savings/Synergies (Other Expenses)</v>
      </c>
      <c r="L15" s="471"/>
      <c r="M15" s="472">
        <f>-Merger!M236</f>
        <v>0</v>
      </c>
      <c r="N15" s="472">
        <f>-Merger!N236</f>
        <v>0</v>
      </c>
      <c r="O15" s="472">
        <f>-Merger!O236</f>
        <v>0</v>
      </c>
      <c r="P15" s="472">
        <f>-Merger!P236</f>
        <v>0</v>
      </c>
      <c r="Q15" s="472">
        <f>-Merger!Q236</f>
        <v>0</v>
      </c>
      <c r="R15" s="10"/>
      <c r="S15" s="10"/>
      <c r="T15" s="10"/>
      <c r="U15" s="10"/>
      <c r="W15" s="10"/>
      <c r="X15" s="10"/>
      <c r="Y15" s="10"/>
      <c r="Z15" s="10"/>
      <c r="AA15" s="10"/>
      <c r="AB15" s="10"/>
      <c r="AC15" s="10"/>
      <c r="AD15" s="10"/>
    </row>
    <row r="16" spans="1:30" s="17" customFormat="1">
      <c r="B16" s="470" t="str">
        <f>"Less: "&amp;RIGHT(Merger!B242,LEN(Merger!B242)-6)</f>
        <v>Less: New Amortization of Intangibles</v>
      </c>
      <c r="L16" s="61"/>
      <c r="M16" s="473">
        <f ca="1">-Merger!M242</f>
        <v>-2.0142162932686287</v>
      </c>
      <c r="N16" s="473">
        <f ca="1">-Merger!N242</f>
        <v>-2.0142162932686287</v>
      </c>
      <c r="O16" s="473">
        <f ca="1">-Merger!O242</f>
        <v>-2.0142162932686287</v>
      </c>
      <c r="P16" s="473">
        <f ca="1">-Merger!P242</f>
        <v>-2.0142162932686287</v>
      </c>
      <c r="Q16" s="473">
        <f ca="1">-Merger!Q242</f>
        <v>-2.0142162932686287</v>
      </c>
      <c r="R16" s="10"/>
      <c r="S16" s="10"/>
      <c r="T16" s="10"/>
      <c r="U16" s="10"/>
      <c r="W16" s="10"/>
      <c r="X16" s="10"/>
      <c r="Y16" s="10"/>
      <c r="Z16" s="10"/>
      <c r="AA16" s="10"/>
      <c r="AB16" s="10"/>
      <c r="AC16" s="10"/>
      <c r="AD16" s="10"/>
    </row>
    <row r="17" spans="2:30" s="17" customFormat="1">
      <c r="B17" s="17" t="s">
        <v>229</v>
      </c>
      <c r="L17" s="465"/>
      <c r="M17" s="474">
        <f ca="1">SUM(M11:M16)</f>
        <v>16.985783706731379</v>
      </c>
      <c r="N17" s="475">
        <f ca="1">SUM(N11:N16)</f>
        <v>21.789629860577527</v>
      </c>
      <c r="O17" s="476">
        <f ca="1">SUM(O11:O16)</f>
        <v>24.272578578526257</v>
      </c>
      <c r="P17" s="476">
        <f ca="1">SUM(P11:P16)</f>
        <v>27.01664268109036</v>
      </c>
      <c r="Q17" s="476">
        <f ca="1">SUM(Q11:Q16)</f>
        <v>29.212792681090363</v>
      </c>
      <c r="R17" s="10"/>
      <c r="S17" s="10"/>
      <c r="T17" s="10"/>
      <c r="U17" s="10"/>
      <c r="W17" s="10"/>
      <c r="X17" s="10"/>
      <c r="Y17" s="10"/>
      <c r="Z17" s="10"/>
      <c r="AA17" s="10"/>
      <c r="AB17" s="10"/>
      <c r="AC17" s="10"/>
      <c r="AD17" s="10"/>
    </row>
    <row r="18" spans="2:30" s="17" customFormat="1">
      <c r="B18" s="470" t="str">
        <f>tar&amp;" Other Expenses (Below EBIT)"</f>
        <v>SG ENTERPRISES Other Expenses (Below EBIT)</v>
      </c>
      <c r="L18" s="465"/>
      <c r="M18" s="466">
        <f>-'Tar Proj'!M14</f>
        <v>0</v>
      </c>
      <c r="N18" s="466">
        <f>-'Tar Proj'!N14</f>
        <v>0</v>
      </c>
      <c r="O18" s="466">
        <f>-'Tar Proj'!O14</f>
        <v>0</v>
      </c>
      <c r="P18" s="466">
        <f>-'Tar Proj'!P14</f>
        <v>0</v>
      </c>
      <c r="Q18" s="466">
        <f>-'Tar Proj'!Q14</f>
        <v>0</v>
      </c>
      <c r="R18" s="10"/>
      <c r="Z18" s="10"/>
      <c r="AA18" s="10"/>
      <c r="AB18" s="10"/>
      <c r="AC18" s="10"/>
      <c r="AD18" s="10"/>
    </row>
    <row r="19" spans="2:30" s="17" customFormat="1">
      <c r="B19" s="323" t="s">
        <v>303</v>
      </c>
      <c r="L19" s="465"/>
      <c r="M19" s="477">
        <f ca="1">M32</f>
        <v>6.1043004191827626</v>
      </c>
      <c r="N19" s="477">
        <f t="shared" ref="N19:Q19" ca="1" si="0">N32</f>
        <v>4.3637046741475363</v>
      </c>
      <c r="O19" s="477">
        <f t="shared" ca="1" si="0"/>
        <v>3.6019025111948748</v>
      </c>
      <c r="P19" s="477">
        <f t="shared" ca="1" si="0"/>
        <v>3.5123849735612356</v>
      </c>
      <c r="Q19" s="477">
        <f t="shared" ca="1" si="0"/>
        <v>3.4139199001207743</v>
      </c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spans="2:30" s="17" customFormat="1">
      <c r="B20" s="478" t="s">
        <v>302</v>
      </c>
      <c r="L20" s="465"/>
      <c r="M20" s="474">
        <f ca="1">M17-SUM(M18:M19)</f>
        <v>10.881483287548615</v>
      </c>
      <c r="N20" s="474">
        <f ca="1">N17-SUM(N18:N19)</f>
        <v>17.425925186429993</v>
      </c>
      <c r="O20" s="474">
        <f ca="1">O17-SUM(O18:O19)</f>
        <v>20.670676067331382</v>
      </c>
      <c r="P20" s="474">
        <f ca="1">P17-SUM(P18:P19)</f>
        <v>23.504257707529124</v>
      </c>
      <c r="Q20" s="474">
        <f ca="1">Q17-SUM(Q18:Q19)</f>
        <v>25.798872780969589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spans="2:30" s="17" customFormat="1">
      <c r="B21" s="323" t="s">
        <v>541</v>
      </c>
      <c r="I21" s="479"/>
      <c r="L21" s="465"/>
      <c r="M21" s="480">
        <f ca="1">M20*M25</f>
        <v>2.7203708218871538</v>
      </c>
      <c r="N21" s="480">
        <f t="shared" ref="N21:Q21" ca="1" si="1">N20*N25</f>
        <v>4.3564812966074982</v>
      </c>
      <c r="O21" s="480">
        <f t="shared" ca="1" si="1"/>
        <v>5.1676690168328454</v>
      </c>
      <c r="P21" s="480">
        <f t="shared" ca="1" si="1"/>
        <v>5.876064426882281</v>
      </c>
      <c r="Q21" s="480">
        <f t="shared" ca="1" si="1"/>
        <v>6.4497181952423972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spans="2:30" s="17" customFormat="1">
      <c r="B22" s="323" t="s">
        <v>542</v>
      </c>
      <c r="I22" s="479"/>
      <c r="M22" s="473">
        <f ca="1">-'Acq Proj'!M16*(M25-'Acq Proj'!M31)</f>
        <v>0</v>
      </c>
      <c r="N22" s="473">
        <f ca="1">-'Acq Proj'!N16*(N25-'Acq Proj'!N31)</f>
        <v>0</v>
      </c>
      <c r="O22" s="473">
        <f ca="1">-'Acq Proj'!O16*(O25-'Acq Proj'!O31)</f>
        <v>0</v>
      </c>
      <c r="P22" s="473">
        <f ca="1">-'Acq Proj'!P16*(P25-'Acq Proj'!P31)</f>
        <v>0</v>
      </c>
      <c r="Q22" s="473">
        <f ca="1">-'Acq Proj'!Q16*(Q25-'Acq Proj'!Q31)</f>
        <v>0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spans="2:30" s="17" customFormat="1">
      <c r="B23" s="10" t="s">
        <v>230</v>
      </c>
      <c r="M23" s="481">
        <f ca="1">M20-SUM(M21:M22)</f>
        <v>8.1611124656614606</v>
      </c>
      <c r="N23" s="482">
        <f ca="1">N20-SUM(N21:N22)</f>
        <v>13.069443889822494</v>
      </c>
      <c r="O23" s="483">
        <f ca="1">O20-SUM(O21:O22)</f>
        <v>15.503007050498535</v>
      </c>
      <c r="P23" s="483">
        <f ca="1">P20-SUM(P21:P22)</f>
        <v>17.628193280646844</v>
      </c>
      <c r="Q23" s="483">
        <f ca="1">Q20-SUM(Q21:Q22)</f>
        <v>19.349154585727192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spans="2:30" s="17" customFormat="1">
      <c r="B24" s="10"/>
      <c r="M24" s="484"/>
      <c r="N24" s="484"/>
      <c r="O24" s="484"/>
      <c r="P24" s="484"/>
      <c r="Q24" s="484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2:30" s="17" customFormat="1">
      <c r="B25" s="485" t="str">
        <f>Merger!B286</f>
        <v>Blended Income Tax Rate</v>
      </c>
      <c r="M25" s="486">
        <f ca="1">Merger!M286</f>
        <v>0.25</v>
      </c>
      <c r="N25" s="486">
        <f ca="1">Merger!N286</f>
        <v>0.25</v>
      </c>
      <c r="O25" s="486">
        <f ca="1">Merger!O286</f>
        <v>0.25</v>
      </c>
      <c r="P25" s="486">
        <f ca="1">Merger!P286</f>
        <v>0.25</v>
      </c>
      <c r="Q25" s="486">
        <f ca="1">Merger!Q286</f>
        <v>0.25</v>
      </c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2:30" s="17" customFormat="1">
      <c r="B26" s="10"/>
      <c r="M26" s="484"/>
      <c r="N26" s="484"/>
      <c r="O26" s="484"/>
      <c r="P26" s="484"/>
      <c r="Q26" s="484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spans="2:30" s="17" customFormat="1">
      <c r="B27" s="10" t="s">
        <v>231</v>
      </c>
      <c r="M27" s="487">
        <f ca="1">M23+M8</f>
        <v>34.743745353267727</v>
      </c>
      <c r="N27" s="487">
        <f ca="1">N23+N8</f>
        <v>43.48716794914835</v>
      </c>
      <c r="O27" s="487">
        <f ca="1">O23+O8</f>
        <v>49.769157448304171</v>
      </c>
      <c r="P27" s="487">
        <f ca="1">P23+P8</f>
        <v>56.224991015214925</v>
      </c>
      <c r="Q27" s="487">
        <f ca="1">Q23+Q8</f>
        <v>62.818374930741768</v>
      </c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spans="2:30" s="17" customFormat="1">
      <c r="B28" s="10"/>
      <c r="M28" s="484"/>
      <c r="N28" s="484"/>
      <c r="O28" s="484"/>
      <c r="P28" s="484"/>
      <c r="Q28" s="484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2:30" s="17" customFormat="1">
      <c r="B29" s="488" t="s">
        <v>390</v>
      </c>
      <c r="M29" s="484"/>
      <c r="N29" s="484"/>
      <c r="O29" s="484"/>
      <c r="P29" s="484"/>
      <c r="Q29" s="484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2:30" s="17" customFormat="1">
      <c r="B30" s="10" t="s">
        <v>393</v>
      </c>
      <c r="C30" s="469"/>
      <c r="D30" s="469"/>
      <c r="E30" s="489"/>
      <c r="M30" s="490">
        <f ca="1">Merger!M269</f>
        <v>5.6607899023744022</v>
      </c>
      <c r="N30" s="490">
        <f ca="1">Merger!N269</f>
        <v>3.8067392617130671</v>
      </c>
      <c r="O30" s="490">
        <f ca="1">Merger!O269</f>
        <v>2.9137019807873701</v>
      </c>
      <c r="P30" s="490">
        <f ca="1">Merger!P269</f>
        <v>2.6749879941371306</v>
      </c>
      <c r="Q30" s="490">
        <f ca="1">Merger!Q269</f>
        <v>2.4080844401013382</v>
      </c>
      <c r="R30" s="491" t="s">
        <v>543</v>
      </c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2:30" s="17" customFormat="1">
      <c r="B31" s="10" t="s">
        <v>391</v>
      </c>
      <c r="C31" s="10"/>
      <c r="D31" s="10"/>
      <c r="E31" s="61"/>
      <c r="M31" s="490">
        <f ca="1">'Acq Proj'!M15</f>
        <v>-0.44351051680836068</v>
      </c>
      <c r="N31" s="490">
        <f ca="1">'Acq Proj'!N15</f>
        <v>-0.55696541243446906</v>
      </c>
      <c r="O31" s="490">
        <f ca="1">'Acq Proj'!O15</f>
        <v>-0.68820053040750451</v>
      </c>
      <c r="P31" s="490">
        <f ca="1">'Acq Proj'!P15</f>
        <v>-0.83739697942410507</v>
      </c>
      <c r="Q31" s="490">
        <f ca="1">'Acq Proj'!Q15</f>
        <v>-1.0058354600194361</v>
      </c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2:30" s="17" customFormat="1">
      <c r="B32" s="10" t="s">
        <v>392</v>
      </c>
      <c r="C32" s="10"/>
      <c r="D32" s="10"/>
      <c r="E32" s="61"/>
      <c r="M32" s="492">
        <f ca="1">M30-M31</f>
        <v>6.1043004191827626</v>
      </c>
      <c r="N32" s="493">
        <f ca="1">N30-N31</f>
        <v>4.3637046741475363</v>
      </c>
      <c r="O32" s="494">
        <f ca="1">O30-O31</f>
        <v>3.6019025111948748</v>
      </c>
      <c r="P32" s="494">
        <f ca="1">P30-P31</f>
        <v>3.5123849735612356</v>
      </c>
      <c r="Q32" s="494">
        <f ca="1">Q30-Q31</f>
        <v>3.4139199001207743</v>
      </c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2:52" s="17" customFormat="1">
      <c r="B33" s="10"/>
      <c r="M33" s="484"/>
      <c r="N33" s="484"/>
      <c r="O33" s="484"/>
      <c r="P33" s="484"/>
      <c r="Q33" s="484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2:52" s="17" customFormat="1">
      <c r="B34" s="428" t="s">
        <v>118</v>
      </c>
      <c r="M34" s="484"/>
      <c r="N34" s="484"/>
      <c r="O34" s="484"/>
      <c r="P34" s="484"/>
      <c r="Q34" s="484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2:52" s="17" customFormat="1">
      <c r="B35" s="10" t="s">
        <v>544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495">
        <f>'Acq Proj'!M25</f>
        <v>12.283795925925926</v>
      </c>
      <c r="N35" s="495">
        <f>'Acq Proj'!N25</f>
        <v>12.283795925925926</v>
      </c>
      <c r="O35" s="495">
        <f>'Acq Proj'!O25</f>
        <v>12.283795925925926</v>
      </c>
      <c r="P35" s="495">
        <f>'Acq Proj'!P25</f>
        <v>12.283795925925926</v>
      </c>
      <c r="Q35" s="495">
        <f>'Acq Proj'!Q25</f>
        <v>12.283795925925926</v>
      </c>
      <c r="R35" s="10"/>
      <c r="S35" s="10"/>
      <c r="T35" s="10"/>
      <c r="U35" s="10"/>
      <c r="V35" s="10"/>
      <c r="W35" s="3"/>
      <c r="X35" s="3"/>
      <c r="Y35" s="3"/>
      <c r="Z35" s="3"/>
      <c r="AA35" s="3"/>
      <c r="AB35" s="3"/>
      <c r="AC35" s="3"/>
      <c r="AD35" s="3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</row>
    <row r="36" spans="2:52" s="17" customFormat="1">
      <c r="B36" s="10" t="s">
        <v>593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72">
        <f ca="1">Merger!M279</f>
        <v>13.075571851851851</v>
      </c>
      <c r="N36" s="472">
        <f ca="1">Merger!N279</f>
        <v>13.075571851851851</v>
      </c>
      <c r="O36" s="472">
        <f ca="1">Merger!O279</f>
        <v>13.075571851851851</v>
      </c>
      <c r="P36" s="472">
        <f ca="1">Merger!P279</f>
        <v>13.075571851851851</v>
      </c>
      <c r="Q36" s="472">
        <f ca="1">Merger!Q279</f>
        <v>13.075571851851851</v>
      </c>
      <c r="R36" s="10"/>
      <c r="S36" s="10"/>
      <c r="T36" s="10"/>
      <c r="U36" s="10"/>
      <c r="V36" s="10"/>
      <c r="W36" s="3"/>
      <c r="X36" s="3"/>
      <c r="Y36" s="3"/>
      <c r="Z36" s="3"/>
      <c r="AA36" s="3"/>
      <c r="AB36" s="3"/>
      <c r="AC36" s="3"/>
      <c r="AD36" s="3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</row>
    <row r="37" spans="2:52" s="17" customFormat="1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496"/>
      <c r="N37" s="496"/>
      <c r="O37" s="496"/>
      <c r="P37" s="496"/>
      <c r="Q37" s="496"/>
      <c r="R37" s="10"/>
      <c r="S37" s="10"/>
      <c r="T37" s="10"/>
      <c r="U37" s="10"/>
      <c r="V37" s="10"/>
      <c r="W37" s="3"/>
      <c r="X37" s="3"/>
      <c r="Y37" s="3"/>
      <c r="Z37" s="3"/>
      <c r="AA37" s="3"/>
      <c r="AB37" s="3"/>
      <c r="AC37" s="3"/>
      <c r="AD37" s="3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</row>
    <row r="38" spans="2:52" s="17" customFormat="1">
      <c r="B38" s="488" t="s">
        <v>394</v>
      </c>
      <c r="M38" s="484"/>
      <c r="N38" s="484"/>
      <c r="O38" s="484"/>
      <c r="P38" s="484"/>
      <c r="Q38" s="484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2:52" s="17" customFormat="1">
      <c r="B39" s="10" t="s">
        <v>301</v>
      </c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497">
        <f ca="1">M8/M35</f>
        <v>2.1640405822357822</v>
      </c>
      <c r="N39" s="497">
        <f ca="1">N8/N35</f>
        <v>2.4762479157706321</v>
      </c>
      <c r="O39" s="497">
        <f ca="1">O8/O35</f>
        <v>2.7895408393658023</v>
      </c>
      <c r="P39" s="497">
        <f ca="1">P8/P35</f>
        <v>3.1420904390886593</v>
      </c>
      <c r="Q39" s="497">
        <f ca="1">Q8/Q35</f>
        <v>3.5387449129848649</v>
      </c>
      <c r="R39" s="10"/>
      <c r="S39" s="10"/>
      <c r="T39" s="10"/>
      <c r="U39" s="10"/>
      <c r="V39" s="10"/>
      <c r="W39" s="3"/>
      <c r="X39" s="3"/>
      <c r="Y39" s="3"/>
      <c r="Z39" s="3"/>
      <c r="AA39" s="3"/>
      <c r="AB39" s="3"/>
      <c r="AC39" s="3"/>
      <c r="AD39" s="3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</row>
    <row r="40" spans="2:52" s="17" customFormat="1">
      <c r="B40" s="10" t="s">
        <v>548</v>
      </c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448">
        <f ca="1">'Acq Proj'!M26</f>
        <v>2.1640405822357822</v>
      </c>
      <c r="N40" s="448">
        <f ca="1">'Acq Proj'!N26</f>
        <v>2.4762479157706321</v>
      </c>
      <c r="O40" s="448">
        <f ca="1">'Acq Proj'!O26</f>
        <v>2.7895408393658023</v>
      </c>
      <c r="P40" s="448">
        <f ca="1">'Acq Proj'!P26</f>
        <v>3.1420904390886593</v>
      </c>
      <c r="Q40" s="448">
        <f ca="1">'Acq Proj'!Q26</f>
        <v>3.5387449129848649</v>
      </c>
      <c r="R40" s="10"/>
      <c r="S40" s="10"/>
      <c r="T40" s="10"/>
      <c r="U40" s="10"/>
      <c r="V40" s="10"/>
      <c r="W40" s="3"/>
      <c r="X40" s="3"/>
      <c r="Y40" s="3"/>
      <c r="Z40" s="3"/>
      <c r="AA40" s="3"/>
      <c r="AB40" s="3"/>
      <c r="AC40" s="3"/>
      <c r="AD40" s="3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</row>
    <row r="41" spans="2:52" ht="13.5">
      <c r="B41" s="498" t="s">
        <v>292</v>
      </c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500">
        <f ca="1">M39-M40</f>
        <v>0</v>
      </c>
      <c r="N41" s="500">
        <f ca="1">N39-N40</f>
        <v>0</v>
      </c>
      <c r="O41" s="500">
        <f ca="1">O39-O40</f>
        <v>0</v>
      </c>
      <c r="P41" s="500">
        <f ca="1">P39-P40</f>
        <v>0</v>
      </c>
      <c r="Q41" s="500">
        <f ca="1">Q39-Q40</f>
        <v>0</v>
      </c>
      <c r="R41" s="10"/>
      <c r="S41" s="10"/>
      <c r="T41" s="10"/>
      <c r="U41" s="10"/>
      <c r="V41" s="10"/>
    </row>
    <row r="42" spans="2:52" s="17" customFormat="1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501"/>
      <c r="N42" s="501"/>
      <c r="O42" s="501"/>
      <c r="P42" s="501"/>
      <c r="Q42" s="501"/>
      <c r="R42" s="10"/>
      <c r="S42" s="10"/>
      <c r="T42" s="10"/>
      <c r="U42" s="10"/>
      <c r="V42" s="10"/>
      <c r="W42" s="3"/>
      <c r="X42" s="3"/>
      <c r="Y42" s="3"/>
      <c r="Z42" s="3"/>
      <c r="AA42" s="3"/>
      <c r="AB42" s="3"/>
      <c r="AC42" s="3"/>
      <c r="AD42" s="3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</row>
    <row r="43" spans="2:52" s="17" customFormat="1">
      <c r="B43" s="488" t="s">
        <v>395</v>
      </c>
      <c r="M43" s="484"/>
      <c r="N43" s="484"/>
      <c r="O43" s="484"/>
      <c r="P43" s="484"/>
      <c r="Q43" s="484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</row>
    <row r="44" spans="2:52">
      <c r="B44" s="10" t="s">
        <v>301</v>
      </c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501">
        <f ca="1">M27/M36</f>
        <v>2.6571492051681918</v>
      </c>
      <c r="N44" s="501">
        <f ca="1">N27/N36</f>
        <v>3.3258329686735193</v>
      </c>
      <c r="O44" s="501">
        <f ca="1">O27/O36</f>
        <v>3.8062700440329515</v>
      </c>
      <c r="P44" s="501">
        <f ca="1">P27/P36</f>
        <v>4.3000024513078534</v>
      </c>
      <c r="Q44" s="501">
        <f ca="1">Q27/Q36</f>
        <v>4.8042545016373417</v>
      </c>
      <c r="R44" s="10"/>
      <c r="S44" s="10"/>
      <c r="T44" s="10"/>
      <c r="U44" s="10"/>
      <c r="V44" s="10"/>
    </row>
    <row r="45" spans="2:52">
      <c r="B45" s="10" t="s">
        <v>547</v>
      </c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448">
        <f ca="1">Merger!M280</f>
        <v>2.6571492051681918</v>
      </c>
      <c r="N45" s="448">
        <f ca="1">Merger!N280</f>
        <v>3.3258329686735189</v>
      </c>
      <c r="O45" s="448">
        <f ca="1">Merger!O280</f>
        <v>3.8062700440329515</v>
      </c>
      <c r="P45" s="448">
        <f ca="1">Merger!P280</f>
        <v>4.3000024513078543</v>
      </c>
      <c r="Q45" s="448">
        <f ca="1">Merger!Q280</f>
        <v>4.8042545016373417</v>
      </c>
      <c r="R45" s="10"/>
      <c r="S45" s="10"/>
      <c r="T45" s="10"/>
      <c r="U45" s="10"/>
      <c r="V45" s="10"/>
    </row>
    <row r="46" spans="2:52" ht="13.5">
      <c r="B46" s="498" t="s">
        <v>292</v>
      </c>
      <c r="C46" s="499"/>
      <c r="D46" s="499"/>
      <c r="E46" s="499"/>
      <c r="F46" s="499"/>
      <c r="G46" s="499"/>
      <c r="H46" s="499"/>
      <c r="I46" s="499"/>
      <c r="J46" s="499"/>
      <c r="K46" s="499"/>
      <c r="L46" s="499"/>
      <c r="M46" s="1464">
        <f ca="1">M44-M45</f>
        <v>0</v>
      </c>
      <c r="N46" s="1464">
        <f ca="1">N44-N45</f>
        <v>0</v>
      </c>
      <c r="O46" s="1464">
        <f ca="1">O44-O45</f>
        <v>0</v>
      </c>
      <c r="P46" s="1464">
        <f ca="1">P44-P45</f>
        <v>0</v>
      </c>
      <c r="Q46" s="1464">
        <f ca="1">Q44-Q45</f>
        <v>0</v>
      </c>
      <c r="R46" s="10"/>
      <c r="S46" s="10"/>
      <c r="T46" s="10"/>
      <c r="U46" s="10"/>
      <c r="V46" s="10"/>
    </row>
    <row r="47" spans="2:52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501"/>
      <c r="N47" s="501"/>
      <c r="O47" s="501"/>
      <c r="P47" s="501"/>
      <c r="Q47" s="501"/>
      <c r="R47" s="10"/>
      <c r="S47" s="10"/>
      <c r="T47" s="10"/>
      <c r="U47" s="10"/>
      <c r="V47" s="10"/>
    </row>
    <row r="48" spans="2:52" s="17" customFormat="1">
      <c r="B48" s="488" t="s">
        <v>549</v>
      </c>
      <c r="M48" s="484"/>
      <c r="N48" s="484"/>
      <c r="O48" s="484"/>
      <c r="P48" s="484"/>
      <c r="Q48" s="484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</row>
    <row r="49" spans="2:22">
      <c r="B49" s="10" t="s">
        <v>545</v>
      </c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501">
        <f ca="1">M44-M39</f>
        <v>0.49310862293240953</v>
      </c>
      <c r="N49" s="501">
        <f ca="1">N44-N39</f>
        <v>0.84958505290288722</v>
      </c>
      <c r="O49" s="501">
        <f ca="1">O44-O39</f>
        <v>1.0167292046671492</v>
      </c>
      <c r="P49" s="501">
        <f ca="1">P44-P39</f>
        <v>1.1579120122191942</v>
      </c>
      <c r="Q49" s="501">
        <f ca="1">Q44-Q39</f>
        <v>1.2655095886524768</v>
      </c>
      <c r="R49" s="10"/>
      <c r="S49" s="10"/>
      <c r="T49" s="10"/>
      <c r="U49" s="10"/>
      <c r="V49" s="10"/>
    </row>
    <row r="50" spans="2:22">
      <c r="B50" s="10" t="s">
        <v>546</v>
      </c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502">
        <f ca="1">M44/M39-1</f>
        <v>0.22786477618777079</v>
      </c>
      <c r="N50" s="502">
        <f ca="1">N44/N39-1</f>
        <v>0.34309369732007955</v>
      </c>
      <c r="O50" s="502">
        <f ca="1">O44/O39-1</f>
        <v>0.36447905344103182</v>
      </c>
      <c r="P50" s="502">
        <f ca="1">P44/P39-1</f>
        <v>0.36851644937216954</v>
      </c>
      <c r="Q50" s="502">
        <f ca="1">Q44/Q39-1</f>
        <v>0.35761537487737227</v>
      </c>
      <c r="R50" s="10"/>
      <c r="S50" s="10"/>
      <c r="T50" s="10"/>
      <c r="U50" s="10"/>
      <c r="V50" s="10"/>
    </row>
    <row r="51" spans="2:22"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503"/>
      <c r="N51" s="503"/>
      <c r="O51" s="503"/>
      <c r="P51" s="503"/>
      <c r="Q51" s="503"/>
      <c r="R51" s="10"/>
      <c r="S51" s="10"/>
      <c r="T51" s="10"/>
      <c r="U51" s="10"/>
      <c r="V51" s="10"/>
    </row>
    <row r="52" spans="2:22"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</row>
    <row r="53" spans="2:22"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</row>
    <row r="54" spans="2:22"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</row>
    <row r="55" spans="2:22"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</row>
    <row r="56" spans="2:22"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</row>
    <row r="57" spans="2:22"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</row>
    <row r="58" spans="2:22"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</row>
    <row r="59" spans="2:22"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2:22"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2:22"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2:22"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2:22"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2:22"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2:22"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2:22"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2:22"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2:22"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2:22"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2:22"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2:22"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2:22"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2:22"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2:22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2:22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2:22"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2:22"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2:22"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2:22"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2:22"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2:22"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2:22"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2:22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2:22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2:22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2:22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2:22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2:22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2:22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</sheetData>
  <customSheetViews>
    <customSheetView guid="{9AE38660-BF5A-49A3-9FC0-AD5890AFC019}" scale="115" showPageBreaks="1" showGridLines="0" printArea="1" view="pageBreakPreview" showRuler="0">
      <selection activeCell="L4" sqref="L4"/>
      <pageMargins left="0.35" right="0.35" top="0.35" bottom="0.35" header="0.15" footer="0.15"/>
      <printOptions horizontalCentered="1"/>
      <pageSetup scale="81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6" type="noConversion"/>
  <printOptions horizontalCentered="1"/>
  <pageMargins left="0.35" right="0.35" top="0.35" bottom="0.35" header="0.15" footer="0.15"/>
  <pageSetup scale="83" orientation="landscape" r:id="rId2"/>
  <headerFooter alignWithMargins="0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58"/>
  <sheetViews>
    <sheetView showGridLines="0" view="pageBreakPreview" zoomScale="70" zoomScaleNormal="100" zoomScaleSheetLayoutView="70" workbookViewId="0"/>
  </sheetViews>
  <sheetFormatPr defaultRowHeight="12.75" outlineLevelRow="1"/>
  <cols>
    <col min="1" max="1" width="2.83203125" style="4" customWidth="1"/>
    <col min="2" max="2" width="10.83203125" style="3" customWidth="1"/>
    <col min="3" max="3" width="2.83203125" style="3" customWidth="1"/>
    <col min="4" max="4" width="10.83203125" style="3" customWidth="1"/>
    <col min="5" max="5" width="2.83203125" style="3" customWidth="1"/>
    <col min="6" max="6" width="10.83203125" style="3" customWidth="1"/>
    <col min="7" max="7" width="2.83203125" style="3" customWidth="1"/>
    <col min="8" max="8" width="10.83203125" style="3" customWidth="1"/>
    <col min="9" max="9" width="2.83203125" style="3" customWidth="1"/>
    <col min="10" max="11" width="10.83203125" style="3" customWidth="1"/>
    <col min="12" max="12" width="2.83203125" style="3" customWidth="1"/>
    <col min="13" max="16" width="10.83203125" style="3" customWidth="1"/>
    <col min="17" max="17" width="2.83203125" style="3" customWidth="1"/>
    <col min="18" max="21" width="10.83203125" style="3" customWidth="1"/>
    <col min="22" max="22" width="2.83203125" style="3" customWidth="1"/>
    <col min="23" max="26" width="10.83203125" style="3" customWidth="1"/>
    <col min="27" max="27" width="2.83203125" style="3" customWidth="1"/>
    <col min="28" max="16384" width="9.33203125" style="4"/>
  </cols>
  <sheetData>
    <row r="1" spans="1:31">
      <c r="A1" s="2"/>
      <c r="W1" s="504"/>
    </row>
    <row r="2" spans="1:31" ht="23.25">
      <c r="B2" s="97" t="str">
        <f>m</f>
        <v>Project MODEL</v>
      </c>
      <c r="C2" s="39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4"/>
      <c r="U2" s="4"/>
      <c r="V2" s="4"/>
      <c r="W2" s="4"/>
      <c r="X2" s="235"/>
      <c r="Y2" s="235"/>
      <c r="Z2" s="235"/>
      <c r="AA2" s="399" t="str">
        <f>acq&amp;" - "&amp;acname</f>
        <v>COLEMAN CO. - Wall street consensus</v>
      </c>
    </row>
    <row r="3" spans="1:31" s="276" customFormat="1" ht="20.100000000000001" customHeight="1" thickBot="1">
      <c r="B3" s="98" t="str">
        <f>Merger!B3</f>
        <v>COLEMAN CO. Acquires SG ENTERPRISES - 90% Cash / 10% Stock</v>
      </c>
      <c r="C3" s="98"/>
      <c r="D3" s="505"/>
      <c r="E3" s="505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400" t="str">
        <f>tar&amp;" - "&amp;tcname</f>
        <v>SG ENTERPRISES - Wall street consensus</v>
      </c>
    </row>
    <row r="4" spans="1:31" ht="18">
      <c r="B4" s="506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457"/>
      <c r="Y4" s="457"/>
      <c r="Z4" s="457"/>
      <c r="AA4" s="423" t="str">
        <f>Merger!$Q$4</f>
        <v>Includes Cost Savings/Synergies</v>
      </c>
    </row>
    <row r="5" spans="1:31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31" ht="15.95" customHeight="1" collapsed="1">
      <c r="B6" s="507" t="s">
        <v>482</v>
      </c>
      <c r="C6" s="507"/>
      <c r="D6" s="507"/>
      <c r="E6" s="507"/>
      <c r="F6" s="507"/>
      <c r="G6" s="507"/>
      <c r="H6" s="507"/>
      <c r="I6" s="507"/>
      <c r="J6" s="507"/>
      <c r="K6" s="507"/>
      <c r="L6" s="507"/>
      <c r="M6" s="507"/>
      <c r="N6" s="507"/>
      <c r="O6" s="507"/>
      <c r="P6" s="507"/>
      <c r="Q6" s="507"/>
      <c r="R6" s="507"/>
      <c r="S6" s="507"/>
      <c r="T6" s="507"/>
      <c r="U6" s="507"/>
      <c r="V6" s="96"/>
      <c r="W6" s="96"/>
      <c r="X6" s="96"/>
      <c r="Y6" s="96"/>
      <c r="Z6" s="96"/>
      <c r="AA6" s="508"/>
      <c r="AB6" s="17"/>
      <c r="AC6" s="17"/>
      <c r="AD6" s="17"/>
      <c r="AE6" s="17"/>
    </row>
    <row r="7" spans="1:31">
      <c r="B7" s="509"/>
      <c r="C7" s="509"/>
      <c r="D7" s="510"/>
      <c r="E7" s="109"/>
      <c r="F7" s="510"/>
      <c r="G7" s="109"/>
      <c r="H7" s="510"/>
      <c r="I7" s="109"/>
      <c r="J7" s="510"/>
      <c r="K7" s="510"/>
      <c r="L7" s="109"/>
      <c r="M7" s="510"/>
      <c r="N7" s="510"/>
      <c r="O7" s="510"/>
      <c r="P7" s="510"/>
      <c r="Q7" s="109"/>
      <c r="R7" s="510"/>
      <c r="S7" s="510"/>
      <c r="T7" s="510"/>
      <c r="U7" s="510"/>
      <c r="V7" s="504"/>
      <c r="W7" s="511"/>
      <c r="X7" s="511"/>
      <c r="Y7" s="511"/>
      <c r="Z7" s="511"/>
      <c r="AA7" s="17"/>
      <c r="AB7" s="17"/>
      <c r="AC7" s="17"/>
      <c r="AD7" s="17"/>
      <c r="AE7" s="17"/>
    </row>
    <row r="8" spans="1:31" hidden="1" outlineLevel="1">
      <c r="B8" s="509"/>
      <c r="C8" s="509"/>
      <c r="D8" s="510">
        <f>COLUMN('Merger Tables'!D19)-COLUMN('Merger Tables'!$C$19)+1</f>
        <v>2</v>
      </c>
      <c r="E8" s="109"/>
      <c r="F8" s="510">
        <f>COLUMN('Merger Tables'!E19)-COLUMN('Merger Tables'!$C$19)+1</f>
        <v>3</v>
      </c>
      <c r="G8" s="109"/>
      <c r="H8" s="510">
        <f>COLUMN('Merger Tables'!F19)-COLUMN('Merger Tables'!$C$19)+1</f>
        <v>4</v>
      </c>
      <c r="I8" s="109"/>
      <c r="J8" s="510">
        <f>COLUMN('Merger Tables'!G19)-COLUMN('Merger Tables'!$C$19)+1</f>
        <v>5</v>
      </c>
      <c r="K8" s="510">
        <f>COLUMN('Merger Tables'!H19)-COLUMN('Merger Tables'!$C$19)+1</f>
        <v>6</v>
      </c>
      <c r="L8" s="109"/>
      <c r="M8" s="510">
        <f>COLUMN('Merger Tables'!I19)-COLUMN('Merger Tables'!$C$19)+1</f>
        <v>7</v>
      </c>
      <c r="N8" s="510">
        <f>COLUMN('Merger Tables'!J19)-COLUMN('Merger Tables'!$C$19)+1</f>
        <v>8</v>
      </c>
      <c r="O8" s="510">
        <f>COLUMN('Merger Tables'!K19)-COLUMN('Merger Tables'!$C$19)+1</f>
        <v>9</v>
      </c>
      <c r="P8" s="510">
        <f>COLUMN('Merger Tables'!L19)-COLUMN('Merger Tables'!$C$19)+1</f>
        <v>10</v>
      </c>
      <c r="Q8" s="109"/>
      <c r="R8" s="510">
        <f>COLUMN('Merger Tables'!N19)-COLUMN('Merger Tables'!$C$19)+1</f>
        <v>12</v>
      </c>
      <c r="S8" s="510">
        <f>COLUMN('Merger Tables'!O19)-COLUMN('Merger Tables'!$C$19)+1</f>
        <v>13</v>
      </c>
      <c r="T8" s="510">
        <f>COLUMN('Merger Tables'!P19)-COLUMN('Merger Tables'!$C$19)+1</f>
        <v>14</v>
      </c>
      <c r="U8" s="510">
        <f>COLUMN('Merger Tables'!Q19)-COLUMN('Merger Tables'!$C$19)+1</f>
        <v>15</v>
      </c>
      <c r="V8" s="504"/>
      <c r="W8" s="511"/>
      <c r="X8" s="511"/>
      <c r="Y8" s="511"/>
      <c r="Z8" s="511"/>
      <c r="AA8" s="17"/>
      <c r="AB8" s="17"/>
      <c r="AC8" s="17"/>
      <c r="AD8" s="17"/>
      <c r="AE8" s="17"/>
    </row>
    <row r="9" spans="1:31" hidden="1" outlineLevel="1">
      <c r="B9" s="509"/>
      <c r="C9" s="509"/>
      <c r="D9" s="510"/>
      <c r="E9" s="109"/>
      <c r="F9" s="510"/>
      <c r="G9" s="109"/>
      <c r="H9" s="510"/>
      <c r="I9" s="109"/>
      <c r="J9" s="510"/>
      <c r="K9" s="510"/>
      <c r="L9" s="109"/>
      <c r="M9" s="510"/>
      <c r="N9" s="510"/>
      <c r="O9" s="510"/>
      <c r="P9" s="510"/>
      <c r="Q9" s="109"/>
      <c r="R9" s="510"/>
      <c r="S9" s="510"/>
      <c r="T9" s="510"/>
      <c r="U9" s="510"/>
      <c r="V9" s="504"/>
      <c r="W9" s="511"/>
      <c r="X9" s="511"/>
      <c r="Y9" s="511"/>
      <c r="Z9" s="511"/>
      <c r="AA9" s="17"/>
      <c r="AB9" s="17"/>
      <c r="AC9" s="17"/>
      <c r="AD9" s="17"/>
      <c r="AE9" s="17"/>
    </row>
    <row r="10" spans="1:31" collapsed="1">
      <c r="B10" s="509"/>
      <c r="C10" s="509"/>
      <c r="D10" s="512" t="str">
        <f>+'Merger Tables'!D16</f>
        <v>Premium</v>
      </c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513"/>
      <c r="V10" s="511"/>
      <c r="W10" s="511"/>
      <c r="X10" s="511"/>
      <c r="Y10" s="511"/>
      <c r="Z10" s="511"/>
      <c r="AA10" s="17"/>
      <c r="AB10" s="17"/>
      <c r="AC10" s="17"/>
      <c r="AD10" s="17"/>
      <c r="AE10" s="17"/>
    </row>
    <row r="11" spans="1:31">
      <c r="B11" s="512" t="str">
        <f>+'Merger Tables'!C17</f>
        <v>Purchase</v>
      </c>
      <c r="D11" s="512" t="str">
        <f>+'Merger Tables'!D17</f>
        <v>to Current</v>
      </c>
      <c r="E11" s="109"/>
      <c r="F11" s="512"/>
      <c r="G11" s="109"/>
      <c r="H11" s="512" t="str">
        <f>+'Merger Tables'!F17</f>
        <v>SG ENTERPRISES</v>
      </c>
      <c r="I11" s="109"/>
      <c r="J11" s="514" t="str">
        <f>+'Merger Tables'!G17</f>
        <v>Pro Forma Leverage</v>
      </c>
      <c r="K11" s="514"/>
      <c r="L11" s="109"/>
      <c r="M11" s="512"/>
      <c r="N11" s="513"/>
      <c r="O11" s="513"/>
      <c r="P11" s="513"/>
      <c r="Q11" s="513"/>
      <c r="R11" s="513"/>
      <c r="S11" s="513"/>
      <c r="T11" s="513"/>
      <c r="U11" s="513"/>
      <c r="V11" s="511"/>
      <c r="W11" s="511"/>
      <c r="X11" s="511"/>
      <c r="Y11" s="511"/>
      <c r="Z11" s="511"/>
      <c r="AA11" s="17"/>
      <c r="AB11" s="17"/>
      <c r="AC11" s="17"/>
      <c r="AD11" s="17"/>
      <c r="AE11" s="17"/>
    </row>
    <row r="12" spans="1:31">
      <c r="B12" s="512" t="str">
        <f>+'Merger Tables'!C18</f>
        <v>Price per</v>
      </c>
      <c r="D12" s="512" t="str">
        <f>+'Merger Tables'!D18</f>
        <v>Price of</v>
      </c>
      <c r="E12" s="109"/>
      <c r="F12" s="512" t="str">
        <f>+'Merger Tables'!E18</f>
        <v xml:space="preserve">Exchange </v>
      </c>
      <c r="G12" s="109"/>
      <c r="H12" s="512" t="str">
        <f>+'Merger Tables'!F18</f>
        <v>Pro Forma</v>
      </c>
      <c r="I12" s="109"/>
      <c r="J12" s="512" t="str">
        <f>+'Merger Tables'!G18</f>
        <v>Debt/</v>
      </c>
      <c r="K12" s="512" t="str">
        <f>+'Merger Tables'!H18</f>
        <v>Adj. Debt/</v>
      </c>
      <c r="L12" s="109"/>
      <c r="M12" s="416" t="str">
        <f>+'Merger Tables'!I18</f>
        <v>E.P.S. Accretion (Dilution) % to COLEMAN CO.</v>
      </c>
      <c r="N12" s="416"/>
      <c r="O12" s="416"/>
      <c r="P12" s="416"/>
      <c r="Q12" s="513"/>
      <c r="R12" s="416" t="str">
        <f>+'Merger Tables'!N18</f>
        <v>E.P.S. Accretion (Dilution) $ to COLEMAN CO.</v>
      </c>
      <c r="S12" s="416"/>
      <c r="T12" s="416"/>
      <c r="U12" s="416"/>
      <c r="V12" s="511"/>
      <c r="W12" s="511"/>
      <c r="X12" s="511"/>
      <c r="Y12" s="511"/>
      <c r="Z12" s="511"/>
      <c r="AA12" s="17"/>
      <c r="AB12" s="17"/>
      <c r="AC12" s="17"/>
      <c r="AD12" s="17"/>
      <c r="AE12" s="17"/>
    </row>
    <row r="13" spans="1:31">
      <c r="B13" s="512" t="str">
        <f>+'Merger Tables'!C19</f>
        <v>Share</v>
      </c>
      <c r="D13" s="512">
        <f>+'Merger Tables'!D19</f>
        <v>25</v>
      </c>
      <c r="E13" s="109"/>
      <c r="F13" s="512" t="str">
        <f>+'Merger Tables'!E19</f>
        <v>Ratio</v>
      </c>
      <c r="G13" s="109"/>
      <c r="H13" s="512" t="str">
        <f>+'Merger Tables'!F19</f>
        <v>Ownership</v>
      </c>
      <c r="I13" s="109"/>
      <c r="J13" s="512" t="str">
        <f>+'Merger Tables'!G19</f>
        <v>EBITDA</v>
      </c>
      <c r="K13" s="512" t="str">
        <f>+'Merger Tables'!H19</f>
        <v>EBITDAR</v>
      </c>
      <c r="L13" s="109"/>
      <c r="M13" s="180">
        <f>+'Merger Tables'!I19</f>
        <v>2020</v>
      </c>
      <c r="N13" s="180">
        <f>+'Merger Tables'!J19</f>
        <v>2021</v>
      </c>
      <c r="O13" s="180">
        <f>+'Merger Tables'!K19</f>
        <v>2022</v>
      </c>
      <c r="P13" s="180">
        <f>+'Merger Tables'!L19</f>
        <v>2023</v>
      </c>
      <c r="Q13" s="109"/>
      <c r="R13" s="180">
        <f>+'Merger Tables'!N19</f>
        <v>2020</v>
      </c>
      <c r="S13" s="180">
        <f>+'Merger Tables'!O19</f>
        <v>2021</v>
      </c>
      <c r="T13" s="180">
        <f>+'Merger Tables'!P19</f>
        <v>2022</v>
      </c>
      <c r="U13" s="180">
        <f>+'Merger Tables'!Q19</f>
        <v>2023</v>
      </c>
      <c r="V13" s="515"/>
      <c r="W13" s="515"/>
      <c r="X13" s="515"/>
      <c r="Y13" s="515"/>
      <c r="Z13" s="515"/>
      <c r="AA13" s="17"/>
      <c r="AB13" s="17"/>
      <c r="AC13" s="17"/>
      <c r="AD13" s="17"/>
      <c r="AE13" s="17"/>
    </row>
    <row r="14" spans="1:31">
      <c r="B14" s="516">
        <f>'Merger Tables'!C21</f>
        <v>25</v>
      </c>
      <c r="C14" s="517"/>
      <c r="D14" s="518">
        <f>VLOOKUP($B14,'Merger Tables'!$C$21:$R$32,D$8,FALSE)</f>
        <v>0</v>
      </c>
      <c r="E14" s="517"/>
      <c r="F14" s="519">
        <f>VLOOKUP($B14,'Merger Tables'!$C$21:$R$32,F$8,FALSE)</f>
        <v>0.92592592592592593</v>
      </c>
      <c r="G14" s="517"/>
      <c r="H14" s="520">
        <f>VLOOKUP($B14,'Merger Tables'!$C$21:$R$32,H$8,FALSE)</f>
        <v>5.0885461327628868E-2</v>
      </c>
      <c r="I14" s="517"/>
      <c r="J14" s="521">
        <f>VLOOKUP($B14,'Merger Tables'!$C$21:$R$32,J$8,FALSE)</f>
        <v>0.83333333333333337</v>
      </c>
      <c r="K14" s="521">
        <f>VLOOKUP($B14,'Merger Tables'!$C$21:$R$32,K$8,FALSE)</f>
        <v>1.500031492095484</v>
      </c>
      <c r="L14" s="517"/>
      <c r="M14" s="522">
        <f>VLOOKUP($B14,'Merger Tables'!$C$21:$R$32,M$8,FALSE)</f>
        <v>0.31853269309324395</v>
      </c>
      <c r="N14" s="522">
        <f>VLOOKUP($B14,'Merger Tables'!$C$21:$R$32,N$8,FALSE)</f>
        <v>0.41998878456740907</v>
      </c>
      <c r="O14" s="522">
        <f>VLOOKUP($B14,'Merger Tables'!$C$21:$R$32,O$8,FALSE)</f>
        <v>0.43666044856239306</v>
      </c>
      <c r="P14" s="522">
        <f>VLOOKUP($B14,'Merger Tables'!$C$21:$R$32,P$8,FALSE)</f>
        <v>0.43434871217568571</v>
      </c>
      <c r="Q14" s="517"/>
      <c r="R14" s="523">
        <f>VLOOKUP($B14,'Merger Tables'!$C$21:$R$32,R$8,FALSE)</f>
        <v>0.68931767462263549</v>
      </c>
      <c r="S14" s="523">
        <f>VLOOKUP($B14,'Merger Tables'!$C$21:$R$32,S$8,FALSE)</f>
        <v>1.0399963524320879</v>
      </c>
      <c r="T14" s="523">
        <f>VLOOKUP($B14,'Merger Tables'!$C$21:$R$32,T$8,FALSE)</f>
        <v>1.2180821542005855</v>
      </c>
      <c r="U14" s="523">
        <f>VLOOKUP($B14,'Merger Tables'!$C$21:$R$32,U$8,FALSE)</f>
        <v>1.3647629357576943</v>
      </c>
      <c r="V14" s="524"/>
      <c r="W14" s="524"/>
      <c r="X14" s="524"/>
      <c r="Y14" s="524"/>
      <c r="Z14" s="524"/>
      <c r="AA14" s="17"/>
      <c r="AB14" s="17"/>
      <c r="AC14" s="17"/>
      <c r="AD14" s="17"/>
      <c r="AE14" s="17"/>
    </row>
    <row r="15" spans="1:31">
      <c r="B15" s="525">
        <f>'Merger Tables'!C22</f>
        <v>26</v>
      </c>
      <c r="C15" s="517"/>
      <c r="D15" s="526">
        <f>VLOOKUP($B15,'Merger Tables'!$C$21:$R$32,D$8,FALSE)</f>
        <v>4.0000000000000036E-2</v>
      </c>
      <c r="E15" s="517"/>
      <c r="F15" s="527">
        <f>VLOOKUP($B15,'Merger Tables'!$C$21:$R$32,F$8,FALSE)</f>
        <v>0.96296296296296291</v>
      </c>
      <c r="G15" s="517"/>
      <c r="H15" s="526">
        <f>VLOOKUP($B15,'Merger Tables'!$C$21:$R$32,H$8,FALSE)</f>
        <v>5.2835022325863984E-2</v>
      </c>
      <c r="I15" s="517"/>
      <c r="J15" s="528">
        <f>VLOOKUP($B15,'Merger Tables'!$C$21:$R$32,J$8,FALSE)</f>
        <v>1.1666666666666667</v>
      </c>
      <c r="K15" s="528">
        <f>VLOOKUP($B15,'Merger Tables'!$C$21:$R$32,K$8,FALSE)</f>
        <v>1.8023556087422057</v>
      </c>
      <c r="L15" s="517"/>
      <c r="M15" s="529">
        <f>VLOOKUP($B15,'Merger Tables'!$C$21:$R$32,M$8,FALSE)</f>
        <v>0.29261497443848783</v>
      </c>
      <c r="N15" s="529">
        <f>VLOOKUP($B15,'Merger Tables'!$C$21:$R$32,N$8,FALSE)</f>
        <v>0.40202020186532206</v>
      </c>
      <c r="O15" s="529">
        <f>VLOOKUP($B15,'Merger Tables'!$C$21:$R$32,O$8,FALSE)</f>
        <v>0.41907203508958446</v>
      </c>
      <c r="P15" s="529">
        <f>VLOOKUP($B15,'Merger Tables'!$C$21:$R$32,P$8,FALSE)</f>
        <v>0.41837569952999831</v>
      </c>
      <c r="Q15" s="517"/>
      <c r="R15" s="530">
        <f>VLOOKUP($B15,'Merger Tables'!$C$21:$R$32,R$8,FALSE)</f>
        <v>0.63323067965477353</v>
      </c>
      <c r="S15" s="530">
        <f>VLOOKUP($B15,'Merger Tables'!$C$21:$R$32,S$8,FALSE)</f>
        <v>0.99550168696669239</v>
      </c>
      <c r="T15" s="530">
        <f>VLOOKUP($B15,'Merger Tables'!$C$21:$R$32,T$8,FALSE)</f>
        <v>1.1690185565185347</v>
      </c>
      <c r="U15" s="530">
        <f>VLOOKUP($B15,'Merger Tables'!$C$21:$R$32,U$8,FALSE)</f>
        <v>1.3145742854402371</v>
      </c>
      <c r="V15" s="531"/>
      <c r="W15" s="531"/>
      <c r="X15" s="531"/>
      <c r="Y15" s="531"/>
      <c r="Z15" s="531"/>
      <c r="AA15" s="17"/>
      <c r="AB15" s="17"/>
      <c r="AC15" s="17"/>
      <c r="AD15" s="17"/>
      <c r="AE15" s="17"/>
    </row>
    <row r="16" spans="1:31">
      <c r="B16" s="525">
        <f>'Merger Tables'!C23</f>
        <v>27</v>
      </c>
      <c r="C16" s="517"/>
      <c r="D16" s="526">
        <f>VLOOKUP($B16,'Merger Tables'!$C$21:$R$32,D$8,FALSE)</f>
        <v>8.0000000000000071E-2</v>
      </c>
      <c r="E16" s="517"/>
      <c r="F16" s="527">
        <f>VLOOKUP($B16,'Merger Tables'!$C$21:$R$32,F$8,FALSE)</f>
        <v>1</v>
      </c>
      <c r="G16" s="517"/>
      <c r="H16" s="526">
        <f>VLOOKUP($B16,'Merger Tables'!$C$21:$R$32,H$8,FALSE)</f>
        <v>5.477659061764082E-2</v>
      </c>
      <c r="I16" s="517"/>
      <c r="J16" s="528">
        <f>VLOOKUP($B16,'Merger Tables'!$C$21:$R$32,J$8,FALSE)</f>
        <v>1.3333333333333333</v>
      </c>
      <c r="K16" s="528">
        <f>VLOOKUP($B16,'Merger Tables'!$C$21:$R$32,K$8,FALSE)</f>
        <v>1.9535176670655667</v>
      </c>
      <c r="L16" s="517"/>
      <c r="M16" s="529">
        <f>VLOOKUP($B16,'Merger Tables'!$C$21:$R$32,M$8,FALSE)</f>
        <v>0.27473693155535539</v>
      </c>
      <c r="N16" s="529">
        <f>VLOOKUP($B16,'Merger Tables'!$C$21:$R$32,N$8,FALSE)</f>
        <v>0.38583153002520065</v>
      </c>
      <c r="O16" s="529">
        <f>VLOOKUP($B16,'Merger Tables'!$C$21:$R$32,O$8,FALSE)</f>
        <v>0.40271597134129333</v>
      </c>
      <c r="P16" s="529">
        <f>VLOOKUP($B16,'Merger Tables'!$C$21:$R$32,P$8,FALSE)</f>
        <v>0.40349722023981593</v>
      </c>
      <c r="Q16" s="517"/>
      <c r="R16" s="530">
        <f>VLOOKUP($B16,'Merger Tables'!$C$21:$R$32,R$8,FALSE)</f>
        <v>0.59454186932472375</v>
      </c>
      <c r="S16" s="530">
        <f>VLOOKUP($B16,'Merger Tables'!$C$21:$R$32,S$8,FALSE)</f>
        <v>0.95541452206349708</v>
      </c>
      <c r="T16" s="530">
        <f>VLOOKUP($B16,'Merger Tables'!$C$21:$R$32,T$8,FALSE)</f>
        <v>1.1233926487214059</v>
      </c>
      <c r="U16" s="530">
        <f>VLOOKUP($B16,'Merger Tables'!$C$21:$R$32,U$8,FALSE)</f>
        <v>1.2678247579143767</v>
      </c>
      <c r="V16" s="531"/>
      <c r="W16" s="531"/>
      <c r="X16" s="531"/>
      <c r="Y16" s="531"/>
      <c r="Z16" s="531"/>
      <c r="AA16" s="17"/>
      <c r="AB16" s="17"/>
      <c r="AC16" s="17"/>
      <c r="AD16" s="17"/>
      <c r="AE16" s="17"/>
    </row>
    <row r="17" spans="2:31">
      <c r="B17" s="525">
        <f>'Merger Tables'!C24</f>
        <v>28</v>
      </c>
      <c r="C17" s="517"/>
      <c r="D17" s="526">
        <f>VLOOKUP($B17,'Merger Tables'!$C$21:$R$32,D$8,FALSE)</f>
        <v>0.12000000000000011</v>
      </c>
      <c r="E17" s="517"/>
      <c r="F17" s="527">
        <f>VLOOKUP($B17,'Merger Tables'!$C$21:$R$32,F$8,FALSE)</f>
        <v>1.037037037037037</v>
      </c>
      <c r="G17" s="517"/>
      <c r="H17" s="526">
        <f>VLOOKUP($B17,'Merger Tables'!$C$21:$R$32,H$8,FALSE)</f>
        <v>5.6710215254518935E-2</v>
      </c>
      <c r="I17" s="517"/>
      <c r="J17" s="528">
        <f>VLOOKUP($B17,'Merger Tables'!$C$21:$R$32,J$8,FALSE)</f>
        <v>1.3333333333333333</v>
      </c>
      <c r="K17" s="528">
        <f>VLOOKUP($B17,'Merger Tables'!$C$21:$R$32,K$8,FALSE)</f>
        <v>1.9535176670655667</v>
      </c>
      <c r="L17" s="517"/>
      <c r="M17" s="529">
        <f>VLOOKUP($B17,'Merger Tables'!$C$21:$R$32,M$8,FALSE)</f>
        <v>0.26328280027257911</v>
      </c>
      <c r="N17" s="529">
        <f>VLOOKUP($B17,'Merger Tables'!$C$21:$R$32,N$8,FALSE)</f>
        <v>0.37516371869368181</v>
      </c>
      <c r="O17" s="529">
        <f>VLOOKUP($B17,'Merger Tables'!$C$21:$R$32,O$8,FALSE)</f>
        <v>0.39690090961816837</v>
      </c>
      <c r="P17" s="529">
        <f>VLOOKUP($B17,'Merger Tables'!$C$21:$R$32,P$8,FALSE)</f>
        <v>0.39800856943488339</v>
      </c>
      <c r="Q17" s="517"/>
      <c r="R17" s="530">
        <f>VLOOKUP($B17,'Merger Tables'!$C$21:$R$32,R$8,FALSE)</f>
        <v>0.56975466439453903</v>
      </c>
      <c r="S17" s="530">
        <f>VLOOKUP($B17,'Merger Tables'!$C$21:$R$32,S$8,FALSE)</f>
        <v>0.92899837648798922</v>
      </c>
      <c r="T17" s="530">
        <f>VLOOKUP($B17,'Merger Tables'!$C$21:$R$32,T$8,FALSE)</f>
        <v>1.1071712965613161</v>
      </c>
      <c r="U17" s="530">
        <f>VLOOKUP($B17,'Merger Tables'!$C$21:$R$32,U$8,FALSE)</f>
        <v>1.250578920696702</v>
      </c>
      <c r="V17" s="531"/>
      <c r="W17" s="531"/>
      <c r="X17" s="531"/>
      <c r="Y17" s="531"/>
      <c r="Z17" s="531"/>
      <c r="AA17" s="17"/>
      <c r="AB17" s="17"/>
      <c r="AC17" s="17"/>
      <c r="AD17" s="17"/>
      <c r="AE17" s="17"/>
    </row>
    <row r="18" spans="2:31">
      <c r="B18" s="525">
        <f>'Merger Tables'!C25</f>
        <v>29</v>
      </c>
      <c r="C18" s="517"/>
      <c r="D18" s="526">
        <f>VLOOKUP($B18,'Merger Tables'!$C$21:$R$32,D$8,FALSE)</f>
        <v>0.15999999999999992</v>
      </c>
      <c r="E18" s="517"/>
      <c r="F18" s="527">
        <f>VLOOKUP($B18,'Merger Tables'!$C$21:$R$32,F$8,FALSE)</f>
        <v>1.0740740740740742</v>
      </c>
      <c r="G18" s="517"/>
      <c r="H18" s="526">
        <f>VLOOKUP($B18,'Merger Tables'!$C$21:$R$32,H$8,FALSE)</f>
        <v>5.8635944887502137E-2</v>
      </c>
      <c r="I18" s="517"/>
      <c r="J18" s="528">
        <f>VLOOKUP($B18,'Merger Tables'!$C$21:$R$32,J$8,FALSE)</f>
        <v>1.5</v>
      </c>
      <c r="K18" s="528">
        <f>VLOOKUP($B18,'Merger Tables'!$C$21:$R$32,K$8,FALSE)</f>
        <v>2.1046797253889276</v>
      </c>
      <c r="L18" s="517"/>
      <c r="M18" s="529">
        <f>VLOOKUP($B18,'Merger Tables'!$C$21:$R$32,M$8,FALSE)</f>
        <v>0.24553763531119821</v>
      </c>
      <c r="N18" s="529">
        <f>VLOOKUP($B18,'Merger Tables'!$C$21:$R$32,N$8,FALSE)</f>
        <v>0.35909597277243233</v>
      </c>
      <c r="O18" s="529">
        <f>VLOOKUP($B18,'Merger Tables'!$C$21:$R$32,O$8,FALSE)</f>
        <v>0.38065688991431279</v>
      </c>
      <c r="P18" s="529">
        <f>VLOOKUP($B18,'Merger Tables'!$C$21:$R$32,P$8,FALSE)</f>
        <v>0.38323239683685961</v>
      </c>
      <c r="Q18" s="517"/>
      <c r="R18" s="530">
        <f>VLOOKUP($B18,'Merger Tables'!$C$21:$R$32,R$8,FALSE)</f>
        <v>0.53135340727964264</v>
      </c>
      <c r="S18" s="530">
        <f>VLOOKUP($B18,'Merger Tables'!$C$21:$R$32,S$8,FALSE)</f>
        <v>0.8892106541393634</v>
      </c>
      <c r="T18" s="530">
        <f>VLOOKUP($B18,'Merger Tables'!$C$21:$R$32,T$8,FALSE)</f>
        <v>1.0618579402019481</v>
      </c>
      <c r="U18" s="530">
        <f>VLOOKUP($B18,'Merger Tables'!$C$21:$R$32,U$8,FALSE)</f>
        <v>1.2041508500501275</v>
      </c>
      <c r="V18" s="531"/>
      <c r="W18" s="531"/>
      <c r="X18" s="531"/>
      <c r="Y18" s="531"/>
      <c r="Z18" s="531"/>
      <c r="AA18" s="17"/>
      <c r="AB18" s="17"/>
      <c r="AC18" s="17"/>
      <c r="AD18" s="17"/>
      <c r="AE18" s="17"/>
    </row>
    <row r="19" spans="2:31">
      <c r="B19" s="525">
        <f>'Merger Tables'!C26</f>
        <v>30</v>
      </c>
      <c r="C19" s="517"/>
      <c r="D19" s="526">
        <f>VLOOKUP($B19,'Merger Tables'!$C$21:$R$32,D$8,FALSE)</f>
        <v>0.19999999999999996</v>
      </c>
      <c r="E19" s="517"/>
      <c r="F19" s="527">
        <f>VLOOKUP($B19,'Merger Tables'!$C$21:$R$32,F$8,FALSE)</f>
        <v>1.1111111111111112</v>
      </c>
      <c r="G19" s="517"/>
      <c r="H19" s="526">
        <f>VLOOKUP($B19,'Merger Tables'!$C$21:$R$32,H$8,FALSE)</f>
        <v>6.0553827771118784E-2</v>
      </c>
      <c r="I19" s="517"/>
      <c r="J19" s="528">
        <f>VLOOKUP($B19,'Merger Tables'!$C$21:$R$32,J$8,FALSE)</f>
        <v>1.6666666666666667</v>
      </c>
      <c r="K19" s="528">
        <f>VLOOKUP($B19,'Merger Tables'!$C$21:$R$32,K$8,FALSE)</f>
        <v>2.2558417837122882</v>
      </c>
      <c r="L19" s="517"/>
      <c r="M19" s="529">
        <f>VLOOKUP($B19,'Merger Tables'!$C$21:$R$32,M$8,FALSE)</f>
        <v>0.22786477637034475</v>
      </c>
      <c r="N19" s="529">
        <f>VLOOKUP($B19,'Merger Tables'!$C$21:$R$32,N$8,FALSE)</f>
        <v>0.34309369802271594</v>
      </c>
      <c r="O19" s="529">
        <f>VLOOKUP($B19,'Merger Tables'!$C$21:$R$32,O$8,FALSE)</f>
        <v>0.36447905945165116</v>
      </c>
      <c r="P19" s="529">
        <f>VLOOKUP($B19,'Merger Tables'!$C$21:$R$32,P$8,FALSE)</f>
        <v>0.36851645449083059</v>
      </c>
      <c r="Q19" s="517"/>
      <c r="R19" s="530">
        <f>VLOOKUP($B19,'Merger Tables'!$C$21:$R$32,R$8,FALSE)</f>
        <v>0.49310862332750727</v>
      </c>
      <c r="S19" s="530">
        <f>VLOOKUP($B19,'Merger Tables'!$C$21:$R$32,S$8,FALSE)</f>
        <v>0.84958505464278877</v>
      </c>
      <c r="T19" s="530">
        <f>VLOOKUP($B19,'Merger Tables'!$C$21:$R$32,T$8,FALSE)</f>
        <v>1.0167292214340171</v>
      </c>
      <c r="U19" s="530">
        <f>VLOOKUP($B19,'Merger Tables'!$C$21:$R$32,U$8,FALSE)</f>
        <v>1.1579120283024897</v>
      </c>
      <c r="V19" s="531"/>
      <c r="W19" s="531"/>
      <c r="X19" s="531"/>
      <c r="Y19" s="531"/>
      <c r="Z19" s="531"/>
      <c r="AA19" s="17"/>
      <c r="AB19" s="17"/>
      <c r="AC19" s="17"/>
      <c r="AD19" s="17"/>
      <c r="AE19" s="17"/>
    </row>
    <row r="20" spans="2:31">
      <c r="B20" s="525">
        <f>'Merger Tables'!C27</f>
        <v>31</v>
      </c>
      <c r="C20" s="517"/>
      <c r="D20" s="526">
        <f>VLOOKUP($B20,'Merger Tables'!$C$21:$R$32,D$8,FALSE)</f>
        <v>0.24</v>
      </c>
      <c r="E20" s="517"/>
      <c r="F20" s="527">
        <f>VLOOKUP($B20,'Merger Tables'!$C$21:$R$32,F$8,FALSE)</f>
        <v>1.1481481481481481</v>
      </c>
      <c r="G20" s="517"/>
      <c r="H20" s="526">
        <f>VLOOKUP($B20,'Merger Tables'!$C$21:$R$32,H$8,FALSE)</f>
        <v>6.2463911767452411E-2</v>
      </c>
      <c r="I20" s="517"/>
      <c r="J20" s="528">
        <f>VLOOKUP($B20,'Merger Tables'!$C$21:$R$32,J$8,FALSE)</f>
        <v>1.6666666666666667</v>
      </c>
      <c r="K20" s="528">
        <f>VLOOKUP($B20,'Merger Tables'!$C$21:$R$32,K$8,FALSE)</f>
        <v>2.2558417837122882</v>
      </c>
      <c r="L20" s="517"/>
      <c r="M20" s="529">
        <f>VLOOKUP($B20,'Merger Tables'!$C$21:$R$32,M$8,FALSE)</f>
        <v>0.21657581112952462</v>
      </c>
      <c r="N20" s="529">
        <f>VLOOKUP($B20,'Merger Tables'!$C$21:$R$32,N$8,FALSE)</f>
        <v>0.33257784992061845</v>
      </c>
      <c r="O20" s="529">
        <f>VLOOKUP($B20,'Merger Tables'!$C$21:$R$32,O$8,FALSE)</f>
        <v>0.35877720338313468</v>
      </c>
      <c r="P20" s="529">
        <f>VLOOKUP($B20,'Merger Tables'!$C$21:$R$32,P$8,FALSE)</f>
        <v>0.36313239217186033</v>
      </c>
      <c r="Q20" s="517"/>
      <c r="R20" s="530">
        <f>VLOOKUP($B20,'Merger Tables'!$C$21:$R$32,R$8,FALSE)</f>
        <v>0.46867884441492347</v>
      </c>
      <c r="S20" s="530">
        <f>VLOOKUP($B20,'Merger Tables'!$C$21:$R$32,S$8,FALSE)</f>
        <v>0.82354520769740969</v>
      </c>
      <c r="T20" s="530">
        <f>VLOOKUP($B20,'Merger Tables'!$C$21:$R$32,T$8,FALSE)</f>
        <v>1.0008236610707044</v>
      </c>
      <c r="U20" s="530">
        <f>VLOOKUP($B20,'Merger Tables'!$C$21:$R$32,U$8,FALSE)</f>
        <v>1.1409948175665958</v>
      </c>
      <c r="V20" s="531"/>
      <c r="W20" s="531"/>
      <c r="X20" s="531"/>
      <c r="Y20" s="531"/>
      <c r="Z20" s="531"/>
      <c r="AA20" s="17"/>
      <c r="AB20" s="17"/>
      <c r="AC20" s="17"/>
      <c r="AD20" s="17"/>
      <c r="AE20" s="17"/>
    </row>
    <row r="21" spans="2:31">
      <c r="B21" s="525">
        <f>'Merger Tables'!C28</f>
        <v>32</v>
      </c>
      <c r="C21" s="517"/>
      <c r="D21" s="526">
        <f>VLOOKUP($B21,'Merger Tables'!$C$21:$R$32,D$8,FALSE)</f>
        <v>0.28000000000000003</v>
      </c>
      <c r="E21" s="517"/>
      <c r="F21" s="527">
        <f>VLOOKUP($B21,'Merger Tables'!$C$21:$R$32,F$8,FALSE)</f>
        <v>1.1851851851851851</v>
      </c>
      <c r="G21" s="517"/>
      <c r="H21" s="526">
        <f>VLOOKUP($B21,'Merger Tables'!$C$21:$R$32,H$8,FALSE)</f>
        <v>6.4366244350123211E-2</v>
      </c>
      <c r="I21" s="517"/>
      <c r="J21" s="528">
        <f>VLOOKUP($B21,'Merger Tables'!$C$21:$R$32,J$8,FALSE)</f>
        <v>1.8333333333333333</v>
      </c>
      <c r="K21" s="528">
        <f>VLOOKUP($B21,'Merger Tables'!$C$21:$R$32,K$8,FALSE)</f>
        <v>2.4070038420356492</v>
      </c>
      <c r="L21" s="517"/>
      <c r="M21" s="529">
        <f>VLOOKUP($B21,'Merger Tables'!$C$21:$R$32,M$8,FALSE)</f>
        <v>0.19903343712856114</v>
      </c>
      <c r="N21" s="529">
        <f>VLOOKUP($B21,'Merger Tables'!$C$21:$R$32,N$8,FALSE)</f>
        <v>0.31669432205525627</v>
      </c>
      <c r="O21" s="529">
        <f>VLOOKUP($B21,'Merger Tables'!$C$21:$R$32,O$8,FALSE)</f>
        <v>0.34270942068652754</v>
      </c>
      <c r="P21" s="529">
        <f>VLOOKUP($B21,'Merger Tables'!$C$21:$R$32,P$8,FALSE)</f>
        <v>0.34851693194542643</v>
      </c>
      <c r="Q21" s="517"/>
      <c r="R21" s="530">
        <f>VLOOKUP($B21,'Merger Tables'!$C$21:$R$32,R$8,FALSE)</f>
        <v>0.43071643516808056</v>
      </c>
      <c r="S21" s="530">
        <f>VLOOKUP($B21,'Merger Tables'!$C$21:$R$32,S$8,FALSE)</f>
        <v>0.78421365492572193</v>
      </c>
      <c r="T21" s="530">
        <f>VLOOKUP($B21,'Merger Tables'!$C$21:$R$32,T$8,FALSE)</f>
        <v>0.95600192504046388</v>
      </c>
      <c r="U21" s="530">
        <f>VLOOKUP($B21,'Merger Tables'!$C$21:$R$32,U$8,FALSE)</f>
        <v>1.0950717197262376</v>
      </c>
      <c r="V21" s="531"/>
      <c r="W21" s="531"/>
      <c r="X21" s="531"/>
      <c r="Y21" s="531"/>
      <c r="Z21" s="531"/>
      <c r="AA21" s="17"/>
      <c r="AB21" s="17"/>
      <c r="AC21" s="17"/>
      <c r="AD21" s="17"/>
      <c r="AE21" s="17"/>
    </row>
    <row r="22" spans="2:31">
      <c r="B22" s="525">
        <f>'Merger Tables'!C29</f>
        <v>33</v>
      </c>
      <c r="C22" s="517"/>
      <c r="D22" s="526">
        <f>VLOOKUP($B22,'Merger Tables'!$C$21:$R$32,D$8,FALSE)</f>
        <v>0.32000000000000006</v>
      </c>
      <c r="E22" s="517"/>
      <c r="F22" s="527">
        <f>VLOOKUP($B22,'Merger Tables'!$C$21:$R$32,F$8,FALSE)</f>
        <v>1.2222222222222223</v>
      </c>
      <c r="G22" s="517"/>
      <c r="H22" s="526">
        <f>VLOOKUP($B22,'Merger Tables'!$C$21:$R$32,H$8,FALSE)</f>
        <v>6.6260872608221139E-2</v>
      </c>
      <c r="I22" s="517"/>
      <c r="J22" s="528">
        <f>VLOOKUP($B22,'Merger Tables'!$C$21:$R$32,J$8,FALSE)</f>
        <v>2</v>
      </c>
      <c r="K22" s="528">
        <f>VLOOKUP($B22,'Merger Tables'!$C$21:$R$32,K$8,FALSE)</f>
        <v>2.5581659003590103</v>
      </c>
      <c r="L22" s="517"/>
      <c r="M22" s="529">
        <f>VLOOKUP($B22,'Merger Tables'!$C$21:$R$32,M$8,FALSE)</f>
        <v>0.181562108605684</v>
      </c>
      <c r="N22" s="529">
        <f>VLOOKUP($B22,'Merger Tables'!$C$21:$R$32,N$8,FALSE)</f>
        <v>0.30087512155912366</v>
      </c>
      <c r="O22" s="529">
        <f>VLOOKUP($B22,'Merger Tables'!$C$21:$R$32,O$8,FALSE)</f>
        <v>0.32670671138722729</v>
      </c>
      <c r="P22" s="529">
        <f>VLOOKUP($B22,'Merger Tables'!$C$21:$R$32,P$8,FALSE)</f>
        <v>0.33396068522871247</v>
      </c>
      <c r="Q22" s="517"/>
      <c r="R22" s="530">
        <f>VLOOKUP($B22,'Merger Tables'!$C$21:$R$32,R$8,FALSE)</f>
        <v>0.39290777121900078</v>
      </c>
      <c r="S22" s="530">
        <f>VLOOKUP($B22,'Merger Tables'!$C$21:$R$32,S$8,FALSE)</f>
        <v>0.7450413926680155</v>
      </c>
      <c r="T22" s="530">
        <f>VLOOKUP($B22,'Merger Tables'!$C$21:$R$32,T$8,FALSE)</f>
        <v>0.91136171390956688</v>
      </c>
      <c r="U22" s="530">
        <f>VLOOKUP($B22,'Merger Tables'!$C$21:$R$32,U$8,FALSE)</f>
        <v>1.0493346760886348</v>
      </c>
      <c r="V22" s="531"/>
      <c r="W22" s="531"/>
      <c r="X22" s="531"/>
      <c r="Y22" s="531"/>
      <c r="Z22" s="531"/>
      <c r="AA22" s="17"/>
      <c r="AB22" s="17"/>
      <c r="AC22" s="17"/>
      <c r="AD22" s="17"/>
      <c r="AE22" s="17"/>
    </row>
    <row r="23" spans="2:31" ht="12.75" customHeight="1">
      <c r="B23" s="525">
        <f>'Merger Tables'!C30</f>
        <v>34</v>
      </c>
      <c r="C23" s="517"/>
      <c r="D23" s="526">
        <f>VLOOKUP($B23,'Merger Tables'!$C$21:$R$32,D$8,FALSE)</f>
        <v>0.3600000000000001</v>
      </c>
      <c r="E23" s="517"/>
      <c r="F23" s="527">
        <f>VLOOKUP($B23,'Merger Tables'!$C$21:$R$32,F$8,FALSE)</f>
        <v>1.2592592592592593</v>
      </c>
      <c r="G23" s="517"/>
      <c r="H23" s="526">
        <f>VLOOKUP($B23,'Merger Tables'!$C$21:$R$32,H$8,FALSE)</f>
        <v>6.8147843250191381E-2</v>
      </c>
      <c r="I23" s="517"/>
      <c r="J23" s="528">
        <f>VLOOKUP($B23,'Merger Tables'!$C$21:$R$32,J$8,FALSE)</f>
        <v>2</v>
      </c>
      <c r="K23" s="528">
        <f>VLOOKUP($B23,'Merger Tables'!$C$21:$R$32,K$8,FALSE)</f>
        <v>2.5581659003590103</v>
      </c>
      <c r="L23" s="517"/>
      <c r="M23" s="529">
        <f>VLOOKUP($B23,'Merger Tables'!$C$21:$R$32,M$8,FALSE)</f>
        <v>0.17043515608152382</v>
      </c>
      <c r="N23" s="529">
        <f>VLOOKUP($B23,'Merger Tables'!$C$21:$R$32,N$8,FALSE)</f>
        <v>0.29050834561239935</v>
      </c>
      <c r="O23" s="529">
        <f>VLOOKUP($B23,'Merger Tables'!$C$21:$R$32,O$8,FALSE)</f>
        <v>0.32111575676063131</v>
      </c>
      <c r="P23" s="529">
        <f>VLOOKUP($B23,'Merger Tables'!$C$21:$R$32,P$8,FALSE)</f>
        <v>0.32867909739921153</v>
      </c>
      <c r="Q23" s="517"/>
      <c r="R23" s="530">
        <f>VLOOKUP($B23,'Merger Tables'!$C$21:$R$32,R$8,FALSE)</f>
        <v>0.36882859440010707</v>
      </c>
      <c r="S23" s="530">
        <f>VLOOKUP($B23,'Merger Tables'!$C$21:$R$32,S$8,FALSE)</f>
        <v>0.71937068533667858</v>
      </c>
      <c r="T23" s="530">
        <f>VLOOKUP($B23,'Merger Tables'!$C$21:$R$32,T$8,FALSE)</f>
        <v>0.89576551764763623</v>
      </c>
      <c r="U23" s="530">
        <f>VLOOKUP($B23,'Merger Tables'!$C$21:$R$32,U$8,FALSE)</f>
        <v>1.0327394494663524</v>
      </c>
      <c r="V23" s="531"/>
      <c r="W23" s="531"/>
      <c r="X23" s="531"/>
      <c r="Y23" s="531"/>
      <c r="Z23" s="531"/>
      <c r="AA23" s="17"/>
      <c r="AB23" s="17"/>
      <c r="AC23" s="17"/>
      <c r="AD23" s="17"/>
      <c r="AE23" s="17"/>
    </row>
    <row r="24" spans="2:31" ht="12.75" customHeight="1">
      <c r="B24" s="525">
        <f>'Merger Tables'!C31</f>
        <v>35</v>
      </c>
      <c r="C24" s="517"/>
      <c r="D24" s="526">
        <f>VLOOKUP($B24,'Merger Tables'!$C$21:$R$32,D$8,FALSE)</f>
        <v>0.39999999999999991</v>
      </c>
      <c r="E24" s="517"/>
      <c r="F24" s="527">
        <f>VLOOKUP($B24,'Merger Tables'!$C$21:$R$32,F$8,FALSE)</f>
        <v>1.2962962962962963</v>
      </c>
      <c r="G24" s="517"/>
      <c r="H24" s="526">
        <f>VLOOKUP($B24,'Merger Tables'!$C$21:$R$32,H$8,FALSE)</f>
        <v>7.0027202607672812E-2</v>
      </c>
      <c r="I24" s="517"/>
      <c r="J24" s="528">
        <f>VLOOKUP($B24,'Merger Tables'!$C$21:$R$32,J$8,FALSE)</f>
        <v>2.1666666666666665</v>
      </c>
      <c r="K24" s="528">
        <f>VLOOKUP($B24,'Merger Tables'!$C$21:$R$32,K$8,FALSE)</f>
        <v>2.7093279586823709</v>
      </c>
      <c r="L24" s="517"/>
      <c r="M24" s="529">
        <f>VLOOKUP($B24,'Merger Tables'!$C$21:$R$32,M$8,FALSE)</f>
        <v>0.15309197692565801</v>
      </c>
      <c r="N24" s="529">
        <f>VLOOKUP($B24,'Merger Tables'!$C$21:$R$32,N$8,FALSE)</f>
        <v>0.27480576521335287</v>
      </c>
      <c r="O24" s="529">
        <f>VLOOKUP($B24,'Merger Tables'!$C$21:$R$32,O$8,FALSE)</f>
        <v>0.30522114617671914</v>
      </c>
      <c r="P24" s="529">
        <f>VLOOKUP($B24,'Merger Tables'!$C$21:$R$32,P$8,FALSE)</f>
        <v>0.31422155193540191</v>
      </c>
      <c r="Q24" s="517"/>
      <c r="R24" s="530">
        <f>VLOOKUP($B24,'Merger Tables'!$C$21:$R$32,R$8,FALSE)</f>
        <v>0.33129725088182793</v>
      </c>
      <c r="S24" s="530">
        <f>VLOOKUP($B24,'Merger Tables'!$C$21:$R$32,S$8,FALSE)</f>
        <v>0.68048720335131874</v>
      </c>
      <c r="T24" s="530">
        <f>VLOOKUP($B24,'Merger Tables'!$C$21:$R$32,T$8,FALSE)</f>
        <v>0.85142685229799753</v>
      </c>
      <c r="U24" s="530">
        <f>VLOOKUP($B24,'Merger Tables'!$C$21:$R$32,U$8,FALSE)</f>
        <v>0.98731253409182695</v>
      </c>
      <c r="V24" s="531"/>
      <c r="W24" s="531"/>
      <c r="X24" s="531"/>
      <c r="Y24" s="531"/>
      <c r="Z24" s="531"/>
      <c r="AA24" s="17"/>
      <c r="AB24" s="17"/>
      <c r="AC24" s="17"/>
      <c r="AD24" s="17"/>
      <c r="AE24" s="17"/>
    </row>
    <row r="25" spans="2:31" ht="12.75" customHeight="1">
      <c r="B25" s="525">
        <f>'Merger Tables'!C32</f>
        <v>36</v>
      </c>
      <c r="C25" s="517"/>
      <c r="D25" s="526">
        <f>VLOOKUP($B25,'Merger Tables'!$C$21:$R$32,D$8,FALSE)</f>
        <v>0.43999999999999995</v>
      </c>
      <c r="E25" s="517"/>
      <c r="F25" s="527">
        <f>VLOOKUP($B25,'Merger Tables'!$C$21:$R$32,F$8,FALSE)</f>
        <v>1.3333333333333333</v>
      </c>
      <c r="G25" s="517"/>
      <c r="H25" s="526">
        <f>VLOOKUP($B25,'Merger Tables'!$C$21:$R$32,H$8,FALSE)</f>
        <v>7.1898996639289947E-2</v>
      </c>
      <c r="I25" s="517"/>
      <c r="J25" s="528">
        <f>VLOOKUP($B25,'Merger Tables'!$C$21:$R$32,J$8,FALSE)</f>
        <v>2.3333333333333335</v>
      </c>
      <c r="K25" s="528">
        <f>VLOOKUP($B25,'Merger Tables'!$C$21:$R$32,K$8,FALSE)</f>
        <v>2.8604900170057319</v>
      </c>
      <c r="L25" s="517"/>
      <c r="M25" s="529">
        <f>VLOOKUP($B25,'Merger Tables'!$C$21:$R$32,M$8,FALSE)</f>
        <v>0.13581861240440363</v>
      </c>
      <c r="N25" s="529">
        <f>VLOOKUP($B25,'Merger Tables'!$C$21:$R$32,N$8,FALSE)</f>
        <v>0.25916639535998676</v>
      </c>
      <c r="O25" s="529">
        <f>VLOOKUP($B25,'Merger Tables'!$C$21:$R$32,O$8,FALSE)</f>
        <v>0.28939051896003543</v>
      </c>
      <c r="P25" s="529">
        <f>VLOOKUP($B25,'Merger Tables'!$C$21:$R$32,P$8,FALSE)</f>
        <v>0.29982222677080772</v>
      </c>
      <c r="Q25" s="517"/>
      <c r="R25" s="530">
        <f>VLOOKUP($B25,'Merger Tables'!$C$21:$R$32,R$8,FALSE)</f>
        <v>0.29391698906608177</v>
      </c>
      <c r="S25" s="530">
        <f>VLOOKUP($B25,'Merger Tables'!$C$21:$R$32,S$8,FALSE)</f>
        <v>0.64176024634795503</v>
      </c>
      <c r="T25" s="530">
        <f>VLOOKUP($B25,'Merger Tables'!$C$21:$R$32,T$8,FALSE)</f>
        <v>0.80726667116428219</v>
      </c>
      <c r="U25" s="530">
        <f>VLOOKUP($B25,'Merger Tables'!$C$21:$R$32,U$8,FALSE)</f>
        <v>0.94206855216282648</v>
      </c>
      <c r="V25" s="531"/>
      <c r="W25" s="531"/>
      <c r="X25" s="531"/>
      <c r="Y25" s="531"/>
      <c r="Z25" s="531"/>
      <c r="AA25" s="17"/>
      <c r="AB25" s="17"/>
      <c r="AC25" s="17"/>
      <c r="AD25" s="17"/>
      <c r="AE25" s="17"/>
    </row>
    <row r="26" spans="2:31">
      <c r="B26" s="509"/>
      <c r="C26" s="509"/>
      <c r="D26" s="509"/>
      <c r="E26" s="509"/>
      <c r="F26" s="509"/>
      <c r="G26" s="509"/>
      <c r="H26" s="509"/>
      <c r="I26" s="509"/>
      <c r="J26" s="509"/>
      <c r="K26" s="509"/>
      <c r="L26" s="509"/>
      <c r="M26" s="509"/>
      <c r="N26" s="509"/>
      <c r="O26" s="509"/>
      <c r="P26" s="509"/>
      <c r="Q26" s="509"/>
      <c r="R26" s="509"/>
      <c r="S26" s="509"/>
      <c r="T26" s="509"/>
      <c r="U26" s="509"/>
      <c r="V26" s="511"/>
      <c r="W26" s="511"/>
      <c r="X26" s="511"/>
      <c r="Y26" s="511"/>
      <c r="Z26" s="511"/>
      <c r="AA26" s="17"/>
      <c r="AB26" s="17"/>
      <c r="AC26" s="17"/>
      <c r="AD26" s="17"/>
      <c r="AE26" s="17"/>
    </row>
    <row r="27" spans="2:31">
      <c r="B27" s="509"/>
      <c r="C27" s="509"/>
      <c r="D27" s="509"/>
      <c r="E27" s="509"/>
      <c r="F27" s="509"/>
      <c r="G27" s="509"/>
      <c r="H27" s="532" t="str">
        <f>'Merger Tables'!E34</f>
        <v>COLEMAN CO. Stand Alone</v>
      </c>
      <c r="I27" s="533" t="s">
        <v>486</v>
      </c>
      <c r="J27" s="533" t="str">
        <f ca="1">'Merger Tables'!G34</f>
        <v>NM</v>
      </c>
      <c r="K27" s="533">
        <f ca="1">'Merger Tables'!H34</f>
        <v>0.85714285714285721</v>
      </c>
      <c r="L27" s="534"/>
      <c r="M27" s="535">
        <f ca="1">'Merger Tables'!I34</f>
        <v>2.1640405822357822</v>
      </c>
      <c r="N27" s="535">
        <f ca="1">'Merger Tables'!J34</f>
        <v>2.4762479157706321</v>
      </c>
      <c r="O27" s="535">
        <f ca="1">'Merger Tables'!K34</f>
        <v>2.7895408393658023</v>
      </c>
      <c r="P27" s="535">
        <f ca="1">'Merger Tables'!L34</f>
        <v>3.1420904390886593</v>
      </c>
      <c r="Q27" s="517"/>
      <c r="R27" s="536">
        <f ca="1">+M27</f>
        <v>2.1640405822357822</v>
      </c>
      <c r="S27" s="536">
        <f ca="1">+N27</f>
        <v>2.4762479157706321</v>
      </c>
      <c r="T27" s="536">
        <f ca="1">+O27</f>
        <v>2.7895408393658023</v>
      </c>
      <c r="U27" s="536">
        <f ca="1">+P27</f>
        <v>3.1420904390886593</v>
      </c>
      <c r="V27" s="537"/>
      <c r="W27" s="537"/>
      <c r="X27" s="537"/>
      <c r="Y27" s="537"/>
      <c r="Z27" s="537"/>
      <c r="AA27" s="17"/>
      <c r="AB27" s="17"/>
      <c r="AC27" s="17"/>
      <c r="AD27" s="17"/>
      <c r="AE27" s="17"/>
    </row>
    <row r="28" spans="2:31">
      <c r="B28" s="509"/>
      <c r="C28" s="509"/>
      <c r="D28" s="509"/>
      <c r="E28" s="509"/>
      <c r="F28" s="509"/>
      <c r="G28" s="509"/>
      <c r="H28" s="509"/>
      <c r="I28" s="509"/>
      <c r="J28" s="509"/>
      <c r="K28" s="509"/>
      <c r="L28" s="509"/>
      <c r="M28" s="509"/>
      <c r="N28" s="509"/>
      <c r="O28" s="509"/>
      <c r="P28" s="509"/>
      <c r="Q28" s="509"/>
      <c r="R28" s="509"/>
      <c r="S28" s="509"/>
      <c r="T28" s="509"/>
      <c r="U28" s="509"/>
      <c r="V28" s="511"/>
      <c r="W28" s="511"/>
      <c r="X28" s="511"/>
      <c r="Y28" s="511"/>
      <c r="Z28" s="511"/>
      <c r="AA28" s="17"/>
      <c r="AB28" s="17"/>
      <c r="AC28" s="17"/>
      <c r="AD28" s="17"/>
      <c r="AE28" s="17"/>
    </row>
    <row r="29" spans="2:31">
      <c r="B29" s="509"/>
      <c r="C29" s="509"/>
      <c r="D29" s="509"/>
      <c r="E29" s="509"/>
      <c r="F29" s="509"/>
      <c r="G29" s="509"/>
      <c r="H29" s="509"/>
      <c r="I29" s="509"/>
      <c r="J29" s="509"/>
      <c r="K29" s="509"/>
      <c r="L29" s="509"/>
      <c r="M29" s="509"/>
      <c r="N29" s="509"/>
      <c r="O29" s="509"/>
      <c r="P29" s="509"/>
      <c r="Q29" s="509"/>
      <c r="R29" s="509"/>
      <c r="S29" s="509"/>
      <c r="T29" s="509"/>
      <c r="U29" s="509"/>
      <c r="V29" s="511"/>
      <c r="W29" s="511"/>
      <c r="X29" s="511"/>
      <c r="Y29" s="511"/>
      <c r="Z29" s="511"/>
      <c r="AA29" s="17"/>
      <c r="AB29" s="17"/>
      <c r="AC29" s="17"/>
      <c r="AD29" s="17"/>
      <c r="AE29" s="17"/>
    </row>
    <row r="30" spans="2:31">
      <c r="B30" s="509"/>
      <c r="C30" s="509"/>
      <c r="D30" s="509"/>
      <c r="E30" s="509"/>
      <c r="F30" s="509"/>
      <c r="G30" s="509"/>
      <c r="H30" s="509"/>
      <c r="I30" s="509"/>
      <c r="J30" s="509"/>
      <c r="K30" s="509"/>
      <c r="L30" s="509"/>
      <c r="M30" s="509"/>
      <c r="N30" s="509"/>
      <c r="O30" s="509"/>
      <c r="P30" s="509"/>
      <c r="Q30" s="509"/>
      <c r="R30" s="509"/>
      <c r="S30" s="509"/>
      <c r="T30" s="509"/>
      <c r="U30" s="509"/>
      <c r="V30" s="511"/>
      <c r="W30" s="511"/>
      <c r="X30" s="511"/>
      <c r="Y30" s="511"/>
      <c r="Z30" s="511"/>
      <c r="AA30" s="17"/>
      <c r="AB30" s="17"/>
      <c r="AC30" s="17"/>
      <c r="AD30" s="17"/>
      <c r="AE30" s="17"/>
    </row>
    <row r="31" spans="2:31" ht="15.75">
      <c r="K31" s="507" t="s">
        <v>485</v>
      </c>
      <c r="L31" s="507"/>
      <c r="M31" s="507"/>
      <c r="N31" s="507"/>
      <c r="O31" s="507"/>
      <c r="P31" s="507"/>
      <c r="Q31" s="507"/>
      <c r="R31" s="507"/>
      <c r="S31" s="507"/>
      <c r="T31" s="507"/>
      <c r="U31" s="507"/>
      <c r="V31" s="538"/>
      <c r="W31" s="538"/>
      <c r="X31" s="538"/>
      <c r="Y31" s="538"/>
      <c r="Z31" s="538"/>
      <c r="AA31" s="17"/>
      <c r="AB31" s="17"/>
      <c r="AC31" s="17"/>
      <c r="AD31" s="17"/>
      <c r="AE31" s="17"/>
    </row>
    <row r="32" spans="2:31">
      <c r="B32" s="509"/>
      <c r="C32" s="509"/>
      <c r="D32" s="509"/>
      <c r="E32" s="509"/>
      <c r="F32" s="509"/>
      <c r="G32" s="509"/>
      <c r="H32" s="509"/>
      <c r="I32" s="509"/>
      <c r="J32" s="509"/>
      <c r="K32" s="509"/>
      <c r="L32" s="509"/>
      <c r="M32" s="509"/>
      <c r="N32" s="509"/>
      <c r="O32" s="509"/>
      <c r="P32" s="509"/>
      <c r="Q32" s="509"/>
      <c r="R32" s="509"/>
      <c r="S32" s="509"/>
      <c r="T32" s="509"/>
      <c r="U32" s="509"/>
      <c r="V32" s="511"/>
      <c r="W32" s="511"/>
      <c r="X32" s="511"/>
      <c r="Y32" s="511"/>
      <c r="Z32" s="511"/>
      <c r="AA32" s="17"/>
      <c r="AB32" s="17"/>
      <c r="AC32" s="17"/>
      <c r="AD32" s="17"/>
      <c r="AE32" s="17"/>
    </row>
    <row r="33" spans="2:31" hidden="1" outlineLevel="1">
      <c r="B33" s="509"/>
      <c r="C33" s="509"/>
      <c r="D33" s="504"/>
      <c r="F33" s="504"/>
      <c r="H33" s="504"/>
      <c r="J33" s="504"/>
      <c r="K33" s="504"/>
      <c r="M33" s="510">
        <f>COLUMN('Merger Tables'!D39)-COLUMN('Merger Tables'!$C$39)+1</f>
        <v>2</v>
      </c>
      <c r="N33" s="510">
        <f>COLUMN('Merger Tables'!E39)-COLUMN('Merger Tables'!$C$39)+1</f>
        <v>3</v>
      </c>
      <c r="O33" s="510">
        <f>COLUMN('Merger Tables'!F39)-COLUMN('Merger Tables'!$C$39)+1</f>
        <v>4</v>
      </c>
      <c r="P33" s="510">
        <f>COLUMN('Merger Tables'!G39)-COLUMN('Merger Tables'!$C$39)+1</f>
        <v>5</v>
      </c>
      <c r="Q33" s="235"/>
      <c r="R33" s="510">
        <f>COLUMN('Merger Tables'!I39)-COLUMN('Merger Tables'!$C$39)+1</f>
        <v>7</v>
      </c>
      <c r="S33" s="510">
        <f>COLUMN('Merger Tables'!J39)-COLUMN('Merger Tables'!$C$39)+1</f>
        <v>8</v>
      </c>
      <c r="T33" s="510">
        <f>COLUMN('Merger Tables'!K39)-COLUMN('Merger Tables'!$C$39)+1</f>
        <v>9</v>
      </c>
      <c r="U33" s="510">
        <f>COLUMN('Merger Tables'!L39)-COLUMN('Merger Tables'!$C$39)+1</f>
        <v>10</v>
      </c>
      <c r="V33" s="235"/>
      <c r="W33" s="510">
        <f>COLUMN('Merger Tables'!N39)-COLUMN('Merger Tables'!$C$39)+1</f>
        <v>12</v>
      </c>
      <c r="X33" s="510">
        <f>COLUMN('Merger Tables'!O39)-COLUMN('Merger Tables'!$C$39)+1</f>
        <v>13</v>
      </c>
      <c r="Y33" s="510">
        <f>COLUMN('Merger Tables'!P39)-COLUMN('Merger Tables'!$C$39)+1</f>
        <v>14</v>
      </c>
      <c r="Z33" s="510">
        <f>COLUMN('Merger Tables'!Q39)-COLUMN('Merger Tables'!$C$39)+1</f>
        <v>15</v>
      </c>
      <c r="AA33" s="17"/>
      <c r="AB33" s="17"/>
      <c r="AC33" s="17"/>
      <c r="AD33" s="17"/>
      <c r="AE33" s="17"/>
    </row>
    <row r="34" spans="2:31" hidden="1" outlineLevel="1">
      <c r="B34" s="509"/>
      <c r="C34" s="509"/>
      <c r="D34" s="504"/>
      <c r="F34" s="504"/>
      <c r="H34" s="504"/>
      <c r="J34" s="504"/>
      <c r="K34" s="504"/>
      <c r="M34" s="510"/>
      <c r="N34" s="510"/>
      <c r="O34" s="510"/>
      <c r="P34" s="510"/>
      <c r="Q34" s="235"/>
      <c r="R34" s="510"/>
      <c r="S34" s="510"/>
      <c r="T34" s="510"/>
      <c r="U34" s="510"/>
      <c r="V34" s="235"/>
      <c r="W34" s="510"/>
      <c r="X34" s="510"/>
      <c r="Y34" s="510"/>
      <c r="Z34" s="510"/>
      <c r="AA34" s="17"/>
      <c r="AB34" s="17"/>
      <c r="AC34" s="17"/>
      <c r="AD34" s="17"/>
      <c r="AE34" s="17"/>
    </row>
    <row r="35" spans="2:31" collapsed="1">
      <c r="B35" s="509"/>
      <c r="C35" s="509"/>
      <c r="D35" s="539"/>
      <c r="E35" s="509"/>
      <c r="F35" s="540"/>
      <c r="G35" s="509"/>
      <c r="H35" s="540"/>
      <c r="I35" s="540"/>
      <c r="J35" s="541"/>
      <c r="K35" s="539" t="s">
        <v>483</v>
      </c>
      <c r="L35" s="509"/>
      <c r="M35" s="542" t="s">
        <v>487</v>
      </c>
      <c r="N35" s="542"/>
      <c r="O35" s="542"/>
      <c r="P35" s="542"/>
      <c r="Q35" s="282"/>
      <c r="R35" s="542" t="s">
        <v>487</v>
      </c>
      <c r="S35" s="542"/>
      <c r="T35" s="542"/>
      <c r="U35" s="542"/>
      <c r="V35" s="282"/>
      <c r="W35" s="542" t="s">
        <v>487</v>
      </c>
      <c r="X35" s="542"/>
      <c r="Y35" s="542"/>
      <c r="Z35" s="542"/>
      <c r="AA35" s="17"/>
      <c r="AB35" s="17"/>
      <c r="AC35" s="17"/>
      <c r="AD35" s="17"/>
      <c r="AE35" s="17"/>
    </row>
    <row r="36" spans="2:31">
      <c r="B36" s="509"/>
      <c r="C36" s="509"/>
      <c r="D36" s="539"/>
      <c r="E36" s="509"/>
      <c r="F36" s="540"/>
      <c r="G36" s="509"/>
      <c r="H36" s="540"/>
      <c r="I36" s="540"/>
      <c r="J36" s="541"/>
      <c r="K36" s="539" t="s">
        <v>102</v>
      </c>
      <c r="L36" s="509"/>
      <c r="M36" s="514" t="s">
        <v>488</v>
      </c>
      <c r="N36" s="514"/>
      <c r="O36" s="514"/>
      <c r="P36" s="514"/>
      <c r="Q36" s="282"/>
      <c r="R36" s="514" t="s">
        <v>489</v>
      </c>
      <c r="S36" s="514"/>
      <c r="T36" s="514"/>
      <c r="U36" s="514"/>
      <c r="V36" s="282"/>
      <c r="W36" s="514" t="s">
        <v>490</v>
      </c>
      <c r="X36" s="514"/>
      <c r="Y36" s="514"/>
      <c r="Z36" s="514"/>
      <c r="AA36" s="17"/>
      <c r="AB36" s="17"/>
      <c r="AC36" s="17"/>
      <c r="AD36" s="17"/>
      <c r="AE36" s="17"/>
    </row>
    <row r="37" spans="2:31">
      <c r="B37" s="509"/>
      <c r="C37" s="509"/>
      <c r="D37" s="539"/>
      <c r="E37" s="509"/>
      <c r="F37" s="543"/>
      <c r="G37" s="509"/>
      <c r="H37" s="543"/>
      <c r="I37" s="543"/>
      <c r="J37" s="543"/>
      <c r="K37" s="539" t="s">
        <v>484</v>
      </c>
      <c r="L37" s="509"/>
      <c r="M37" s="544">
        <f>'Merger Tables'!D39</f>
        <v>2020</v>
      </c>
      <c r="N37" s="544">
        <f>'Merger Tables'!E39</f>
        <v>2021</v>
      </c>
      <c r="O37" s="544">
        <f>'Merger Tables'!F39</f>
        <v>2022</v>
      </c>
      <c r="P37" s="544">
        <f>'Merger Tables'!G39</f>
        <v>2023</v>
      </c>
      <c r="Q37" s="282"/>
      <c r="R37" s="544">
        <f>'Merger Tables'!I39</f>
        <v>2020</v>
      </c>
      <c r="S37" s="544">
        <f>'Merger Tables'!J39</f>
        <v>2021</v>
      </c>
      <c r="T37" s="544">
        <f>'Merger Tables'!K39</f>
        <v>2022</v>
      </c>
      <c r="U37" s="544">
        <f>'Merger Tables'!L39</f>
        <v>2023</v>
      </c>
      <c r="V37" s="282"/>
      <c r="W37" s="544">
        <f>'Merger Tables'!N39</f>
        <v>2020</v>
      </c>
      <c r="X37" s="544">
        <f>'Merger Tables'!O39</f>
        <v>2021</v>
      </c>
      <c r="Y37" s="544">
        <f>'Merger Tables'!P39</f>
        <v>2022</v>
      </c>
      <c r="Z37" s="544">
        <f>'Merger Tables'!Q39</f>
        <v>2023</v>
      </c>
      <c r="AA37" s="545"/>
      <c r="AB37" s="17"/>
      <c r="AC37" s="17"/>
      <c r="AD37" s="17"/>
      <c r="AE37" s="17"/>
    </row>
    <row r="38" spans="2:31">
      <c r="B38" s="509"/>
      <c r="C38" s="509"/>
      <c r="D38" s="546"/>
      <c r="E38" s="509"/>
      <c r="F38" s="547"/>
      <c r="G38" s="509"/>
      <c r="H38" s="547"/>
      <c r="I38" s="547"/>
      <c r="J38" s="547"/>
      <c r="K38" s="548">
        <f t="shared" ref="K38:K49" si="0">+B14</f>
        <v>25</v>
      </c>
      <c r="L38" s="509"/>
      <c r="M38" s="549">
        <f ca="1">+VLOOKUP($K38,'Merger Tables'!$C$41:$R$52,M$33,FALSE)</f>
        <v>-11.895210111721715</v>
      </c>
      <c r="N38" s="549">
        <f ca="1">+VLOOKUP($K38,'Merger Tables'!$C$41:$R$52,N$33,FALSE)</f>
        <v>-17.946696542165881</v>
      </c>
      <c r="O38" s="549">
        <f ca="1">+VLOOKUP($K38,'Merger Tables'!$C$41:$R$52,O$33,FALSE)</f>
        <v>-21.019834092440352</v>
      </c>
      <c r="P38" s="549">
        <f ca="1">+VLOOKUP($K38,'Merger Tables'!$C$41:$R$52,P$33,FALSE)</f>
        <v>-23.551030926945639</v>
      </c>
      <c r="Q38" s="17"/>
      <c r="R38" s="549">
        <f ca="1">+VLOOKUP($K38,'Merger Tables'!$C$41:$R$52,R$33,FALSE)</f>
        <v>-10.028021849787223</v>
      </c>
      <c r="S38" s="549">
        <f ca="1">+VLOOKUP($K38,'Merger Tables'!$C$41:$R$52,S$33,FALSE)</f>
        <v>-15.810127995383008</v>
      </c>
      <c r="T38" s="549">
        <f ca="1">+VLOOKUP($K38,'Merger Tables'!$C$41:$R$52,T$33,FALSE)</f>
        <v>-18.612948586592115</v>
      </c>
      <c r="U38" s="549">
        <f ca="1">+VLOOKUP($K38,'Merger Tables'!$C$41:$R$52,U$33,FALSE)</f>
        <v>-20.839956821421453</v>
      </c>
      <c r="V38" s="17"/>
      <c r="W38" s="549">
        <f ca="1">+VLOOKUP($K38,'Merger Tables'!$C$41:$R$52,W$33,FALSE)</f>
        <v>-8.1608335878527409</v>
      </c>
      <c r="X38" s="549">
        <f ca="1">+VLOOKUP($K38,'Merger Tables'!$C$41:$R$52,X$33,FALSE)</f>
        <v>-13.673559448600136</v>
      </c>
      <c r="Y38" s="549">
        <f ca="1">+VLOOKUP($K38,'Merger Tables'!$C$41:$R$52,Y$33,FALSE)</f>
        <v>-16.20606308074386</v>
      </c>
      <c r="Z38" s="549">
        <f ca="1">+VLOOKUP($K38,'Merger Tables'!$C$41:$R$52,Z$33,FALSE)</f>
        <v>-18.128882715897248</v>
      </c>
      <c r="AA38" s="545"/>
      <c r="AB38" s="17"/>
      <c r="AC38" s="17"/>
      <c r="AD38" s="17"/>
      <c r="AE38" s="17"/>
    </row>
    <row r="39" spans="2:31">
      <c r="B39" s="509"/>
      <c r="C39" s="509"/>
      <c r="D39" s="546"/>
      <c r="E39" s="509"/>
      <c r="F39" s="547"/>
      <c r="G39" s="509"/>
      <c r="H39" s="547"/>
      <c r="I39" s="547"/>
      <c r="J39" s="547"/>
      <c r="K39" s="550">
        <f t="shared" si="0"/>
        <v>26</v>
      </c>
      <c r="L39" s="509"/>
      <c r="M39" s="551">
        <f ca="1">+VLOOKUP($K39,'Merger Tables'!$C$41:$R$52,M$33,FALSE)</f>
        <v>-10.949836795437667</v>
      </c>
      <c r="N39" s="551">
        <f ca="1">+VLOOKUP($K39,'Merger Tables'!$C$41:$R$52,N$33,FALSE)</f>
        <v>-17.214233852047357</v>
      </c>
      <c r="O39" s="551">
        <f ca="1">+VLOOKUP($K39,'Merger Tables'!$C$41:$R$52,O$33,FALSE)</f>
        <v>-20.214690816456852</v>
      </c>
      <c r="P39" s="551">
        <f ca="1">+VLOOKUP($K39,'Merger Tables'!$C$41:$R$52,P$33,FALSE)</f>
        <v>-22.73164321238708</v>
      </c>
      <c r="Q39" s="17"/>
      <c r="R39" s="551">
        <f ca="1">+VLOOKUP($K39,'Merger Tables'!$C$41:$R$52,R$33,FALSE)</f>
        <v>-9.0788052775787751</v>
      </c>
      <c r="S39" s="551">
        <f ca="1">+VLOOKUP($K39,'Merger Tables'!$C$41:$R$52,S$33,FALSE)</f>
        <v>-15.073267580678959</v>
      </c>
      <c r="T39" s="551">
        <f ca="1">+VLOOKUP($K39,'Merger Tables'!$C$41:$R$52,T$33,FALSE)</f>
        <v>-17.802851189394215</v>
      </c>
      <c r="U39" s="551">
        <f ca="1">+VLOOKUP($K39,'Merger Tables'!$C$41:$R$52,U$33,FALSE)</f>
        <v>-20.014988870616786</v>
      </c>
      <c r="V39" s="17"/>
      <c r="W39" s="551">
        <f ca="1">+VLOOKUP($K39,'Merger Tables'!$C$41:$R$52,W$33,FALSE)</f>
        <v>-7.2077737597198892</v>
      </c>
      <c r="X39" s="551">
        <f ca="1">+VLOOKUP($K39,'Merger Tables'!$C$41:$R$52,X$33,FALSE)</f>
        <v>-12.93230130931056</v>
      </c>
      <c r="Y39" s="551">
        <f ca="1">+VLOOKUP($K39,'Merger Tables'!$C$41:$R$52,Y$33,FALSE)</f>
        <v>-15.391011562331576</v>
      </c>
      <c r="Z39" s="551">
        <f ca="1">+VLOOKUP($K39,'Merger Tables'!$C$41:$R$52,Z$33,FALSE)</f>
        <v>-17.298334528846482</v>
      </c>
      <c r="AA39" s="545"/>
      <c r="AB39" s="17"/>
      <c r="AC39" s="17"/>
      <c r="AD39" s="17"/>
      <c r="AE39" s="17"/>
    </row>
    <row r="40" spans="2:31">
      <c r="B40" s="509"/>
      <c r="C40" s="509"/>
      <c r="D40" s="546"/>
      <c r="E40" s="509"/>
      <c r="F40" s="547"/>
      <c r="G40" s="509"/>
      <c r="H40" s="547"/>
      <c r="I40" s="547"/>
      <c r="J40" s="547"/>
      <c r="K40" s="550">
        <f t="shared" si="0"/>
        <v>27</v>
      </c>
      <c r="L40" s="509"/>
      <c r="M40" s="551">
        <f ca="1">+VLOOKUP($K40,'Merger Tables'!$C$41:$R$52,M$33,FALSE)</f>
        <v>-10.301946847995231</v>
      </c>
      <c r="N40" s="551">
        <f ca="1">+VLOOKUP($K40,'Merger Tables'!$C$41:$R$52,N$33,FALSE)</f>
        <v>-16.554981460397567</v>
      </c>
      <c r="O40" s="551">
        <f ca="1">+VLOOKUP($K40,'Merger Tables'!$C$41:$R$52,O$33,FALSE)</f>
        <v>-19.465628837378897</v>
      </c>
      <c r="P40" s="551">
        <f ca="1">+VLOOKUP($K40,'Merger Tables'!$C$41:$R$52,P$33,FALSE)</f>
        <v>-21.968281701406472</v>
      </c>
      <c r="Q40" s="17"/>
      <c r="R40" s="551">
        <f ca="1">+VLOOKUP($K40,'Merger Tables'!$C$41:$R$52,R$33,FALSE)</f>
        <v>-8.4270720742119405</v>
      </c>
      <c r="S40" s="551">
        <f ca="1">+VLOOKUP($K40,'Merger Tables'!$C$41:$R$52,S$33,FALSE)</f>
        <v>-14.409617464443642</v>
      </c>
      <c r="T40" s="551">
        <f ca="1">+VLOOKUP($K40,'Merger Tables'!$C$41:$R$52,T$33,FALSE)</f>
        <v>-17.048835089101885</v>
      </c>
      <c r="U40" s="551">
        <f ca="1">+VLOOKUP($K40,'Merger Tables'!$C$41:$R$52,U$33,FALSE)</f>
        <v>-19.246047123390081</v>
      </c>
      <c r="V40" s="17"/>
      <c r="W40" s="551">
        <f ca="1">+VLOOKUP($K40,'Merger Tables'!$C$41:$R$52,W$33,FALSE)</f>
        <v>-6.5521973004286549</v>
      </c>
      <c r="X40" s="551">
        <f ca="1">+VLOOKUP($K40,'Merger Tables'!$C$41:$R$52,X$33,FALSE)</f>
        <v>-12.264253468489727</v>
      </c>
      <c r="Y40" s="551">
        <f ca="1">+VLOOKUP($K40,'Merger Tables'!$C$41:$R$52,Y$33,FALSE)</f>
        <v>-14.632041340824856</v>
      </c>
      <c r="Z40" s="551">
        <f ca="1">+VLOOKUP($K40,'Merger Tables'!$C$41:$R$52,Z$33,FALSE)</f>
        <v>-16.523812545373676</v>
      </c>
      <c r="AA40" s="545"/>
      <c r="AB40" s="17"/>
      <c r="AC40" s="17"/>
      <c r="AD40" s="17"/>
      <c r="AE40" s="17"/>
    </row>
    <row r="41" spans="2:31">
      <c r="B41" s="509"/>
      <c r="C41" s="509"/>
      <c r="D41" s="546"/>
      <c r="E41" s="509"/>
      <c r="F41" s="547"/>
      <c r="G41" s="509"/>
      <c r="H41" s="547"/>
      <c r="I41" s="547"/>
      <c r="J41" s="547"/>
      <c r="K41" s="550">
        <f t="shared" si="0"/>
        <v>28</v>
      </c>
      <c r="L41" s="509"/>
      <c r="M41" s="551">
        <f ca="1">+VLOOKUP($K41,'Merger Tables'!$C$41:$R$52,M$33,FALSE)</f>
        <v>-10.14625235714559</v>
      </c>
      <c r="N41" s="551">
        <f ca="1">+VLOOKUP($K41,'Merger Tables'!$C$41:$R$52,N$33,FALSE)</f>
        <v>-16.085135197844583</v>
      </c>
      <c r="O41" s="551">
        <f ca="1">+VLOOKUP($K41,'Merger Tables'!$C$41:$R$52,O$33,FALSE)</f>
        <v>-19.494924172041777</v>
      </c>
      <c r="P41" s="551">
        <f ca="1">+VLOOKUP($K41,'Merger Tables'!$C$41:$R$52,P$33,FALSE)</f>
        <v>-22.36615213230154</v>
      </c>
      <c r="Q41" s="17"/>
      <c r="R41" s="551">
        <f ca="1">+VLOOKUP($K41,'Merger Tables'!$C$41:$R$52,R$33,FALSE)</f>
        <v>-8.5447514014605961</v>
      </c>
      <c r="S41" s="551">
        <f ca="1">+VLOOKUP($K41,'Merger Tables'!$C$41:$R$52,S$33,FALSE)</f>
        <v>-14.253038186715576</v>
      </c>
      <c r="T41" s="551">
        <f ca="1">+VLOOKUP($K41,'Merger Tables'!$C$41:$R$52,T$33,FALSE)</f>
        <v>-17.431630213188384</v>
      </c>
      <c r="U41" s="551">
        <f ca="1">+VLOOKUP($K41,'Merger Tables'!$C$41:$R$52,U$33,FALSE)</f>
        <v>-20.042683157831579</v>
      </c>
      <c r="V41" s="17"/>
      <c r="W41" s="551">
        <f ca="1">+VLOOKUP($K41,'Merger Tables'!$C$41:$R$52,W$33,FALSE)</f>
        <v>-6.9432504457755995</v>
      </c>
      <c r="X41" s="551">
        <f ca="1">+VLOOKUP($K41,'Merger Tables'!$C$41:$R$52,X$33,FALSE)</f>
        <v>-12.420941175586563</v>
      </c>
      <c r="Y41" s="551">
        <f ca="1">+VLOOKUP($K41,'Merger Tables'!$C$41:$R$52,Y$33,FALSE)</f>
        <v>-15.368336254335</v>
      </c>
      <c r="Z41" s="551">
        <f ca="1">+VLOOKUP($K41,'Merger Tables'!$C$41:$R$52,Z$33,FALSE)</f>
        <v>-17.719214183361618</v>
      </c>
      <c r="AA41" s="17"/>
      <c r="AB41" s="17"/>
      <c r="AC41" s="17"/>
      <c r="AD41" s="17"/>
      <c r="AE41" s="17"/>
    </row>
    <row r="42" spans="2:31">
      <c r="B42" s="509"/>
      <c r="C42" s="509"/>
      <c r="D42" s="546"/>
      <c r="E42" s="509"/>
      <c r="F42" s="547"/>
      <c r="G42" s="509"/>
      <c r="H42" s="547"/>
      <c r="I42" s="547"/>
      <c r="J42" s="547"/>
      <c r="K42" s="550">
        <f t="shared" si="0"/>
        <v>29</v>
      </c>
      <c r="L42" s="509"/>
      <c r="M42" s="551">
        <f ca="1">+VLOOKUP($K42,'Merger Tables'!$C$41:$R$52,M$33,FALSE)</f>
        <v>-9.5152219956837598</v>
      </c>
      <c r="N42" s="551">
        <f ca="1">+VLOOKUP($K42,'Merger Tables'!$C$41:$R$52,N$33,FALSE)</f>
        <v>-15.517625945242216</v>
      </c>
      <c r="O42" s="551">
        <f ca="1">+VLOOKUP($K42,'Merger Tables'!$C$41:$R$52,O$33,FALSE)</f>
        <v>-18.838249587458094</v>
      </c>
      <c r="P42" s="551">
        <f ca="1">+VLOOKUP($K42,'Merger Tables'!$C$41:$R$52,P$33,FALSE)</f>
        <v>-21.623175061684083</v>
      </c>
      <c r="Q42" s="17"/>
      <c r="R42" s="551">
        <f ca="1">+VLOOKUP($K42,'Merger Tables'!$C$41:$R$52,R$33,FALSE)</f>
        <v>-7.9104896949729762</v>
      </c>
      <c r="S42" s="551">
        <f ca="1">+VLOOKUP($K42,'Merger Tables'!$C$41:$R$52,S$33,FALSE)</f>
        <v>-13.681832315923467</v>
      </c>
      <c r="T42" s="551">
        <f ca="1">+VLOOKUP($K42,'Merger Tables'!$C$41:$R$52,T$33,FALSE)</f>
        <v>-16.77079252483195</v>
      </c>
      <c r="U42" s="551">
        <f ca="1">+VLOOKUP($K42,'Merger Tables'!$C$41:$R$52,U$33,FALSE)</f>
        <v>-19.295018028873244</v>
      </c>
      <c r="V42" s="17"/>
      <c r="W42" s="551">
        <f ca="1">+VLOOKUP($K42,'Merger Tables'!$C$41:$R$52,W$33,FALSE)</f>
        <v>-6.3057573942621872</v>
      </c>
      <c r="X42" s="551">
        <f ca="1">+VLOOKUP($K42,'Merger Tables'!$C$41:$R$52,X$33,FALSE)</f>
        <v>-11.846038686604714</v>
      </c>
      <c r="Y42" s="551">
        <f ca="1">+VLOOKUP($K42,'Merger Tables'!$C$41:$R$52,Y$33,FALSE)</f>
        <v>-14.703335462205805</v>
      </c>
      <c r="Z42" s="551">
        <f ca="1">+VLOOKUP($K42,'Merger Tables'!$C$41:$R$52,Z$33,FALSE)</f>
        <v>-16.966860996062405</v>
      </c>
      <c r="AA42" s="17"/>
      <c r="AB42" s="17"/>
      <c r="AC42" s="17"/>
      <c r="AD42" s="17"/>
      <c r="AE42" s="17"/>
    </row>
    <row r="43" spans="2:31" s="299" customFormat="1">
      <c r="B43" s="509"/>
      <c r="C43" s="509"/>
      <c r="D43" s="546"/>
      <c r="E43" s="509"/>
      <c r="F43" s="547"/>
      <c r="G43" s="509"/>
      <c r="H43" s="547"/>
      <c r="I43" s="547"/>
      <c r="J43" s="547"/>
      <c r="K43" s="550">
        <f t="shared" si="0"/>
        <v>30</v>
      </c>
      <c r="L43" s="509"/>
      <c r="M43" s="551">
        <f ca="1">+VLOOKUP($K43,'Merger Tables'!$C$41:$R$52,M$33,FALSE)</f>
        <v>-8.8841916342267719</v>
      </c>
      <c r="N43" s="551">
        <f ca="1">+VLOOKUP($K43,'Merger Tables'!$C$41:$R$52,N$33,FALSE)</f>
        <v>-14.950116688222499</v>
      </c>
      <c r="O43" s="551">
        <f ca="1">+VLOOKUP($K43,'Merger Tables'!$C$41:$R$52,O$33,FALSE)</f>
        <v>-18.181574974268518</v>
      </c>
      <c r="P43" s="551">
        <f ca="1">+VLOOKUP($K43,'Merger Tables'!$C$41:$R$52,P$33,FALSE)</f>
        <v>-20.880197806802851</v>
      </c>
      <c r="Q43" s="17"/>
      <c r="R43" s="551">
        <f ca="1">+VLOOKUP($K43,'Merger Tables'!$C$41:$R$52,R$33,FALSE)</f>
        <v>-7.2762279884902012</v>
      </c>
      <c r="S43" s="551">
        <f ca="1">+VLOOKUP($K43,'Merger Tables'!$C$41:$R$52,S$33,FALSE)</f>
        <v>-13.110626440714009</v>
      </c>
      <c r="T43" s="551">
        <f ca="1">+VLOOKUP($K43,'Merger Tables'!$C$41:$R$52,T$33,FALSE)</f>
        <v>-16.109954807869627</v>
      </c>
      <c r="U43" s="551">
        <f ca="1">+VLOOKUP($K43,'Merger Tables'!$C$41:$R$52,U$33,FALSE)</f>
        <v>-18.54735271565113</v>
      </c>
      <c r="V43" s="17"/>
      <c r="W43" s="551">
        <f ca="1">+VLOOKUP($K43,'Merger Tables'!$C$41:$R$52,W$33,FALSE)</f>
        <v>-5.6682643427536261</v>
      </c>
      <c r="X43" s="551">
        <f ca="1">+VLOOKUP($K43,'Merger Tables'!$C$41:$R$52,X$33,FALSE)</f>
        <v>-11.271136193205512</v>
      </c>
      <c r="Y43" s="551">
        <f ca="1">+VLOOKUP($K43,'Merger Tables'!$C$41:$R$52,Y$33,FALSE)</f>
        <v>-14.038334641470726</v>
      </c>
      <c r="Z43" s="551">
        <f ca="1">+VLOOKUP($K43,'Merger Tables'!$C$41:$R$52,Z$33,FALSE)</f>
        <v>-16.214507624499408</v>
      </c>
      <c r="AA43" s="465"/>
      <c r="AB43" s="465"/>
      <c r="AC43" s="465"/>
      <c r="AD43" s="465"/>
      <c r="AE43" s="465"/>
    </row>
    <row r="44" spans="2:31">
      <c r="B44" s="509"/>
      <c r="C44" s="509"/>
      <c r="D44" s="546"/>
      <c r="E44" s="509"/>
      <c r="F44" s="547"/>
      <c r="G44" s="509"/>
      <c r="H44" s="547"/>
      <c r="I44" s="547"/>
      <c r="J44" s="547"/>
      <c r="K44" s="550">
        <f t="shared" si="0"/>
        <v>31</v>
      </c>
      <c r="L44" s="509"/>
      <c r="M44" s="551">
        <f ca="1">+VLOOKUP($K44,'Merger Tables'!$C$41:$R$52,M$33,FALSE)</f>
        <v>-8.4917872404031502</v>
      </c>
      <c r="N44" s="551">
        <f ca="1">+VLOOKUP($K44,'Merger Tables'!$C$41:$R$52,N$33,FALSE)</f>
        <v>-14.342561429844844</v>
      </c>
      <c r="O44" s="551">
        <f ca="1">+VLOOKUP($K44,'Merger Tables'!$C$41:$R$52,O$33,FALSE)</f>
        <v>-17.751836008292425</v>
      </c>
      <c r="P44" s="551">
        <f ca="1">+VLOOKUP($K44,'Merger Tables'!$C$41:$R$52,P$33,FALSE)</f>
        <v>-20.644084844565935</v>
      </c>
      <c r="Q44" s="17"/>
      <c r="R44" s="551">
        <f ca="1">+VLOOKUP($K44,'Merger Tables'!$C$41:$R$52,R$33,FALSE)</f>
        <v>-6.880592249640789</v>
      </c>
      <c r="S44" s="551">
        <f ca="1">+VLOOKUP($K44,'Merger Tables'!$C$41:$R$52,S$33,FALSE)</f>
        <v>-12.499374564146621</v>
      </c>
      <c r="T44" s="551">
        <f ca="1">+VLOOKUP($K44,'Merger Tables'!$C$41:$R$52,T$33,FALSE)</f>
        <v>-15.676052738120774</v>
      </c>
      <c r="U44" s="551">
        <f ca="1">+VLOOKUP($K44,'Merger Tables'!$C$41:$R$52,U$33,FALSE)</f>
        <v>-18.306551695073335</v>
      </c>
      <c r="V44" s="17"/>
      <c r="W44" s="551">
        <f ca="1">+VLOOKUP($K44,'Merger Tables'!$C$41:$R$52,W$33,FALSE)</f>
        <v>-5.2693972588784277</v>
      </c>
      <c r="X44" s="551">
        <f ca="1">+VLOOKUP($K44,'Merger Tables'!$C$41:$R$52,X$33,FALSE)</f>
        <v>-10.656187698448383</v>
      </c>
      <c r="Y44" s="551">
        <f ca="1">+VLOOKUP($K44,'Merger Tables'!$C$41:$R$52,Y$33,FALSE)</f>
        <v>-13.600269467949127</v>
      </c>
      <c r="Z44" s="551">
        <f ca="1">+VLOOKUP($K44,'Merger Tables'!$C$41:$R$52,Z$33,FALSE)</f>
        <v>-15.969018545580733</v>
      </c>
      <c r="AA44" s="17"/>
      <c r="AB44" s="17"/>
      <c r="AC44" s="17"/>
      <c r="AD44" s="17"/>
      <c r="AE44" s="17"/>
    </row>
    <row r="45" spans="2:31">
      <c r="B45" s="509"/>
      <c r="C45" s="509"/>
      <c r="D45" s="546"/>
      <c r="E45" s="509"/>
      <c r="F45" s="547"/>
      <c r="G45" s="509"/>
      <c r="H45" s="547"/>
      <c r="I45" s="547"/>
      <c r="J45" s="547"/>
      <c r="K45" s="550">
        <f t="shared" si="0"/>
        <v>32</v>
      </c>
      <c r="L45" s="509"/>
      <c r="M45" s="551">
        <f ca="1">+VLOOKUP($K45,'Merger Tables'!$C$41:$R$52,M$33,FALSE)</f>
        <v>-7.8607568789412596</v>
      </c>
      <c r="N45" s="551">
        <f ca="1">+VLOOKUP($K45,'Merger Tables'!$C$41:$R$52,N$33,FALSE)</f>
        <v>-13.77505216927679</v>
      </c>
      <c r="O45" s="551">
        <f ca="1">+VLOOKUP($K45,'Merger Tables'!$C$41:$R$52,O$33,FALSE)</f>
        <v>-17.095161381825118</v>
      </c>
      <c r="P45" s="551">
        <f ca="1">+VLOOKUP($K45,'Merger Tables'!$C$41:$R$52,P$33,FALSE)</f>
        <v>-19.901107426016285</v>
      </c>
      <c r="Q45" s="17"/>
      <c r="R45" s="551">
        <f ca="1">+VLOOKUP($K45,'Merger Tables'!$C$41:$R$52,R$33,FALSE)</f>
        <v>-6.2463305431531113</v>
      </c>
      <c r="S45" s="551">
        <f ca="1">+VLOOKUP($K45,'Merger Tables'!$C$41:$R$52,S$33,FALSE)</f>
        <v>-11.928168685388821</v>
      </c>
      <c r="T45" s="551">
        <f ca="1">+VLOOKUP($K45,'Merger Tables'!$C$41:$R$52,T$33,FALSE)</f>
        <v>-15.015215007880718</v>
      </c>
      <c r="U45" s="551">
        <f ca="1">+VLOOKUP($K45,'Merger Tables'!$C$41:$R$52,U$33,FALSE)</f>
        <v>-17.558886218182806</v>
      </c>
      <c r="V45" s="17"/>
      <c r="W45" s="551">
        <f ca="1">+VLOOKUP($K45,'Merger Tables'!$C$41:$R$52,W$33,FALSE)</f>
        <v>-4.6319042073649639</v>
      </c>
      <c r="X45" s="551">
        <f ca="1">+VLOOKUP($K45,'Merger Tables'!$C$41:$R$52,X$33,FALSE)</f>
        <v>-10.081285201500847</v>
      </c>
      <c r="Y45" s="551">
        <f ca="1">+VLOOKUP($K45,'Merger Tables'!$C$41:$R$52,Y$33,FALSE)</f>
        <v>-12.935268633936317</v>
      </c>
      <c r="Z45" s="551">
        <f ca="1">+VLOOKUP($K45,'Merger Tables'!$C$41:$R$52,Z$33,FALSE)</f>
        <v>-15.216665010349326</v>
      </c>
      <c r="AA45" s="17"/>
      <c r="AB45" s="17"/>
      <c r="AC45" s="17"/>
      <c r="AD45" s="17"/>
      <c r="AE45" s="17"/>
    </row>
    <row r="46" spans="2:31">
      <c r="B46" s="509"/>
      <c r="C46" s="509"/>
      <c r="D46" s="546"/>
      <c r="E46" s="509"/>
      <c r="F46" s="547"/>
      <c r="G46" s="509"/>
      <c r="H46" s="547"/>
      <c r="I46" s="547"/>
      <c r="J46" s="547"/>
      <c r="K46" s="550">
        <f t="shared" si="0"/>
        <v>33</v>
      </c>
      <c r="L46" s="509"/>
      <c r="M46" s="551">
        <f ca="1">+VLOOKUP($K46,'Merger Tables'!$C$41:$R$52,M$33,FALSE)</f>
        <v>-7.2297265174842851</v>
      </c>
      <c r="N46" s="551">
        <f ca="1">+VLOOKUP($K46,'Merger Tables'!$C$41:$R$52,N$33,FALSE)</f>
        <v>-13.207542909266854</v>
      </c>
      <c r="O46" s="551">
        <f ca="1">+VLOOKUP($K46,'Merger Tables'!$C$41:$R$52,O$33,FALSE)</f>
        <v>-16.438486752913843</v>
      </c>
      <c r="P46" s="551">
        <f ca="1">+VLOOKUP($K46,'Merger Tables'!$C$41:$R$52,P$33,FALSE)</f>
        <v>-19.158130040545995</v>
      </c>
      <c r="Q46" s="17"/>
      <c r="R46" s="551">
        <f ca="1">+VLOOKUP($K46,'Merger Tables'!$C$41:$R$52,R$33,FALSE)</f>
        <v>-5.6120688366703506</v>
      </c>
      <c r="S46" s="551">
        <f ca="1">+VLOOKUP($K46,'Merger Tables'!$C$41:$R$52,S$33,FALSE)</f>
        <v>-11.356962807189143</v>
      </c>
      <c r="T46" s="551">
        <f ca="1">+VLOOKUP($K46,'Merger Tables'!$C$41:$R$52,T$33,FALSE)</f>
        <v>-14.354377275196688</v>
      </c>
      <c r="U46" s="551">
        <f ca="1">+VLOOKUP($K46,'Merger Tables'!$C$41:$R$52,U$33,FALSE)</f>
        <v>-16.811220774371634</v>
      </c>
      <c r="V46" s="17"/>
      <c r="W46" s="551">
        <f ca="1">+VLOOKUP($K46,'Merger Tables'!$C$41:$R$52,W$33,FALSE)</f>
        <v>-3.9944111558564166</v>
      </c>
      <c r="X46" s="551">
        <f ca="1">+VLOOKUP($K46,'Merger Tables'!$C$41:$R$52,X$33,FALSE)</f>
        <v>-9.5063827051114291</v>
      </c>
      <c r="Y46" s="551">
        <f ca="1">+VLOOKUP($K46,'Merger Tables'!$C$41:$R$52,Y$33,FALSE)</f>
        <v>-12.270267797479534</v>
      </c>
      <c r="Z46" s="551">
        <f ca="1">+VLOOKUP($K46,'Merger Tables'!$C$41:$R$52,Z$33,FALSE)</f>
        <v>-14.464311508197275</v>
      </c>
      <c r="AA46" s="17"/>
      <c r="AB46" s="17"/>
      <c r="AC46" s="17"/>
      <c r="AD46" s="17"/>
      <c r="AE46" s="17"/>
    </row>
    <row r="47" spans="2:31">
      <c r="B47" s="509"/>
      <c r="C47" s="509"/>
      <c r="D47" s="546"/>
      <c r="E47" s="509"/>
      <c r="F47" s="547"/>
      <c r="G47" s="509"/>
      <c r="H47" s="547"/>
      <c r="I47" s="547"/>
      <c r="J47" s="547"/>
      <c r="K47" s="550">
        <f t="shared" si="0"/>
        <v>34</v>
      </c>
      <c r="L47" s="509"/>
      <c r="M47" s="551">
        <f ca="1">+VLOOKUP($K47,'Merger Tables'!$C$41:$R$52,M$33,FALSE)</f>
        <v>-6.837322122002722</v>
      </c>
      <c r="N47" s="551">
        <f ca="1">+VLOOKUP($K47,'Merger Tables'!$C$41:$R$52,N$33,FALSE)</f>
        <v>-12.599988314141513</v>
      </c>
      <c r="O47" s="551">
        <f ca="1">+VLOOKUP($K47,'Merger Tables'!$C$41:$R$52,O$33,FALSE)</f>
        <v>-16.008751659753003</v>
      </c>
      <c r="P47" s="551">
        <f ca="1">+VLOOKUP($K47,'Merger Tables'!$C$41:$R$52,P$33,FALSE)</f>
        <v>-18.922044270176031</v>
      </c>
      <c r="Q47" s="17"/>
      <c r="R47" s="551">
        <f ca="1">+VLOOKUP($K47,'Merger Tables'!$C$41:$R$52,R$33,FALSE)</f>
        <v>-5.216433096162997</v>
      </c>
      <c r="S47" s="551">
        <f ca="1">+VLOOKUP($K47,'Merger Tables'!$C$41:$R$52,S$33,FALSE)</f>
        <v>-10.745711593874063</v>
      </c>
      <c r="T47" s="551">
        <f ca="1">+VLOOKUP($K47,'Merger Tables'!$C$41:$R$52,T$33,FALSE)</f>
        <v>-13.920479078263099</v>
      </c>
      <c r="U47" s="551">
        <f ca="1">+VLOOKUP($K47,'Merger Tables'!$C$41:$R$52,U$33,FALSE)</f>
        <v>-16.570446945660791</v>
      </c>
      <c r="V47" s="17"/>
      <c r="W47" s="551">
        <f ca="1">+VLOOKUP($K47,'Merger Tables'!$C$41:$R$52,W$33,FALSE)</f>
        <v>-3.5955440703232711</v>
      </c>
      <c r="X47" s="551">
        <f ca="1">+VLOOKUP($K47,'Merger Tables'!$C$41:$R$52,X$33,FALSE)</f>
        <v>-8.8914348736066042</v>
      </c>
      <c r="Y47" s="551">
        <f ca="1">+VLOOKUP($K47,'Merger Tables'!$C$41:$R$52,Y$33,FALSE)</f>
        <v>-11.832206496773191</v>
      </c>
      <c r="Z47" s="551">
        <f ca="1">+VLOOKUP($K47,'Merger Tables'!$C$41:$R$52,Z$33,FALSE)</f>
        <v>-14.218849621145552</v>
      </c>
      <c r="AA47" s="17"/>
      <c r="AB47" s="17"/>
      <c r="AC47" s="17"/>
      <c r="AD47" s="17"/>
      <c r="AE47" s="17"/>
    </row>
    <row r="48" spans="2:31">
      <c r="B48" s="509"/>
      <c r="C48" s="509"/>
      <c r="D48" s="552"/>
      <c r="E48" s="509"/>
      <c r="F48" s="553"/>
      <c r="G48" s="509"/>
      <c r="H48" s="553"/>
      <c r="I48" s="553"/>
      <c r="J48" s="553"/>
      <c r="K48" s="550">
        <f t="shared" si="0"/>
        <v>35</v>
      </c>
      <c r="L48" s="509"/>
      <c r="M48" s="551">
        <f ca="1">+VLOOKUP($K48,'Merger Tables'!$C$41:$R$52,M$33,FALSE)</f>
        <v>-6.206291762198755</v>
      </c>
      <c r="N48" s="551">
        <f ca="1">+VLOOKUP($K48,'Merger Tables'!$C$41:$R$52,N$33,FALSE)</f>
        <v>-12.032478401296308</v>
      </c>
      <c r="O48" s="551">
        <f ca="1">+VLOOKUP($K48,'Merger Tables'!$C$41:$R$52,O$33,FALSE)</f>
        <v>-15.352073218174525</v>
      </c>
      <c r="P48" s="551">
        <f ca="1">+VLOOKUP($K48,'Merger Tables'!$C$41:$R$52,P$33,FALSE)</f>
        <v>-18.179040139066586</v>
      </c>
      <c r="Q48" s="17"/>
      <c r="R48" s="551">
        <f ca="1">+VLOOKUP($K48,'Merger Tables'!$C$41:$R$52,R$33,FALSE)</f>
        <v>-4.5821713913332474</v>
      </c>
      <c r="S48" s="551">
        <f ca="1">+VLOOKUP($K48,'Merger Tables'!$C$41:$R$52,S$33,FALSE)</f>
        <v>-10.174505062839117</v>
      </c>
      <c r="T48" s="551">
        <f ca="1">+VLOOKUP($K48,'Merger Tables'!$C$41:$R$52,T$33,FALSE)</f>
        <v>-13.259637532911873</v>
      </c>
      <c r="U48" s="551">
        <f ca="1">+VLOOKUP($K48,'Merger Tables'!$C$41:$R$52,U$33,FALSE)</f>
        <v>-15.822754756210466</v>
      </c>
      <c r="V48" s="17"/>
      <c r="W48" s="551">
        <f ca="1">+VLOOKUP($K48,'Merger Tables'!$C$41:$R$52,W$33,FALSE)</f>
        <v>-2.9580510204677304</v>
      </c>
      <c r="X48" s="551">
        <f ca="1">+VLOOKUP($K48,'Merger Tables'!$C$41:$R$52,X$33,FALSE)</f>
        <v>-8.3165317243819175</v>
      </c>
      <c r="Y48" s="551">
        <f ca="1">+VLOOKUP($K48,'Merger Tables'!$C$41:$R$52,Y$33,FALSE)</f>
        <v>-11.16720184764921</v>
      </c>
      <c r="Z48" s="551">
        <f ca="1">+VLOOKUP($K48,'Merger Tables'!$C$41:$R$52,Z$33,FALSE)</f>
        <v>-13.466469373354348</v>
      </c>
      <c r="AA48" s="17"/>
      <c r="AB48" s="17"/>
      <c r="AC48" s="17"/>
      <c r="AD48" s="17"/>
      <c r="AE48" s="17"/>
    </row>
    <row r="49" spans="2:31">
      <c r="B49" s="509"/>
      <c r="C49" s="509"/>
      <c r="D49" s="552"/>
      <c r="E49" s="509"/>
      <c r="F49" s="553"/>
      <c r="G49" s="509"/>
      <c r="H49" s="553"/>
      <c r="I49" s="553"/>
      <c r="J49" s="553"/>
      <c r="K49" s="550">
        <f t="shared" si="0"/>
        <v>36</v>
      </c>
      <c r="L49" s="509"/>
      <c r="M49" s="551">
        <f ca="1">+VLOOKUP($K49,'Merger Tables'!$C$41:$R$52,M$33,FALSE)</f>
        <v>-5.5752614007417804</v>
      </c>
      <c r="N49" s="551">
        <f ca="1">+VLOOKUP($K49,'Merger Tables'!$C$41:$R$52,N$33,FALSE)</f>
        <v>-11.464969130311204</v>
      </c>
      <c r="O49" s="551">
        <f ca="1">+VLOOKUP($K49,'Merger Tables'!$C$41:$R$52,O$33,FALSE)</f>
        <v>-14.695398531559158</v>
      </c>
      <c r="P49" s="551">
        <f ca="1">+VLOOKUP($K49,'Merger Tables'!$C$41:$R$52,P$33,FALSE)</f>
        <v>-17.436062274289128</v>
      </c>
      <c r="Q49" s="17"/>
      <c r="R49" s="551">
        <f ca="1">+VLOOKUP($K49,'Merger Tables'!$C$41:$R$52,R$33,FALSE)</f>
        <v>-3.9479096848504867</v>
      </c>
      <c r="S49" s="551">
        <f ca="1">+VLOOKUP($K49,'Merger Tables'!$C$41:$R$52,S$33,FALSE)</f>
        <v>-9.6032991736642739</v>
      </c>
      <c r="T49" s="551">
        <f ca="1">+VLOOKUP($K49,'Merger Tables'!$C$41:$R$52,T$33,FALSE)</f>
        <v>-12.598799742523747</v>
      </c>
      <c r="U49" s="551">
        <f ca="1">+VLOOKUP($K49,'Merger Tables'!$C$41:$R$52,U$33,FALSE)</f>
        <v>-15.07508883309213</v>
      </c>
      <c r="V49" s="17"/>
      <c r="W49" s="551">
        <f ca="1">+VLOOKUP($K49,'Merger Tables'!$C$41:$R$52,W$33,FALSE)</f>
        <v>-2.3205579689591835</v>
      </c>
      <c r="X49" s="551">
        <f ca="1">+VLOOKUP($K49,'Merger Tables'!$C$41:$R$52,X$33,FALSE)</f>
        <v>-7.7416292170173335</v>
      </c>
      <c r="Y49" s="551">
        <f ca="1">+VLOOKUP($K49,'Merger Tables'!$C$41:$R$52,Y$33,FALSE)</f>
        <v>-10.502200953488341</v>
      </c>
      <c r="Z49" s="551">
        <f ca="1">+VLOOKUP($K49,'Merger Tables'!$C$41:$R$52,Z$33,FALSE)</f>
        <v>-12.714115391895129</v>
      </c>
      <c r="AA49" s="17"/>
      <c r="AB49" s="17"/>
      <c r="AC49" s="17"/>
      <c r="AD49" s="17"/>
      <c r="AE49" s="17"/>
    </row>
    <row r="50" spans="2:31">
      <c r="B50" s="509"/>
      <c r="C50" s="509"/>
      <c r="D50" s="552"/>
      <c r="E50" s="509"/>
      <c r="F50" s="553"/>
      <c r="G50" s="509"/>
      <c r="H50" s="553"/>
      <c r="I50" s="553"/>
      <c r="J50" s="553"/>
      <c r="K50" s="546"/>
      <c r="L50" s="509"/>
      <c r="M50" s="553"/>
      <c r="N50" s="553"/>
      <c r="O50" s="553"/>
      <c r="P50" s="553"/>
      <c r="Q50" s="509"/>
      <c r="R50" s="553"/>
      <c r="S50" s="553"/>
      <c r="T50" s="553"/>
      <c r="U50" s="553"/>
      <c r="V50" s="554"/>
      <c r="W50" s="554"/>
      <c r="X50" s="554"/>
      <c r="Y50" s="554"/>
      <c r="Z50" s="554"/>
      <c r="AA50" s="17"/>
      <c r="AB50" s="17"/>
      <c r="AC50" s="17"/>
      <c r="AD50" s="17"/>
      <c r="AE50" s="17"/>
    </row>
    <row r="51" spans="2:31" s="351" customFormat="1">
      <c r="B51" s="509"/>
      <c r="C51" s="509"/>
      <c r="D51" s="552"/>
      <c r="E51" s="509"/>
      <c r="F51" s="553"/>
      <c r="G51" s="509"/>
      <c r="H51" s="553"/>
      <c r="I51" s="553"/>
      <c r="J51" s="553"/>
      <c r="K51" s="17"/>
      <c r="L51" s="536" t="s">
        <v>274</v>
      </c>
      <c r="M51" s="555">
        <f>'Merger Tables'!D54</f>
        <v>2.5</v>
      </c>
      <c r="N51" s="556">
        <f>'Merger Tables'!E54</f>
        <v>5.6538461538461533</v>
      </c>
      <c r="O51" s="556">
        <f>'Merger Tables'!F54</f>
        <v>6.3217948717948707</v>
      </c>
      <c r="P51" s="556">
        <f>'Merger Tables'!G54</f>
        <v>7.0693589743589742</v>
      </c>
      <c r="Q51" s="509"/>
      <c r="R51" s="557">
        <f>+M51</f>
        <v>2.5</v>
      </c>
      <c r="S51" s="557">
        <f>+N51</f>
        <v>5.6538461538461533</v>
      </c>
      <c r="T51" s="557">
        <f>+O51</f>
        <v>6.3217948717948707</v>
      </c>
      <c r="U51" s="557">
        <f>+P51</f>
        <v>7.0693589743589742</v>
      </c>
      <c r="V51" s="554"/>
      <c r="W51" s="557">
        <f>+R51</f>
        <v>2.5</v>
      </c>
      <c r="X51" s="557">
        <f>+S51</f>
        <v>5.6538461538461533</v>
      </c>
      <c r="Y51" s="557">
        <f>+T51</f>
        <v>6.3217948717948707</v>
      </c>
      <c r="Z51" s="557">
        <f>+U51</f>
        <v>7.0693589743589742</v>
      </c>
      <c r="AA51" s="61"/>
      <c r="AB51" s="61"/>
      <c r="AC51" s="61"/>
      <c r="AD51" s="61"/>
      <c r="AE51" s="61"/>
    </row>
    <row r="52" spans="2:31" s="351" customFormat="1">
      <c r="B52" s="61"/>
      <c r="C52" s="61"/>
      <c r="D52" s="61"/>
      <c r="E52" s="61"/>
      <c r="F52" s="61"/>
      <c r="G52" s="32"/>
      <c r="H52" s="558"/>
      <c r="I52" s="32"/>
      <c r="J52" s="558"/>
      <c r="K52" s="32"/>
      <c r="L52" s="558"/>
      <c r="M52" s="32"/>
      <c r="N52" s="558"/>
      <c r="O52" s="32"/>
      <c r="P52" s="558"/>
      <c r="Q52" s="61"/>
      <c r="R52" s="61"/>
      <c r="S52" s="32"/>
      <c r="T52" s="558"/>
      <c r="U52" s="32"/>
      <c r="V52" s="558"/>
      <c r="W52" s="32"/>
      <c r="X52" s="61"/>
      <c r="Y52" s="32"/>
      <c r="Z52" s="61"/>
      <c r="AA52" s="61"/>
      <c r="AB52" s="61"/>
      <c r="AC52" s="61"/>
      <c r="AD52" s="61"/>
      <c r="AE52" s="61"/>
    </row>
    <row r="53" spans="2:31" s="351" customFormat="1">
      <c r="B53" s="61"/>
      <c r="C53" s="61"/>
      <c r="D53" s="61"/>
      <c r="E53" s="61"/>
      <c r="F53" s="61"/>
      <c r="G53" s="559"/>
      <c r="H53" s="32"/>
      <c r="I53" s="559"/>
      <c r="J53" s="32"/>
      <c r="K53" s="559"/>
      <c r="L53" s="32"/>
      <c r="M53" s="559"/>
      <c r="N53" s="558"/>
      <c r="O53" s="559"/>
      <c r="P53" s="558"/>
      <c r="Q53" s="61"/>
      <c r="R53" s="61"/>
      <c r="S53" s="559"/>
      <c r="T53" s="559"/>
      <c r="U53" s="559"/>
      <c r="V53" s="558"/>
      <c r="W53" s="559"/>
      <c r="X53" s="61"/>
      <c r="Y53" s="559"/>
      <c r="Z53" s="61"/>
      <c r="AA53" s="61"/>
      <c r="AB53" s="61"/>
      <c r="AC53" s="61"/>
      <c r="AD53" s="61"/>
      <c r="AE53" s="61"/>
    </row>
    <row r="54" spans="2:31" s="351" customFormat="1">
      <c r="B54" s="61"/>
      <c r="C54" s="61"/>
      <c r="D54" s="61"/>
      <c r="E54" s="61"/>
      <c r="F54" s="61"/>
      <c r="G54" s="32"/>
      <c r="H54" s="558"/>
      <c r="I54" s="32"/>
      <c r="J54" s="558"/>
      <c r="K54" s="32"/>
      <c r="L54" s="558"/>
      <c r="M54" s="32"/>
      <c r="N54" s="558"/>
      <c r="O54" s="32"/>
      <c r="P54" s="558"/>
      <c r="Q54" s="61"/>
      <c r="R54" s="61"/>
      <c r="S54" s="32"/>
      <c r="T54" s="558"/>
      <c r="U54" s="32"/>
      <c r="V54" s="558"/>
      <c r="W54" s="32"/>
      <c r="X54" s="61"/>
      <c r="Y54" s="32"/>
      <c r="Z54" s="61"/>
      <c r="AA54" s="61"/>
      <c r="AB54" s="61"/>
      <c r="AC54" s="61"/>
      <c r="AD54" s="61"/>
      <c r="AE54" s="61"/>
    </row>
    <row r="55" spans="2:31" s="351" customFormat="1">
      <c r="B55" s="61"/>
      <c r="C55" s="61"/>
      <c r="D55" s="61"/>
      <c r="E55" s="61"/>
      <c r="F55" s="61"/>
      <c r="G55" s="32"/>
      <c r="H55" s="558"/>
      <c r="I55" s="32"/>
      <c r="J55" s="558"/>
      <c r="K55" s="32"/>
      <c r="L55" s="558"/>
      <c r="M55" s="32"/>
      <c r="N55" s="558"/>
      <c r="O55" s="32"/>
      <c r="P55" s="558"/>
      <c r="Q55" s="61"/>
      <c r="R55" s="61"/>
      <c r="S55" s="32"/>
      <c r="T55" s="558"/>
      <c r="U55" s="32"/>
      <c r="V55" s="558"/>
      <c r="W55" s="32"/>
      <c r="X55" s="61"/>
      <c r="Y55" s="32"/>
      <c r="Z55" s="61"/>
      <c r="AA55" s="61"/>
      <c r="AB55" s="61"/>
      <c r="AC55" s="61"/>
      <c r="AD55" s="61"/>
      <c r="AE55" s="61"/>
    </row>
    <row r="56" spans="2:31"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</row>
    <row r="57" spans="2:31" ht="13.5">
      <c r="B57" s="560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</row>
    <row r="58" spans="2:31">
      <c r="AA58" s="17"/>
      <c r="AB58" s="17"/>
      <c r="AC58" s="17"/>
      <c r="AD58" s="17"/>
      <c r="AE58" s="17"/>
    </row>
  </sheetData>
  <printOptions horizontalCentered="1"/>
  <pageMargins left="0.35" right="0.35" top="0.35" bottom="0.35" header="0.15" footer="0.15"/>
  <pageSetup scale="58" orientation="landscape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indexed="56"/>
  </sheetPr>
  <dimension ref="A1:S15"/>
  <sheetViews>
    <sheetView showGridLines="0" view="pageBreakPreview" zoomScaleNormal="85" workbookViewId="0"/>
  </sheetViews>
  <sheetFormatPr defaultRowHeight="12.75"/>
  <cols>
    <col min="1" max="1" width="2.83203125" style="3" customWidth="1"/>
    <col min="2" max="14" width="9.33203125" style="3"/>
    <col min="15" max="17" width="9.33203125" style="4"/>
    <col min="18" max="16384" width="9.33203125" style="3"/>
  </cols>
  <sheetData>
    <row r="1" spans="1:19">
      <c r="A1" s="2"/>
    </row>
    <row r="13" spans="1:19" ht="35.25">
      <c r="B13" s="5" t="str">
        <f>proj</f>
        <v>Project MODEL</v>
      </c>
    </row>
    <row r="14" spans="1:19" ht="26.25" thickBot="1">
      <c r="B14" s="173" t="s">
        <v>642</v>
      </c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7"/>
      <c r="R14" s="7"/>
      <c r="S14" s="7"/>
    </row>
    <row r="15" spans="1:19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7"/>
      <c r="P15" s="7"/>
      <c r="Q15" s="7"/>
    </row>
  </sheetData>
  <phoneticPr fontId="6" type="noConversion"/>
  <printOptions horizontalCentered="1"/>
  <pageMargins left="0.35" right="0.35" top="0.35" bottom="0.35" header="0.15" footer="0.15"/>
  <pageSetup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IF74"/>
  <sheetViews>
    <sheetView showGridLines="0" view="pageBreakPreview" zoomScale="70" zoomScaleNormal="100" zoomScaleSheetLayoutView="70" workbookViewId="0"/>
  </sheetViews>
  <sheetFormatPr defaultRowHeight="12.75"/>
  <cols>
    <col min="1" max="1" width="2.83203125" style="4" customWidth="1"/>
    <col min="2" max="5" width="8.83203125" style="3" customWidth="1"/>
    <col min="6" max="6" width="11.33203125" style="3" bestFit="1" customWidth="1"/>
    <col min="7" max="7" width="2.83203125" style="3" customWidth="1"/>
    <col min="8" max="8" width="11.33203125" style="3" bestFit="1" customWidth="1"/>
    <col min="9" max="9" width="2.83203125" style="3" customWidth="1"/>
    <col min="10" max="10" width="11.33203125" style="3" bestFit="1" customWidth="1"/>
    <col min="11" max="11" width="2.83203125" style="3" customWidth="1"/>
    <col min="12" max="12" width="11.33203125" style="3" bestFit="1" customWidth="1"/>
    <col min="13" max="13" width="2.83203125" style="3" customWidth="1"/>
    <col min="14" max="14" width="11.33203125" style="3" bestFit="1" customWidth="1"/>
    <col min="15" max="15" width="2.83203125" style="3" customWidth="1"/>
    <col min="16" max="16" width="9.33203125" style="3"/>
    <col min="17" max="17" width="2.83203125" style="3" customWidth="1"/>
    <col min="18" max="18" width="11.33203125" style="3" bestFit="1" customWidth="1"/>
    <col min="19" max="19" width="2.83203125" style="3" customWidth="1"/>
    <col min="20" max="20" width="11.33203125" style="3" bestFit="1" customWidth="1"/>
    <col min="21" max="21" width="2.83203125" style="3" customWidth="1"/>
    <col min="22" max="22" width="11.33203125" style="3" bestFit="1" customWidth="1"/>
    <col min="23" max="23" width="2.83203125" style="3" customWidth="1"/>
    <col min="24" max="24" width="11.33203125" style="3" bestFit="1" customWidth="1"/>
    <col min="25" max="25" width="2.83203125" style="3" customWidth="1"/>
    <col min="26" max="26" width="11.33203125" style="3" bestFit="1" customWidth="1"/>
    <col min="27" max="27" width="2.83203125" style="3" customWidth="1"/>
    <col min="28" max="28" width="9.33203125" style="3"/>
    <col min="29" max="29" width="2.83203125" style="3" customWidth="1"/>
    <col min="30" max="16384" width="9.33203125" style="4"/>
  </cols>
  <sheetData>
    <row r="1" spans="1:29">
      <c r="A1" s="2"/>
    </row>
    <row r="2" spans="1:29" ht="23.25">
      <c r="B2" s="97" t="str">
        <f>m</f>
        <v>Project MODEL</v>
      </c>
      <c r="C2" s="39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4"/>
      <c r="V2" s="4"/>
      <c r="W2" s="4"/>
      <c r="X2" s="235"/>
      <c r="Y2" s="235"/>
      <c r="Z2" s="235"/>
      <c r="AA2" s="235"/>
      <c r="AB2" s="235"/>
      <c r="AC2" s="399" t="str">
        <f>acq&amp;" - "&amp;acname</f>
        <v>COLEMAN CO. - Wall street consensus</v>
      </c>
    </row>
    <row r="3" spans="1:29" s="276" customFormat="1" ht="20.100000000000001" customHeight="1" thickBot="1">
      <c r="B3" s="98" t="str">
        <f>Merger!B3</f>
        <v>COLEMAN CO. Acquires SG ENTERPRISES - 90% Cash / 10% Stock</v>
      </c>
      <c r="C3" s="98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P3" s="395"/>
      <c r="Q3" s="395"/>
      <c r="R3" s="395"/>
      <c r="S3" s="395"/>
      <c r="T3" s="395"/>
      <c r="U3" s="395"/>
      <c r="V3" s="395"/>
      <c r="W3" s="395"/>
      <c r="X3" s="395"/>
      <c r="Y3" s="395"/>
      <c r="Z3" s="395"/>
      <c r="AA3" s="395"/>
      <c r="AB3" s="395"/>
      <c r="AC3" s="400" t="str">
        <f>tar&amp;" - "&amp;tcname</f>
        <v>SG ENTERPRISES - Wall street consensus</v>
      </c>
    </row>
    <row r="4" spans="1:29" ht="18">
      <c r="B4" s="506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457"/>
      <c r="Y4" s="457"/>
      <c r="Z4" s="457"/>
      <c r="AA4" s="457"/>
      <c r="AB4" s="457"/>
      <c r="AC4" s="423" t="str">
        <f>Merger!$Q$4</f>
        <v>Includes Cost Savings/Synergies</v>
      </c>
    </row>
    <row r="5" spans="1:29">
      <c r="B5" s="8"/>
      <c r="C5" s="8"/>
      <c r="D5" s="8"/>
      <c r="E5" s="8"/>
      <c r="F5" s="8" t="s">
        <v>134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 ht="15.95" customHeight="1" collapsed="1">
      <c r="B6" s="169" t="s">
        <v>293</v>
      </c>
      <c r="C6" s="561"/>
      <c r="D6" s="561"/>
      <c r="E6" s="561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1"/>
      <c r="R6" s="561"/>
      <c r="S6" s="561"/>
      <c r="T6" s="561"/>
      <c r="U6" s="561"/>
      <c r="V6" s="561"/>
      <c r="W6" s="561"/>
      <c r="X6" s="561"/>
      <c r="Y6" s="561"/>
      <c r="Z6" s="561"/>
      <c r="AA6" s="561"/>
      <c r="AB6" s="561"/>
      <c r="AC6" s="561"/>
    </row>
    <row r="7" spans="1:29">
      <c r="B7" s="176" t="str">
        <f>Merger!B8</f>
        <v>(Amounts in Millions, Except Per Share Data)</v>
      </c>
    </row>
    <row r="8" spans="1:29" ht="13.5" thickBot="1"/>
    <row r="9" spans="1:29">
      <c r="B9" s="562" t="s">
        <v>147</v>
      </c>
      <c r="C9" s="563"/>
      <c r="D9" s="564"/>
      <c r="E9" s="564"/>
      <c r="F9" s="565">
        <f ca="1">Merger!H14</f>
        <v>30</v>
      </c>
    </row>
    <row r="10" spans="1:29" ht="13.5" thickBot="1">
      <c r="B10" s="566" t="s">
        <v>294</v>
      </c>
      <c r="C10" s="6"/>
      <c r="D10" s="567"/>
      <c r="E10" s="567"/>
      <c r="F10" s="568">
        <f ca="1">Merger!H15</f>
        <v>0.19999999999999996</v>
      </c>
    </row>
    <row r="11" spans="1:29">
      <c r="B11" s="569"/>
      <c r="C11" s="7"/>
    </row>
    <row r="13" spans="1:29">
      <c r="F13" s="280" t="str">
        <f>acq&amp;" Stand Alone"</f>
        <v>COLEMAN CO. Stand Alone</v>
      </c>
      <c r="G13" s="280"/>
      <c r="H13" s="280"/>
      <c r="I13" s="280"/>
      <c r="J13" s="280"/>
      <c r="K13" s="280"/>
      <c r="L13" s="280"/>
      <c r="M13" s="280"/>
      <c r="N13" s="280"/>
      <c r="O13" s="96"/>
      <c r="T13" s="280" t="s">
        <v>3</v>
      </c>
      <c r="U13" s="280"/>
      <c r="V13" s="280"/>
      <c r="W13" s="280"/>
      <c r="X13" s="280"/>
      <c r="Y13" s="280"/>
      <c r="Z13" s="280"/>
      <c r="AA13" s="96"/>
    </row>
    <row r="14" spans="1:29">
      <c r="B14" s="570" t="str">
        <f>'Acq Sum Financials'!B10</f>
        <v>Income Statement Data (a)</v>
      </c>
      <c r="C14" s="109"/>
      <c r="D14" s="109"/>
      <c r="E14" s="109"/>
      <c r="F14" s="571">
        <f>'Acq Proj'!L7</f>
        <v>2019</v>
      </c>
      <c r="G14" s="572"/>
      <c r="H14" s="573">
        <f>'Acq Proj'!M7</f>
        <v>2020</v>
      </c>
      <c r="I14" s="574"/>
      <c r="J14" s="573">
        <f>'Acq Proj'!N7</f>
        <v>2021</v>
      </c>
      <c r="K14" s="572"/>
      <c r="L14" s="573">
        <f>'Acq Proj'!O7</f>
        <v>2022</v>
      </c>
      <c r="M14" s="572"/>
      <c r="N14" s="573">
        <f>'Acq Proj'!P7</f>
        <v>2023</v>
      </c>
      <c r="O14" s="575"/>
      <c r="P14" s="109"/>
      <c r="Q14" s="109"/>
      <c r="R14" s="109"/>
      <c r="S14" s="109"/>
      <c r="T14" s="573">
        <f>Merger!M260</f>
        <v>2020</v>
      </c>
      <c r="U14" s="572"/>
      <c r="V14" s="573">
        <f>Merger!N260</f>
        <v>2021</v>
      </c>
      <c r="W14" s="574"/>
      <c r="X14" s="573">
        <f>Merger!O260</f>
        <v>2022</v>
      </c>
      <c r="Y14" s="572"/>
      <c r="Z14" s="573">
        <f>Merger!P260</f>
        <v>2023</v>
      </c>
      <c r="AA14" s="576"/>
    </row>
    <row r="15" spans="1:29">
      <c r="B15" s="109" t="str">
        <f>'Acq Sum Financials'!B11</f>
        <v>Net Sales</v>
      </c>
      <c r="C15" s="109"/>
      <c r="D15" s="109"/>
      <c r="E15" s="109"/>
      <c r="F15" s="113">
        <f>'Acq Sum Financials'!AB11</f>
        <v>120</v>
      </c>
      <c r="G15" s="113"/>
      <c r="H15" s="113">
        <f>'Acq Sum Financials'!AD11</f>
        <v>140</v>
      </c>
      <c r="I15" s="113"/>
      <c r="J15" s="113">
        <f>'Acq Sum Financials'!AF11</f>
        <v>160</v>
      </c>
      <c r="K15" s="113"/>
      <c r="L15" s="113">
        <f>'Acq Sum Financials'!AH11</f>
        <v>180</v>
      </c>
      <c r="M15" s="109"/>
      <c r="N15" s="113">
        <f>'Acq Sum Financials'!AJ11</f>
        <v>202.5</v>
      </c>
      <c r="O15" s="109"/>
      <c r="P15" s="109"/>
      <c r="Q15" s="109"/>
      <c r="R15" s="109"/>
      <c r="S15" s="109"/>
      <c r="T15" s="113">
        <f>Merger!M261</f>
        <v>195</v>
      </c>
      <c r="U15" s="113"/>
      <c r="V15" s="113">
        <f>Merger!N261</f>
        <v>220.5</v>
      </c>
      <c r="W15" s="113"/>
      <c r="X15" s="113">
        <f>Merger!O261</f>
        <v>246.55</v>
      </c>
      <c r="Y15" s="354"/>
      <c r="Z15" s="113">
        <f>Merger!P261</f>
        <v>275.70500000000004</v>
      </c>
      <c r="AA15" s="577"/>
    </row>
    <row r="16" spans="1:29">
      <c r="B16" s="109" t="str">
        <f>'Acq Sum Financials'!B12</f>
        <v>Gross Profit</v>
      </c>
      <c r="C16" s="109"/>
      <c r="D16" s="109"/>
      <c r="E16" s="109"/>
      <c r="F16" s="115">
        <f>'Acq Sum Financials'!AB12</f>
        <v>60</v>
      </c>
      <c r="G16" s="115"/>
      <c r="H16" s="115">
        <f>'Acq Sum Financials'!AD12</f>
        <v>70</v>
      </c>
      <c r="I16" s="115"/>
      <c r="J16" s="115">
        <f>'Acq Sum Financials'!AF12</f>
        <v>80</v>
      </c>
      <c r="K16" s="115"/>
      <c r="L16" s="115">
        <f>'Acq Sum Financials'!AH12</f>
        <v>90</v>
      </c>
      <c r="M16" s="115"/>
      <c r="N16" s="115">
        <f>'Acq Sum Financials'!AJ12</f>
        <v>101.25</v>
      </c>
      <c r="O16" s="115"/>
      <c r="P16" s="115"/>
      <c r="Q16" s="115"/>
      <c r="R16" s="115"/>
      <c r="S16" s="115"/>
      <c r="T16" s="115">
        <f>Merger!M263</f>
        <v>100.25</v>
      </c>
      <c r="U16" s="115"/>
      <c r="V16" s="115">
        <f>Merger!N263</f>
        <v>113.27500000000001</v>
      </c>
      <c r="W16" s="115"/>
      <c r="X16" s="115">
        <f>Merger!O263</f>
        <v>126.60250000000002</v>
      </c>
      <c r="Y16" s="355"/>
      <c r="Z16" s="115">
        <f>Merger!P263</f>
        <v>141.51275000000004</v>
      </c>
      <c r="AA16" s="450"/>
    </row>
    <row r="17" spans="2:29">
      <c r="B17" s="109" t="str">
        <f>'Acq Sum Financials'!B13</f>
        <v>EBITDA</v>
      </c>
      <c r="C17" s="109"/>
      <c r="D17" s="109"/>
      <c r="E17" s="109"/>
      <c r="F17" s="115">
        <f>'Acq Sum Financials'!AB13</f>
        <v>40</v>
      </c>
      <c r="G17" s="115"/>
      <c r="H17" s="115">
        <f>'Acq Sum Financials'!AD13</f>
        <v>45</v>
      </c>
      <c r="I17" s="115"/>
      <c r="J17" s="115">
        <f>'Acq Sum Financials'!AF13</f>
        <v>51.428571428571431</v>
      </c>
      <c r="K17" s="115"/>
      <c r="L17" s="115">
        <f>'Acq Sum Financials'!AH13</f>
        <v>57.857142857142854</v>
      </c>
      <c r="M17" s="115"/>
      <c r="N17" s="115">
        <f>'Acq Sum Financials'!AJ13</f>
        <v>65.089285714285708</v>
      </c>
      <c r="O17" s="115"/>
      <c r="P17" s="115"/>
      <c r="Q17" s="115"/>
      <c r="R17" s="115"/>
      <c r="S17" s="115"/>
      <c r="T17" s="115">
        <f ca="1">Merger!M291</f>
        <v>69</v>
      </c>
      <c r="U17" s="115"/>
      <c r="V17" s="115">
        <f ca="1">Merger!N291</f>
        <v>80.732417582417582</v>
      </c>
      <c r="W17" s="115"/>
      <c r="X17" s="115">
        <f ca="1">Merger!O291</f>
        <v>90.193937728937755</v>
      </c>
      <c r="Y17" s="355"/>
      <c r="Z17" s="115">
        <f ca="1">Merger!P291</f>
        <v>100.77514468864472</v>
      </c>
      <c r="AA17" s="450"/>
    </row>
    <row r="18" spans="2:29">
      <c r="B18" s="109" t="str">
        <f>'Acq Sum Financials'!B14</f>
        <v>EBIT</v>
      </c>
      <c r="C18" s="109"/>
      <c r="D18" s="109"/>
      <c r="E18" s="109"/>
      <c r="F18" s="115">
        <f>'Acq Sum Financials'!AB14</f>
        <v>30</v>
      </c>
      <c r="G18" s="115"/>
      <c r="H18" s="115">
        <f>'Acq Sum Financials'!AD14</f>
        <v>35</v>
      </c>
      <c r="I18" s="115"/>
      <c r="J18" s="115">
        <f>'Acq Sum Financials'!AF14</f>
        <v>40</v>
      </c>
      <c r="K18" s="115"/>
      <c r="L18" s="115">
        <f>'Acq Sum Financials'!AH14</f>
        <v>45</v>
      </c>
      <c r="M18" s="115"/>
      <c r="N18" s="115">
        <f>'Acq Sum Financials'!AJ14</f>
        <v>50.625</v>
      </c>
      <c r="O18" s="115"/>
      <c r="P18" s="115"/>
      <c r="Q18" s="115"/>
      <c r="R18" s="115"/>
      <c r="S18" s="115"/>
      <c r="T18" s="115">
        <f ca="1">Merger!M289</f>
        <v>51.985783706731368</v>
      </c>
      <c r="U18" s="115"/>
      <c r="V18" s="115">
        <f ca="1">Merger!N289</f>
        <v>61.789629860577527</v>
      </c>
      <c r="W18" s="115"/>
      <c r="X18" s="115">
        <f ca="1">Merger!O289</f>
        <v>69.272578578526264</v>
      </c>
      <c r="Y18" s="355"/>
      <c r="Z18" s="115">
        <f ca="1">Merger!P289</f>
        <v>77.641642681090374</v>
      </c>
      <c r="AA18" s="450"/>
    </row>
    <row r="19" spans="2:29">
      <c r="B19" s="109" t="str">
        <f>'Acq Sum Financials'!B15</f>
        <v>Net Income</v>
      </c>
      <c r="C19" s="109"/>
      <c r="D19" s="109"/>
      <c r="E19" s="109"/>
      <c r="F19" s="115">
        <f ca="1">'Acq Sum Financials'!AB15</f>
        <v>22.594155697330223</v>
      </c>
      <c r="G19" s="115"/>
      <c r="H19" s="115">
        <f ca="1">'Acq Sum Financials'!AD15</f>
        <v>26.58263288760627</v>
      </c>
      <c r="I19" s="115"/>
      <c r="J19" s="115">
        <f ca="1">'Acq Sum Financials'!AF15</f>
        <v>30.417724059325856</v>
      </c>
      <c r="K19" s="115"/>
      <c r="L19" s="115">
        <f ca="1">'Acq Sum Financials'!AH15</f>
        <v>34.266150397805632</v>
      </c>
      <c r="M19" s="115"/>
      <c r="N19" s="115">
        <f ca="1">'Acq Sum Financials'!AJ15</f>
        <v>38.596797734568078</v>
      </c>
      <c r="O19" s="115"/>
      <c r="P19" s="115"/>
      <c r="Q19" s="115"/>
      <c r="R19" s="115"/>
      <c r="S19" s="115"/>
      <c r="T19" s="115">
        <f ca="1">Merger!M274</f>
        <v>34.743745353267727</v>
      </c>
      <c r="U19" s="115"/>
      <c r="V19" s="115">
        <f ca="1">Merger!N274</f>
        <v>43.487167949148343</v>
      </c>
      <c r="W19" s="115"/>
      <c r="X19" s="115">
        <f ca="1">Merger!O274</f>
        <v>49.769157448304171</v>
      </c>
      <c r="Y19" s="355"/>
      <c r="Z19" s="115">
        <f ca="1">Merger!P274</f>
        <v>56.22499101521494</v>
      </c>
      <c r="AA19" s="450"/>
    </row>
    <row r="20" spans="2:29">
      <c r="B20" s="109" t="str">
        <f>'Acq Sum Financials'!B16</f>
        <v>Diluted EPS</v>
      </c>
      <c r="C20" s="109"/>
      <c r="D20" s="109"/>
      <c r="E20" s="109"/>
      <c r="F20" s="108">
        <f ca="1">'Acq Sum Financials'!AB16</f>
        <v>1.8393463904462517</v>
      </c>
      <c r="G20" s="108"/>
      <c r="H20" s="108">
        <f ca="1">'Acq Sum Financials'!AD16</f>
        <v>2.1640405822357822</v>
      </c>
      <c r="I20" s="108"/>
      <c r="J20" s="108">
        <f ca="1">'Acq Sum Financials'!AF16</f>
        <v>2.4762479157706321</v>
      </c>
      <c r="K20" s="108"/>
      <c r="L20" s="108">
        <f ca="1">'Acq Sum Financials'!AH16</f>
        <v>2.7895408393658023</v>
      </c>
      <c r="M20" s="108"/>
      <c r="N20" s="108">
        <f ca="1">'Acq Sum Financials'!AJ16</f>
        <v>3.1420904390886593</v>
      </c>
      <c r="O20" s="108"/>
      <c r="P20" s="108"/>
      <c r="Q20" s="108"/>
      <c r="R20" s="108"/>
      <c r="S20" s="108"/>
      <c r="T20" s="108">
        <f ca="1">Merger!M280</f>
        <v>2.6571492051681918</v>
      </c>
      <c r="U20" s="108"/>
      <c r="V20" s="108">
        <f ca="1">Merger!N280</f>
        <v>3.3258329686735189</v>
      </c>
      <c r="W20" s="108"/>
      <c r="X20" s="108">
        <f ca="1">Merger!O280</f>
        <v>3.8062700440329515</v>
      </c>
      <c r="Y20" s="345"/>
      <c r="Z20" s="108">
        <f ca="1">Merger!P280</f>
        <v>4.3000024513078543</v>
      </c>
      <c r="AA20" s="164"/>
    </row>
    <row r="21" spans="2:29" ht="5.0999999999999996" customHeight="1">
      <c r="B21" s="415"/>
      <c r="F21" s="578"/>
      <c r="G21" s="578"/>
      <c r="H21" s="578"/>
      <c r="I21" s="578"/>
      <c r="J21" s="578"/>
      <c r="K21" s="578"/>
      <c r="L21" s="578"/>
      <c r="M21" s="138"/>
      <c r="N21" s="578"/>
      <c r="O21" s="138"/>
      <c r="P21" s="138"/>
      <c r="Q21" s="138"/>
      <c r="R21" s="138"/>
      <c r="S21" s="138"/>
      <c r="T21" s="578"/>
      <c r="U21" s="578"/>
      <c r="V21" s="578"/>
      <c r="W21" s="578"/>
      <c r="X21" s="578"/>
      <c r="Y21" s="164"/>
      <c r="Z21" s="578"/>
      <c r="AA21" s="164"/>
    </row>
    <row r="22" spans="2:29" ht="12.75" customHeight="1">
      <c r="F22" s="164"/>
      <c r="G22" s="164"/>
      <c r="H22" s="164"/>
      <c r="I22" s="164"/>
      <c r="J22" s="164"/>
      <c r="K22" s="164"/>
      <c r="L22" s="579"/>
      <c r="M22" s="580"/>
      <c r="N22" s="581"/>
      <c r="O22" s="580"/>
      <c r="P22" s="580"/>
      <c r="Q22" s="582" t="str">
        <f>acq&amp;" Accretion / (Dilution) %:"</f>
        <v>COLEMAN CO. Accretion / (Dilution) %:</v>
      </c>
      <c r="R22" s="583"/>
      <c r="S22" s="583"/>
      <c r="T22" s="584">
        <f ca="1">(T20/H20-1)*100</f>
        <v>22.786477618777077</v>
      </c>
      <c r="U22" s="585" t="s">
        <v>166</v>
      </c>
      <c r="V22" s="584">
        <f ca="1">(V20/J20-1)*100</f>
        <v>34.30936973200793</v>
      </c>
      <c r="W22" s="585" t="s">
        <v>166</v>
      </c>
      <c r="X22" s="584">
        <f ca="1">(X20/L20-1)*100</f>
        <v>36.447905344103184</v>
      </c>
      <c r="Y22" s="585" t="s">
        <v>166</v>
      </c>
      <c r="Z22" s="584">
        <f ca="1">(Z20/N20-1)*100</f>
        <v>36.851644937216996</v>
      </c>
      <c r="AA22" s="586" t="s">
        <v>166</v>
      </c>
      <c r="AB22" s="310"/>
    </row>
    <row r="23" spans="2:29" ht="12.75" customHeight="1">
      <c r="F23" s="164"/>
      <c r="G23" s="164"/>
      <c r="H23" s="164"/>
      <c r="I23" s="164"/>
      <c r="J23" s="164"/>
      <c r="K23" s="164"/>
      <c r="L23" s="587"/>
      <c r="M23" s="588"/>
      <c r="N23" s="589"/>
      <c r="O23" s="588"/>
      <c r="P23" s="588"/>
      <c r="Q23" s="590" t="str">
        <f>acq&amp;" Accretion / (Dilution) $:"</f>
        <v>COLEMAN CO. Accretion / (Dilution) $:</v>
      </c>
      <c r="R23" s="591"/>
      <c r="S23" s="591"/>
      <c r="T23" s="592">
        <f ca="1">T20-H20</f>
        <v>0.49310862293240953</v>
      </c>
      <c r="U23" s="593"/>
      <c r="V23" s="592">
        <f ca="1">V20-J20</f>
        <v>0.84958505290288677</v>
      </c>
      <c r="W23" s="593"/>
      <c r="X23" s="592">
        <f ca="1">X20-L20</f>
        <v>1.0167292046671492</v>
      </c>
      <c r="Y23" s="593"/>
      <c r="Z23" s="592">
        <f ca="1">Z20-N20</f>
        <v>1.157912012219195</v>
      </c>
      <c r="AA23" s="594"/>
    </row>
    <row r="25" spans="2:29">
      <c r="B25" s="139" t="s">
        <v>184</v>
      </c>
    </row>
    <row r="26" spans="2:29">
      <c r="B26" s="109" t="str">
        <f>'Acq Sum Financials'!B21</f>
        <v>Gross Margin</v>
      </c>
      <c r="F26" s="343">
        <f>(F16/F$15)*100</f>
        <v>50</v>
      </c>
      <c r="G26" s="310" t="s">
        <v>166</v>
      </c>
      <c r="H26" s="343">
        <f>(H16/H$15)*100</f>
        <v>50</v>
      </c>
      <c r="I26" s="310" t="s">
        <v>166</v>
      </c>
      <c r="J26" s="343">
        <f>(J16/J$15)*100</f>
        <v>50</v>
      </c>
      <c r="K26" s="310" t="s">
        <v>166</v>
      </c>
      <c r="L26" s="343">
        <f>(L16/L$15)*100</f>
        <v>50</v>
      </c>
      <c r="M26" s="310" t="s">
        <v>166</v>
      </c>
      <c r="N26" s="343">
        <f>(N16/N$15)*100</f>
        <v>50</v>
      </c>
      <c r="O26" s="310" t="s">
        <v>166</v>
      </c>
      <c r="P26" s="310"/>
      <c r="Q26" s="310"/>
      <c r="R26" s="310"/>
      <c r="S26" s="310"/>
      <c r="T26" s="595">
        <f>(T16/T$15)*100</f>
        <v>51.410256410256409</v>
      </c>
      <c r="U26" s="596" t="s">
        <v>166</v>
      </c>
      <c r="V26" s="595">
        <f>(V16/V$15)*100</f>
        <v>51.371882086167808</v>
      </c>
      <c r="W26" s="596" t="s">
        <v>166</v>
      </c>
      <c r="X26" s="595">
        <f>(X16/X$15)*100</f>
        <v>51.349624822551206</v>
      </c>
      <c r="Y26" s="10" t="s">
        <v>166</v>
      </c>
      <c r="Z26" s="595">
        <f>(Z16/Z$15)*100</f>
        <v>51.327596525271581</v>
      </c>
      <c r="AA26" s="10" t="s">
        <v>166</v>
      </c>
    </row>
    <row r="27" spans="2:29">
      <c r="B27" s="109" t="str">
        <f>'Acq Sum Financials'!B22</f>
        <v>EBITDA</v>
      </c>
      <c r="F27" s="343">
        <f>(F17/F$15)*100</f>
        <v>33.333333333333329</v>
      </c>
      <c r="G27" s="310"/>
      <c r="H27" s="343">
        <f>(H17/H$15)*100</f>
        <v>32.142857142857146</v>
      </c>
      <c r="I27" s="310"/>
      <c r="J27" s="343">
        <f>(J17/J$15)*100</f>
        <v>32.142857142857146</v>
      </c>
      <c r="K27" s="310"/>
      <c r="L27" s="343">
        <f>(L17/L$15)*100</f>
        <v>32.142857142857139</v>
      </c>
      <c r="M27" s="310"/>
      <c r="N27" s="343">
        <f>(N17/N$15)*100</f>
        <v>32.142857142857139</v>
      </c>
      <c r="O27" s="310"/>
      <c r="P27" s="310"/>
      <c r="Q27" s="310"/>
      <c r="R27" s="310"/>
      <c r="S27" s="310"/>
      <c r="T27" s="595">
        <f ca="1">(T17/T$15)*100</f>
        <v>35.384615384615387</v>
      </c>
      <c r="U27" s="596"/>
      <c r="V27" s="595">
        <f ca="1">(V17/V$15)*100</f>
        <v>36.61334130721886</v>
      </c>
      <c r="W27" s="596"/>
      <c r="X27" s="595">
        <f ca="1">(X17/X$15)*100</f>
        <v>36.582412382452951</v>
      </c>
      <c r="Y27" s="597"/>
      <c r="Z27" s="595">
        <f ca="1">(Z17/Z$15)*100</f>
        <v>36.551801631687745</v>
      </c>
      <c r="AA27" s="597"/>
    </row>
    <row r="28" spans="2:29">
      <c r="B28" s="109" t="str">
        <f>'Acq Sum Financials'!B23</f>
        <v>EBIT</v>
      </c>
      <c r="F28" s="343">
        <f>(F18/F$15)*100</f>
        <v>25</v>
      </c>
      <c r="G28" s="310"/>
      <c r="H28" s="343">
        <f>(H18/H$15)*100</f>
        <v>25</v>
      </c>
      <c r="I28" s="310"/>
      <c r="J28" s="343">
        <f>(J18/J$15)*100</f>
        <v>25</v>
      </c>
      <c r="K28" s="310"/>
      <c r="L28" s="343">
        <f>(L18/L$15)*100</f>
        <v>25</v>
      </c>
      <c r="M28" s="310"/>
      <c r="N28" s="343">
        <f>(N18/N$15)*100</f>
        <v>25</v>
      </c>
      <c r="O28" s="310"/>
      <c r="P28" s="310"/>
      <c r="Q28" s="310"/>
      <c r="R28" s="310"/>
      <c r="S28" s="310"/>
      <c r="T28" s="595">
        <f ca="1">(T18/T$15)*100</f>
        <v>26.659376259862238</v>
      </c>
      <c r="U28" s="596"/>
      <c r="V28" s="595">
        <f ca="1">(V18/V$15)*100</f>
        <v>28.022507873277792</v>
      </c>
      <c r="W28" s="596"/>
      <c r="X28" s="595">
        <f ca="1">(X18/X$15)*100</f>
        <v>28.09676681343592</v>
      </c>
      <c r="Y28" s="597"/>
      <c r="Z28" s="595">
        <f ca="1">(Z18/Z$15)*100</f>
        <v>28.161129715126808</v>
      </c>
      <c r="AA28" s="597"/>
    </row>
    <row r="29" spans="2:29">
      <c r="B29" s="109" t="str">
        <f>'Acq Sum Financials'!B24</f>
        <v>Net Income</v>
      </c>
      <c r="F29" s="343">
        <f ca="1">(F19/F$15)*100</f>
        <v>18.828463081108517</v>
      </c>
      <c r="G29" s="310"/>
      <c r="H29" s="343">
        <f ca="1">(H19/H$15)*100</f>
        <v>18.987594919718763</v>
      </c>
      <c r="I29" s="310"/>
      <c r="J29" s="343">
        <f ca="1">(J19/J$15)*100</f>
        <v>19.011077537078659</v>
      </c>
      <c r="K29" s="310"/>
      <c r="L29" s="343">
        <f ca="1">(L19/L$15)*100</f>
        <v>19.036750221003128</v>
      </c>
      <c r="M29" s="310"/>
      <c r="N29" s="343">
        <f ca="1">(N19/N$15)*100</f>
        <v>19.060147029416335</v>
      </c>
      <c r="O29" s="310"/>
      <c r="P29" s="598"/>
      <c r="Q29" s="310"/>
      <c r="R29" s="310"/>
      <c r="S29" s="310"/>
      <c r="T29" s="595">
        <f ca="1">(T19/T$15)*100</f>
        <v>17.817305309368063</v>
      </c>
      <c r="U29" s="596"/>
      <c r="V29" s="595">
        <f ca="1">(V19/V$15)*100</f>
        <v>19.722071632266822</v>
      </c>
      <c r="W29" s="596"/>
      <c r="X29" s="595">
        <f ca="1">(X19/X$15)*100</f>
        <v>20.186232994647806</v>
      </c>
      <c r="Y29" s="597"/>
      <c r="Z29" s="595">
        <f ca="1">(Z19/Z$15)*100</f>
        <v>20.393170604528365</v>
      </c>
      <c r="AA29" s="597"/>
    </row>
    <row r="30" spans="2:29">
      <c r="F30" s="343"/>
      <c r="H30" s="343"/>
      <c r="J30" s="343"/>
      <c r="L30" s="343"/>
      <c r="N30" s="343"/>
      <c r="P30" s="142" t="str">
        <f>"FY"&amp;FIXED(H14-2000,0)&amp;"-FY"&amp;FIXED(N14-2000,0)</f>
        <v>FY20-FY23</v>
      </c>
      <c r="T30" s="595"/>
      <c r="U30" s="10"/>
      <c r="V30" s="595"/>
      <c r="W30" s="10"/>
      <c r="X30" s="595"/>
      <c r="Y30" s="10"/>
      <c r="Z30" s="595"/>
      <c r="AA30" s="10"/>
      <c r="AB30" s="142" t="str">
        <f>"FY"&amp;FIXED(T14-2000,0)&amp;"-FY"&amp;FIXED(Z14-2000,0)</f>
        <v>FY20-FY23</v>
      </c>
    </row>
    <row r="31" spans="2:29">
      <c r="B31" s="139" t="str">
        <f>'Acq Proj'!B47</f>
        <v>Growth Rates</v>
      </c>
      <c r="F31" s="343"/>
      <c r="H31" s="343"/>
      <c r="J31" s="343"/>
      <c r="L31" s="343"/>
      <c r="N31" s="343"/>
      <c r="P31" s="599" t="s">
        <v>183</v>
      </c>
      <c r="T31" s="595"/>
      <c r="U31" s="10"/>
      <c r="V31" s="595"/>
      <c r="W31" s="10"/>
      <c r="X31" s="595"/>
      <c r="Y31" s="10"/>
      <c r="Z31" s="595"/>
      <c r="AA31" s="10"/>
      <c r="AB31" s="599" t="s">
        <v>183</v>
      </c>
    </row>
    <row r="32" spans="2:29">
      <c r="B32" s="109" t="str">
        <f>'Acq Sum Financials'!B28</f>
        <v>Net Sales</v>
      </c>
      <c r="C32" s="109"/>
      <c r="D32" s="109"/>
      <c r="E32" s="109"/>
      <c r="F32" s="103">
        <f>'Acq Sum Financials'!AB28</f>
        <v>19.999999999999996</v>
      </c>
      <c r="G32" s="3" t="s">
        <v>166</v>
      </c>
      <c r="H32" s="343">
        <f>IF(AND(H15&gt;=0,F15&gt;=0),(H15/F15-1)*100,"NM")</f>
        <v>16.666666666666675</v>
      </c>
      <c r="I32" s="3" t="s">
        <v>166</v>
      </c>
      <c r="J32" s="343">
        <f>IF(AND(J15&gt;=0,H15&gt;=0),(J15/H15-1)*100,"NM")</f>
        <v>14.285714285714279</v>
      </c>
      <c r="K32" s="3" t="s">
        <v>166</v>
      </c>
      <c r="L32" s="343">
        <f>IF(AND(L15&gt;=0,J15&gt;=0),(L15/J15-1)*100,"NM")</f>
        <v>12.5</v>
      </c>
      <c r="M32" s="3" t="s">
        <v>166</v>
      </c>
      <c r="N32" s="343">
        <f>IF(AND(N15&gt;=0,L15&gt;=0),(N15/L15-1)*100,"NM")</f>
        <v>12.5</v>
      </c>
      <c r="O32" s="3" t="s">
        <v>166</v>
      </c>
      <c r="P32" s="343">
        <f>((N15/H15)^(1/3)-1)*100</f>
        <v>13.092116169373069</v>
      </c>
      <c r="Q32" s="3" t="s">
        <v>166</v>
      </c>
      <c r="T32" s="600">
        <v>0</v>
      </c>
      <c r="U32" s="10"/>
      <c r="V32" s="595">
        <f>IF(AND(V15&gt;=0,T15&gt;=0),(V15/T15-1)*100,"NM")</f>
        <v>13.076923076923075</v>
      </c>
      <c r="W32" s="10" t="s">
        <v>166</v>
      </c>
      <c r="X32" s="595">
        <f>IF(AND(X15&gt;=0,V15&gt;=0),(X15/V15-1)*100,"NM")</f>
        <v>11.814058956916096</v>
      </c>
      <c r="Y32" s="10" t="s">
        <v>166</v>
      </c>
      <c r="Z32" s="595">
        <f>IF(AND(Z15&gt;=0,X15&gt;=0),(Z15/X15-1)*100,"NM")</f>
        <v>11.825187588724418</v>
      </c>
      <c r="AA32" s="10" t="s">
        <v>166</v>
      </c>
      <c r="AB32" s="343">
        <f>((Z15/T15)^(1/3)-1)*100</f>
        <v>12.23716206760348</v>
      </c>
      <c r="AC32" s="3" t="s">
        <v>166</v>
      </c>
    </row>
    <row r="33" spans="2:29">
      <c r="B33" s="109" t="str">
        <f>'Acq Sum Financials'!B29</f>
        <v>EBITDA</v>
      </c>
      <c r="C33" s="109"/>
      <c r="D33" s="109"/>
      <c r="E33" s="109"/>
      <c r="F33" s="103">
        <f>'Acq Sum Financials'!AB29</f>
        <v>25.240696964478637</v>
      </c>
      <c r="G33" s="601"/>
      <c r="H33" s="343">
        <f>IF(AND(H17&gt;=0,F17&gt;=0),(H17/F17-1)*100,"NM")</f>
        <v>12.5</v>
      </c>
      <c r="I33" s="602"/>
      <c r="J33" s="343">
        <f>IF(AND(J17&gt;=0,H17&gt;=0),(J17/H17-1)*100,"NM")</f>
        <v>14.285714285714279</v>
      </c>
      <c r="K33" s="602"/>
      <c r="L33" s="343">
        <f>IF(AND(L17&gt;=0,J17&gt;=0),(L17/J17-1)*100,"NM")</f>
        <v>12.5</v>
      </c>
      <c r="M33" s="601"/>
      <c r="N33" s="343">
        <f>IF(AND(N17&gt;=0,L17&gt;=0),(N17/L17-1)*100,"NM")</f>
        <v>12.5</v>
      </c>
      <c r="O33" s="601"/>
      <c r="P33" s="343">
        <f>((N17/H17)^(1/3)-1)*100</f>
        <v>13.092116169373069</v>
      </c>
      <c r="Q33" s="601"/>
      <c r="R33" s="601"/>
      <c r="S33" s="601"/>
      <c r="T33" s="600">
        <v>0</v>
      </c>
      <c r="U33" s="603"/>
      <c r="V33" s="595">
        <f ca="1">IF(AND(V17&gt;=0,T17&gt;=0),(V17/T17-1)*100,"NM")</f>
        <v>17.003503742634173</v>
      </c>
      <c r="W33" s="603"/>
      <c r="X33" s="595">
        <f ca="1">IF(AND(X17&gt;=0,V17&gt;=0),(X17/V17-1)*100,"NM")</f>
        <v>11.719604627052259</v>
      </c>
      <c r="Y33" s="603"/>
      <c r="Z33" s="595">
        <f ca="1">IF(AND(Z17&gt;=0,X17&gt;=0),(Z17/X17-1)*100,"NM")</f>
        <v>11.731616587698991</v>
      </c>
      <c r="AA33" s="603"/>
      <c r="AB33" s="343">
        <f ca="1">((Z17/T17)^(1/3)-1)*100</f>
        <v>13.457910178072453</v>
      </c>
      <c r="AC33" s="601"/>
    </row>
    <row r="34" spans="2:29">
      <c r="B34" s="109" t="str">
        <f>'Acq Sum Financials'!B30</f>
        <v>EBIT</v>
      </c>
      <c r="C34" s="109"/>
      <c r="D34" s="109"/>
      <c r="E34" s="109"/>
      <c r="F34" s="103">
        <f>'Acq Sum Financials'!AB30</f>
        <v>3.3111214422232749</v>
      </c>
      <c r="G34" s="601"/>
      <c r="H34" s="343">
        <f>IF(AND(H18&gt;=0,F18&gt;=0),(H18/F18-1)*100,"NM")</f>
        <v>16.666666666666675</v>
      </c>
      <c r="I34" s="602"/>
      <c r="J34" s="343">
        <f>IF(AND(J18&gt;=0,H18&gt;=0),(J18/H18-1)*100,"NM")</f>
        <v>14.285714285714279</v>
      </c>
      <c r="K34" s="602"/>
      <c r="L34" s="343">
        <f>IF(AND(L18&gt;=0,J18&gt;=0),(L18/J18-1)*100,"NM")</f>
        <v>12.5</v>
      </c>
      <c r="M34" s="601"/>
      <c r="N34" s="343">
        <f>IF(AND(N18&gt;=0,L18&gt;=0),(N18/L18-1)*100,"NM")</f>
        <v>12.5</v>
      </c>
      <c r="O34" s="601"/>
      <c r="P34" s="343">
        <f>((N18/H18)^(1/3)-1)*100</f>
        <v>13.092116169373069</v>
      </c>
      <c r="Q34" s="601"/>
      <c r="R34" s="601"/>
      <c r="S34" s="601"/>
      <c r="T34" s="600">
        <v>0</v>
      </c>
      <c r="U34" s="603"/>
      <c r="V34" s="595">
        <f ca="1">IF(AND(V18&gt;=0,T18&gt;=0),(V18/T18-1)*100,"NM")</f>
        <v>18.858706082325938</v>
      </c>
      <c r="W34" s="603"/>
      <c r="X34" s="595">
        <f ca="1">IF(AND(X18&gt;=0,V18&gt;=0),(X18/V18-1)*100,"NM")</f>
        <v>12.110363397277668</v>
      </c>
      <c r="Y34" s="603"/>
      <c r="Z34" s="595">
        <f ca="1">IF(AND(Z18&gt;=0,X18&gt;=0),(Z18/X18-1)*100,"NM")</f>
        <v>12.081352064983509</v>
      </c>
      <c r="AA34" s="603"/>
      <c r="AB34" s="343">
        <f ca="1">((Z18/T18)^(1/3)-1)*100</f>
        <v>14.30626649231359</v>
      </c>
      <c r="AC34" s="601"/>
    </row>
    <row r="35" spans="2:29">
      <c r="B35" s="109" t="str">
        <f>'Acq Sum Financials'!B31</f>
        <v>Net Income</v>
      </c>
      <c r="C35" s="109"/>
      <c r="D35" s="109"/>
      <c r="E35" s="109"/>
      <c r="F35" s="103">
        <f ca="1">'Acq Sum Financials'!AB31</f>
        <v>8.6472951839257952</v>
      </c>
      <c r="G35" s="601"/>
      <c r="H35" s="343">
        <f ca="1">IF(AND(H19&gt;=0,F19&gt;=0),(H19/F19-1)*100,"NM")</f>
        <v>17.652694102428157</v>
      </c>
      <c r="I35" s="602"/>
      <c r="J35" s="343">
        <f ca="1">IF(AND(J19&gt;=0,H19&gt;=0),(J19/H19-1)*100,"NM")</f>
        <v>14.427055393401744</v>
      </c>
      <c r="K35" s="602"/>
      <c r="L35" s="343">
        <f ca="1">IF(AND(L19&gt;=0,J19&gt;=0),(L19/J19-1)*100,"NM")</f>
        <v>12.651920738625666</v>
      </c>
      <c r="M35" s="601"/>
      <c r="N35" s="343">
        <f ca="1">IF(AND(N19&gt;=0,L19&gt;=0),(N19/L19-1)*100,"NM")</f>
        <v>12.638266296291567</v>
      </c>
      <c r="O35" s="601"/>
      <c r="P35" s="343">
        <f ca="1">((N19/H19)^(1/3)-1)*100</f>
        <v>13.235975764394503</v>
      </c>
      <c r="Q35" s="601"/>
      <c r="R35" s="601"/>
      <c r="S35" s="601"/>
      <c r="T35" s="600">
        <v>0</v>
      </c>
      <c r="U35" s="603"/>
      <c r="V35" s="595">
        <f ca="1">IF(AND(V19&gt;=0,T19&gt;=0),(V19/T19-1)*100,"NM")</f>
        <v>25.165457860052733</v>
      </c>
      <c r="W35" s="603"/>
      <c r="X35" s="595">
        <f ca="1">IF(AND(X19&gt;=0,V19&gt;=0),(X19/V19-1)*100,"NM")</f>
        <v>14.445616478179634</v>
      </c>
      <c r="Y35" s="603"/>
      <c r="Z35" s="595">
        <f ca="1">IF(AND(Z19&gt;=0,X19&gt;=0),(Z19/X19-1)*100,"NM")</f>
        <v>12.971554870336167</v>
      </c>
      <c r="AA35" s="603"/>
      <c r="AB35" s="343">
        <f ca="1">((Z19/T19)^(1/3)-1)*100</f>
        <v>17.404367668458232</v>
      </c>
      <c r="AC35" s="601"/>
    </row>
    <row r="36" spans="2:29">
      <c r="B36" s="109" t="str">
        <f>'Acq Sum Financials'!B32</f>
        <v>Diluted EPS</v>
      </c>
      <c r="C36" s="109"/>
      <c r="D36" s="109"/>
      <c r="E36" s="109"/>
      <c r="F36" s="103">
        <f ca="1">'Acq Sum Financials'!AB32</f>
        <v>-0.93862569861560274</v>
      </c>
      <c r="G36" s="601"/>
      <c r="H36" s="343">
        <f ca="1">IF(AND(H20&gt;=0,F20&gt;=0),(H20/F20-1)*100,"NM")</f>
        <v>17.652694102428157</v>
      </c>
      <c r="I36" s="602"/>
      <c r="J36" s="343">
        <f ca="1">IF(AND(J20&gt;=0,H20&gt;=0),(J20/H20-1)*100,"NM")</f>
        <v>14.427055393401744</v>
      </c>
      <c r="K36" s="602"/>
      <c r="L36" s="343">
        <f ca="1">IF(AND(L20&gt;=0,J20&gt;=0),(L20/J20-1)*100,"NM")</f>
        <v>12.651920738625666</v>
      </c>
      <c r="M36" s="601"/>
      <c r="N36" s="343">
        <f ca="1">IF(AND(N20&gt;=0,L20&gt;=0),(N20/L20-1)*100,"NM")</f>
        <v>12.638266296291567</v>
      </c>
      <c r="O36" s="601"/>
      <c r="P36" s="343">
        <f ca="1">((N20/H20)^(1/3)-1)*100</f>
        <v>13.235975764394482</v>
      </c>
      <c r="Q36" s="601"/>
      <c r="R36" s="601"/>
      <c r="S36" s="601"/>
      <c r="T36" s="600">
        <v>0</v>
      </c>
      <c r="U36" s="603"/>
      <c r="V36" s="595">
        <f ca="1">IF(AND(V20&gt;=0,T20&gt;=0),(V20/T20-1)*100,"NM")</f>
        <v>25.165457860052733</v>
      </c>
      <c r="W36" s="603"/>
      <c r="X36" s="595">
        <f ca="1">IF(AND(X20&gt;=0,V20&gt;=0),(X20/V20-1)*100,"NM")</f>
        <v>14.445616478179634</v>
      </c>
      <c r="Y36" s="603"/>
      <c r="Z36" s="595">
        <f ca="1">IF(AND(Z20&gt;=0,X20&gt;=0),(Z20/X20-1)*100,"NM")</f>
        <v>12.971554870336167</v>
      </c>
      <c r="AA36" s="603"/>
      <c r="AB36" s="343">
        <f ca="1">((Z20/T20)^(1/3)-1)*100</f>
        <v>17.404367668458232</v>
      </c>
      <c r="AC36" s="601"/>
    </row>
    <row r="37" spans="2:29">
      <c r="T37" s="10"/>
      <c r="U37" s="10"/>
      <c r="V37" s="10"/>
      <c r="W37" s="10"/>
      <c r="X37" s="10"/>
      <c r="Y37" s="10"/>
      <c r="Z37" s="10"/>
      <c r="AA37" s="10"/>
    </row>
    <row r="38" spans="2:29">
      <c r="B38" s="139" t="s">
        <v>287</v>
      </c>
      <c r="T38" s="10"/>
      <c r="U38" s="10"/>
      <c r="V38" s="10"/>
      <c r="W38" s="10"/>
      <c r="X38" s="10"/>
      <c r="Y38" s="10"/>
      <c r="Z38" s="10"/>
      <c r="AA38" s="10"/>
    </row>
    <row r="39" spans="2:29" s="299" customFormat="1">
      <c r="B39" s="354" t="str">
        <f>'Acq Sum Financials'!B35</f>
        <v>Cash</v>
      </c>
      <c r="C39" s="354"/>
      <c r="D39" s="354"/>
      <c r="E39" s="354"/>
      <c r="F39" s="352">
        <f ca="1">'Acq Sum Financials'!AB35</f>
        <v>78.243958020562602</v>
      </c>
      <c r="G39" s="352"/>
      <c r="H39" s="352">
        <f ca="1">'Acq Sum Financials'!AD35</f>
        <v>99.160248702781644</v>
      </c>
      <c r="I39" s="352"/>
      <c r="J39" s="352">
        <f ca="1">'Acq Sum Financials'!AF35</f>
        <v>123.62591627100599</v>
      </c>
      <c r="K39" s="352"/>
      <c r="L39" s="352">
        <f ca="1">'Acq Sum Financials'!AH35</f>
        <v>151.65429589199584</v>
      </c>
      <c r="M39" s="352"/>
      <c r="N39" s="352">
        <f ca="1">'Acq Sum Financials'!AJ35</f>
        <v>183.30449587764616</v>
      </c>
      <c r="O39" s="604"/>
      <c r="P39" s="604"/>
      <c r="Q39" s="604"/>
      <c r="R39" s="604"/>
      <c r="S39" s="604"/>
      <c r="T39" s="605">
        <f ca="1">Merger!M313</f>
        <v>20.000000000000007</v>
      </c>
      <c r="U39" s="605"/>
      <c r="V39" s="605">
        <f ca="1">Merger!N313</f>
        <v>35.293155253287559</v>
      </c>
      <c r="W39" s="605"/>
      <c r="X39" s="605">
        <f ca="1">Merger!O313</f>
        <v>80.22605243176443</v>
      </c>
      <c r="Y39" s="606"/>
      <c r="Z39" s="605">
        <f ca="1">Merger!P313</f>
        <v>130.77874991338345</v>
      </c>
      <c r="AA39" s="607"/>
      <c r="AB39" s="298"/>
      <c r="AC39" s="298"/>
    </row>
    <row r="40" spans="2:29">
      <c r="B40" s="354" t="str">
        <f>'Acq Sum Financials'!B36</f>
        <v>Total Debt</v>
      </c>
      <c r="C40" s="109"/>
      <c r="D40" s="109"/>
      <c r="E40" s="109"/>
      <c r="F40" s="103">
        <f ca="1">'Acq Sum Financials'!AB36</f>
        <v>0</v>
      </c>
      <c r="G40" s="103"/>
      <c r="H40" s="103">
        <f ca="1">'Acq Sum Financials'!AD36</f>
        <v>0</v>
      </c>
      <c r="I40" s="103"/>
      <c r="J40" s="103">
        <f ca="1">'Acq Sum Financials'!AF36</f>
        <v>0</v>
      </c>
      <c r="K40" s="103"/>
      <c r="L40" s="103">
        <f ca="1">'Acq Sum Financials'!AH36</f>
        <v>0</v>
      </c>
      <c r="M40" s="103"/>
      <c r="N40" s="103">
        <f ca="1">'Acq Sum Financials'!AJ36</f>
        <v>0</v>
      </c>
      <c r="O40" s="357"/>
      <c r="P40" s="357"/>
      <c r="Q40" s="357"/>
      <c r="R40" s="357"/>
      <c r="S40" s="357"/>
      <c r="T40" s="608">
        <f ca="1">Merger!M329</f>
        <v>63.75910879508114</v>
      </c>
      <c r="U40" s="608"/>
      <c r="V40" s="608">
        <f ca="1">Merger!N329</f>
        <v>40</v>
      </c>
      <c r="W40" s="608"/>
      <c r="X40" s="608">
        <f ca="1">Merger!O329</f>
        <v>40</v>
      </c>
      <c r="Y40" s="490"/>
      <c r="Z40" s="608">
        <f ca="1">Merger!P329</f>
        <v>40</v>
      </c>
      <c r="AA40" s="609"/>
    </row>
    <row r="41" spans="2:29">
      <c r="B41" s="354" t="str">
        <f>'Acq Sum Financials'!B37</f>
        <v>Depreciation and Amortization</v>
      </c>
      <c r="C41" s="109"/>
      <c r="D41" s="109"/>
      <c r="E41" s="109"/>
      <c r="F41" s="103">
        <f>'Acq Sum Financials'!AB37</f>
        <v>10</v>
      </c>
      <c r="G41" s="103"/>
      <c r="H41" s="103">
        <f>'Acq Sum Financials'!AD37</f>
        <v>10</v>
      </c>
      <c r="I41" s="103"/>
      <c r="J41" s="103">
        <f>'Acq Sum Financials'!AF37</f>
        <v>11.428571428571427</v>
      </c>
      <c r="K41" s="103"/>
      <c r="L41" s="103">
        <f>'Acq Sum Financials'!AH37</f>
        <v>12.857142857142856</v>
      </c>
      <c r="M41" s="103"/>
      <c r="N41" s="103">
        <f>'Acq Sum Financials'!AJ37</f>
        <v>14.464285714285714</v>
      </c>
      <c r="O41" s="357"/>
      <c r="P41" s="357"/>
      <c r="Q41" s="357"/>
      <c r="R41" s="357"/>
      <c r="S41" s="357"/>
      <c r="T41" s="608">
        <f ca="1">Merger!M290</f>
        <v>17.014216293268628</v>
      </c>
      <c r="U41" s="608"/>
      <c r="V41" s="608">
        <f ca="1">Merger!N290</f>
        <v>18.942787721840059</v>
      </c>
      <c r="W41" s="608"/>
      <c r="X41" s="608">
        <f ca="1">Merger!O290</f>
        <v>20.921359150411487</v>
      </c>
      <c r="Y41" s="490"/>
      <c r="Z41" s="608">
        <f ca="1">Merger!P290</f>
        <v>23.133502007554345</v>
      </c>
      <c r="AA41" s="609"/>
    </row>
    <row r="42" spans="2:29">
      <c r="B42" s="354" t="str">
        <f>'Acq Sum Financials'!B38</f>
        <v>Capital Expenditures</v>
      </c>
      <c r="C42" s="109"/>
      <c r="D42" s="109"/>
      <c r="E42" s="109"/>
      <c r="F42" s="103">
        <f>'Acq Sum Financials'!AB38</f>
        <v>-10</v>
      </c>
      <c r="G42" s="103"/>
      <c r="H42" s="103">
        <f>'Acq Sum Financials'!AD38</f>
        <v>-12</v>
      </c>
      <c r="I42" s="103"/>
      <c r="J42" s="103">
        <f>'Acq Sum Financials'!AF38</f>
        <v>-13.714285714285715</v>
      </c>
      <c r="K42" s="103"/>
      <c r="L42" s="103">
        <f>'Acq Sum Financials'!AH38</f>
        <v>-15.428571428571429</v>
      </c>
      <c r="M42" s="103"/>
      <c r="N42" s="103">
        <f>'Acq Sum Financials'!AJ38</f>
        <v>-17.357142857142858</v>
      </c>
      <c r="O42" s="357"/>
      <c r="P42" s="357"/>
      <c r="Q42" s="357"/>
      <c r="R42" s="357"/>
      <c r="S42" s="357"/>
      <c r="T42" s="608">
        <f>Merger!M359</f>
        <v>-17.5</v>
      </c>
      <c r="U42" s="608"/>
      <c r="V42" s="608">
        <f>Merger!N359</f>
        <v>-19.764285714285716</v>
      </c>
      <c r="W42" s="608"/>
      <c r="X42" s="608">
        <f>Merger!O359</f>
        <v>-22.083571428571432</v>
      </c>
      <c r="Y42" s="490"/>
      <c r="Z42" s="608">
        <f>Merger!P359</f>
        <v>-24.677642857142864</v>
      </c>
      <c r="AA42" s="609"/>
    </row>
    <row r="43" spans="2:29">
      <c r="B43" s="354" t="str">
        <f>'Acq Sum Financials'!B39</f>
        <v>Change in Net Working Capital</v>
      </c>
      <c r="C43" s="109"/>
      <c r="D43" s="109"/>
      <c r="E43" s="109"/>
      <c r="F43" s="103">
        <f>'Acq Sum Financials'!AB39</f>
        <v>-3.1554565656565678</v>
      </c>
      <c r="G43" s="103"/>
      <c r="H43" s="103">
        <f>'Acq Sum Financials'!AD39</f>
        <v>-3.0991872053872171</v>
      </c>
      <c r="I43" s="103"/>
      <c r="J43" s="103">
        <f>'Acq Sum Financials'!AF39</f>
        <v>-3.09918720538721</v>
      </c>
      <c r="K43" s="103"/>
      <c r="L43" s="103">
        <f>'Acq Sum Financials'!AH39</f>
        <v>-3.09918720538721</v>
      </c>
      <c r="M43" s="103"/>
      <c r="N43" s="103">
        <f>'Acq Sum Financials'!AJ39</f>
        <v>-3.4865856060606149</v>
      </c>
      <c r="O43" s="357"/>
      <c r="P43" s="357"/>
      <c r="Q43" s="357"/>
      <c r="R43" s="357"/>
      <c r="S43" s="357"/>
      <c r="T43" s="608">
        <f>Merger!M356</f>
        <v>-3.6504788720538919</v>
      </c>
      <c r="U43" s="608"/>
      <c r="V43" s="608">
        <f>Merger!N356</f>
        <v>-3.7056080387205412</v>
      </c>
      <c r="W43" s="608"/>
      <c r="X43" s="608">
        <f>Merger!O356</f>
        <v>-3.7662501220538829</v>
      </c>
      <c r="Y43" s="490"/>
      <c r="Z43" s="608">
        <f>Merger!P356</f>
        <v>-4.2203548143939358</v>
      </c>
      <c r="AA43" s="609"/>
    </row>
    <row r="44" spans="2:29">
      <c r="B44" s="354" t="str">
        <f>'Acq Sum Financials'!B40</f>
        <v>Free Cash Flow (b)</v>
      </c>
      <c r="F44" s="343">
        <f ca="1">+F60</f>
        <v>19.438699131673655</v>
      </c>
      <c r="G44" s="610"/>
      <c r="H44" s="343">
        <f ca="1">+H60</f>
        <v>21.483445682219049</v>
      </c>
      <c r="I44" s="357"/>
      <c r="J44" s="343">
        <f ca="1">+J60</f>
        <v>25.032822568224354</v>
      </c>
      <c r="K44" s="357"/>
      <c r="L44" s="343">
        <f ca="1">+L60</f>
        <v>28.595534620989845</v>
      </c>
      <c r="M44" s="610"/>
      <c r="N44" s="343">
        <f ca="1">+N60</f>
        <v>32.217354985650317</v>
      </c>
      <c r="O44" s="610"/>
      <c r="P44" s="610"/>
      <c r="Q44" s="610"/>
      <c r="R44" s="610"/>
      <c r="S44" s="610"/>
      <c r="T44" s="343">
        <f ca="1">+T60</f>
        <v>29.926557771477803</v>
      </c>
      <c r="U44" s="611"/>
      <c r="V44" s="343">
        <f ca="1">+V60</f>
        <v>39.659007844664984</v>
      </c>
      <c r="W44" s="611"/>
      <c r="X44" s="343">
        <f ca="1">+X60</f>
        <v>45.539640974773178</v>
      </c>
      <c r="Y44" s="612"/>
      <c r="Z44" s="343">
        <f ca="1">+Z60</f>
        <v>51.159441277915313</v>
      </c>
      <c r="AA44" s="612"/>
    </row>
    <row r="45" spans="2:29">
      <c r="T45" s="10"/>
      <c r="U45" s="10"/>
      <c r="V45" s="10"/>
      <c r="W45" s="10"/>
      <c r="X45" s="10"/>
      <c r="Y45" s="10"/>
      <c r="Z45" s="10"/>
      <c r="AA45" s="10"/>
    </row>
    <row r="46" spans="2:29">
      <c r="B46" s="139" t="s">
        <v>288</v>
      </c>
      <c r="R46" s="613">
        <f>+F14</f>
        <v>2019</v>
      </c>
      <c r="T46" s="10"/>
      <c r="U46" s="10"/>
      <c r="V46" s="10"/>
      <c r="W46" s="10"/>
      <c r="X46" s="10"/>
      <c r="Y46" s="10"/>
      <c r="Z46" s="10"/>
      <c r="AA46" s="10"/>
    </row>
    <row r="47" spans="2:29" s="351" customFormat="1">
      <c r="B47" s="355" t="str">
        <f>'Acq Sum Financials'!B43</f>
        <v>Adjusted Debt / EBITDAR (c)</v>
      </c>
      <c r="C47" s="355"/>
      <c r="D47" s="355"/>
      <c r="E47" s="355"/>
      <c r="F47" s="103">
        <f ca="1">'Acq Sum Financials'!AB43</f>
        <v>0.85714285714285721</v>
      </c>
      <c r="G47" s="614" t="s">
        <v>167</v>
      </c>
      <c r="H47" s="103">
        <f ca="1">'Acq Sum Financials'!AD43</f>
        <v>0.88537549407114635</v>
      </c>
      <c r="I47" s="614" t="s">
        <v>167</v>
      </c>
      <c r="J47" s="103">
        <f ca="1">'Acq Sum Financials'!AF43</f>
        <v>0.88537549407114624</v>
      </c>
      <c r="K47" s="614" t="s">
        <v>167</v>
      </c>
      <c r="L47" s="103">
        <f ca="1">'Acq Sum Financials'!AH43</f>
        <v>0.88537549407114635</v>
      </c>
      <c r="M47" s="614" t="s">
        <v>167</v>
      </c>
      <c r="N47" s="103">
        <f ca="1">'Acq Sum Financials'!AJ43</f>
        <v>0.88537549407114635</v>
      </c>
      <c r="O47" s="615" t="s">
        <v>167</v>
      </c>
      <c r="P47" s="310"/>
      <c r="Q47" s="310"/>
      <c r="R47" s="103">
        <f ca="1">Merger!L188</f>
        <v>2.2558417837122882</v>
      </c>
      <c r="S47" s="595" t="s">
        <v>167</v>
      </c>
      <c r="T47" s="103">
        <f ca="1">Merger!M188</f>
        <v>1.5833412430971976</v>
      </c>
      <c r="U47" s="595" t="s">
        <v>167</v>
      </c>
      <c r="V47" s="103">
        <f ca="1">Merger!N188</f>
        <v>1.1750276691350428</v>
      </c>
      <c r="W47" s="595" t="s">
        <v>167</v>
      </c>
      <c r="X47" s="103">
        <f ca="1">Merger!O188</f>
        <v>1.1292672082113395</v>
      </c>
      <c r="Y47" s="595" t="s">
        <v>167</v>
      </c>
      <c r="Z47" s="103">
        <f ca="1">Merger!P188</f>
        <v>1.088431350679304</v>
      </c>
      <c r="AA47" s="595" t="s">
        <v>167</v>
      </c>
      <c r="AB47" s="310"/>
      <c r="AC47" s="310"/>
    </row>
    <row r="48" spans="2:29" s="351" customFormat="1">
      <c r="B48" s="355" t="str">
        <f>'Acq Sum Financials'!B44</f>
        <v>Total Debt / EBITDA</v>
      </c>
      <c r="C48" s="355"/>
      <c r="D48" s="355"/>
      <c r="E48" s="355"/>
      <c r="F48" s="103" t="str">
        <f ca="1">'Acq Sum Financials'!AB44</f>
        <v>NM</v>
      </c>
      <c r="G48" s="616"/>
      <c r="H48" s="103" t="str">
        <f ca="1">'Acq Sum Financials'!AD44</f>
        <v>NM</v>
      </c>
      <c r="I48" s="616"/>
      <c r="J48" s="103" t="str">
        <f ca="1">'Acq Sum Financials'!AF44</f>
        <v>NM</v>
      </c>
      <c r="K48" s="616"/>
      <c r="L48" s="103" t="str">
        <f ca="1">'Acq Sum Financials'!AH44</f>
        <v>NM</v>
      </c>
      <c r="M48" s="616"/>
      <c r="N48" s="103" t="str">
        <f ca="1">'Acq Sum Financials'!AJ44</f>
        <v>NM</v>
      </c>
      <c r="O48" s="602"/>
      <c r="P48" s="310"/>
      <c r="Q48" s="310"/>
      <c r="R48" s="103">
        <f ca="1">Merger!L192</f>
        <v>1.6666666666666667</v>
      </c>
      <c r="S48" s="596"/>
      <c r="T48" s="103">
        <f ca="1">Merger!M192</f>
        <v>0.92404505500117595</v>
      </c>
      <c r="U48" s="596"/>
      <c r="V48" s="103">
        <f ca="1">Merger!N192</f>
        <v>0.49546391892903568</v>
      </c>
      <c r="W48" s="596"/>
      <c r="X48" s="103">
        <f ca="1">Merger!O192</f>
        <v>0.44348878657691015</v>
      </c>
      <c r="Y48" s="596"/>
      <c r="Z48" s="103">
        <f ca="1">Merger!P192</f>
        <v>0.39692327035187258</v>
      </c>
      <c r="AA48" s="596"/>
      <c r="AB48" s="310"/>
      <c r="AC48" s="310"/>
    </row>
    <row r="49" spans="2:240" s="351" customFormat="1">
      <c r="B49" s="355" t="str">
        <f>'Acq Sum Financials'!B45</f>
        <v>Net Debt / EBITDA</v>
      </c>
      <c r="C49" s="355"/>
      <c r="D49" s="355"/>
      <c r="E49" s="355"/>
      <c r="F49" s="103" t="str">
        <f ca="1">'Acq Sum Financials'!AB45</f>
        <v>NM</v>
      </c>
      <c r="G49" s="616"/>
      <c r="H49" s="103" t="str">
        <f ca="1">'Acq Sum Financials'!AD45</f>
        <v>NM</v>
      </c>
      <c r="I49" s="616"/>
      <c r="J49" s="103" t="str">
        <f ca="1">'Acq Sum Financials'!AF45</f>
        <v>NM</v>
      </c>
      <c r="K49" s="616"/>
      <c r="L49" s="103" t="str">
        <f ca="1">'Acq Sum Financials'!AH45</f>
        <v>NM</v>
      </c>
      <c r="M49" s="616"/>
      <c r="N49" s="103" t="str">
        <f ca="1">'Acq Sum Financials'!AJ45</f>
        <v>NM</v>
      </c>
      <c r="O49" s="602"/>
      <c r="P49" s="310"/>
      <c r="Q49" s="310"/>
      <c r="R49" s="103">
        <f ca="1">Merger!L196</f>
        <v>1.217982046171044</v>
      </c>
      <c r="S49" s="617"/>
      <c r="T49" s="103">
        <f ca="1">Merger!M196</f>
        <v>0.63418998253740777</v>
      </c>
      <c r="U49" s="617"/>
      <c r="V49" s="103">
        <f ca="1">Merger!N196</f>
        <v>5.8301793599917266E-2</v>
      </c>
      <c r="W49" s="617"/>
      <c r="X49" s="103" t="str">
        <f ca="1">Merger!O196</f>
        <v>NM</v>
      </c>
      <c r="Y49" s="617"/>
      <c r="Z49" s="103" t="str">
        <f ca="1">Merger!P196</f>
        <v>NM</v>
      </c>
      <c r="AA49" s="617"/>
      <c r="AB49" s="310"/>
      <c r="AC49" s="310"/>
    </row>
    <row r="50" spans="2:240" s="351" customFormat="1">
      <c r="B50" s="355" t="str">
        <f>'Acq Sum Financials'!B46</f>
        <v>EBITDA / Interest, Net</v>
      </c>
      <c r="C50" s="355"/>
      <c r="D50" s="355"/>
      <c r="E50" s="355"/>
      <c r="F50" s="103" t="str">
        <f ca="1">'Acq Sum Financials'!AB46</f>
        <v>NM</v>
      </c>
      <c r="G50" s="616"/>
      <c r="H50" s="103" t="str">
        <f ca="1">'Acq Sum Financials'!AD46</f>
        <v>NM</v>
      </c>
      <c r="I50" s="616"/>
      <c r="J50" s="103" t="str">
        <f ca="1">'Acq Sum Financials'!AF46</f>
        <v>NM</v>
      </c>
      <c r="K50" s="616"/>
      <c r="L50" s="103" t="str">
        <f ca="1">'Acq Sum Financials'!AH46</f>
        <v>NM</v>
      </c>
      <c r="M50" s="616"/>
      <c r="N50" s="103" t="str">
        <f ca="1">'Acq Sum Financials'!AJ46</f>
        <v>NM</v>
      </c>
      <c r="O50" s="602"/>
      <c r="P50" s="310"/>
      <c r="Q50" s="310"/>
      <c r="R50" s="103">
        <f ca="1">Merger!L204</f>
        <v>8.7396464493929606</v>
      </c>
      <c r="S50" s="617"/>
      <c r="T50" s="103">
        <f ca="1">Merger!M204</f>
        <v>12.189111623990522</v>
      </c>
      <c r="U50" s="617"/>
      <c r="V50" s="103">
        <f ca="1">Merger!N204</f>
        <v>21.207761297023339</v>
      </c>
      <c r="W50" s="617"/>
      <c r="X50" s="103">
        <f ca="1">Merger!O204</f>
        <v>30.955100529727009</v>
      </c>
      <c r="Y50" s="617"/>
      <c r="Z50" s="103">
        <f ca="1">Merger!P204</f>
        <v>37.673120368957655</v>
      </c>
      <c r="AA50" s="617"/>
      <c r="AB50" s="310"/>
      <c r="AC50" s="310"/>
    </row>
    <row r="51" spans="2:240" s="351" customFormat="1">
      <c r="B51" s="355" t="str">
        <f>'Acq Sum Financials'!B47</f>
        <v>(EBITDA - Capex) / Interest, Net</v>
      </c>
      <c r="C51" s="355"/>
      <c r="D51" s="355"/>
      <c r="E51" s="355"/>
      <c r="F51" s="103" t="str">
        <f ca="1">'Acq Sum Financials'!AB47</f>
        <v>NM</v>
      </c>
      <c r="G51" s="616"/>
      <c r="H51" s="103" t="str">
        <f ca="1">'Acq Sum Financials'!AD47</f>
        <v>NM</v>
      </c>
      <c r="I51" s="616"/>
      <c r="J51" s="103" t="str">
        <f ca="1">'Acq Sum Financials'!AF47</f>
        <v>NM</v>
      </c>
      <c r="K51" s="616"/>
      <c r="L51" s="103" t="str">
        <f ca="1">'Acq Sum Financials'!AH47</f>
        <v>NM</v>
      </c>
      <c r="M51" s="616"/>
      <c r="N51" s="103" t="str">
        <f ca="1">'Acq Sum Financials'!AJ47</f>
        <v>NM</v>
      </c>
      <c r="O51" s="602"/>
      <c r="P51" s="310"/>
      <c r="Q51" s="310"/>
      <c r="R51" s="103">
        <f ca="1">Merger!L208</f>
        <v>7.2903217465352945</v>
      </c>
      <c r="S51" s="617"/>
      <c r="T51" s="103">
        <f ca="1">Merger!M208</f>
        <v>9.0976702700798828</v>
      </c>
      <c r="U51" s="617"/>
      <c r="V51" s="103">
        <f ca="1">Merger!N208</f>
        <v>16.015841295286311</v>
      </c>
      <c r="W51" s="617"/>
      <c r="X51" s="103">
        <f ca="1">Merger!O208</f>
        <v>23.375886329308411</v>
      </c>
      <c r="Y51" s="617"/>
      <c r="Z51" s="103">
        <f ca="1">Merger!P208</f>
        <v>28.447791914688047</v>
      </c>
      <c r="AA51" s="617"/>
      <c r="AB51" s="310"/>
      <c r="AC51" s="310"/>
    </row>
    <row r="52" spans="2:240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</row>
    <row r="53" spans="2:240" ht="13.5">
      <c r="B53" s="618" t="str">
        <f>"Note: "&amp;aticker&amp;"'s fiscal year ends "&amp;TEXT(afye,"mmmm d")&amp;"."</f>
        <v>Note: COLE's fiscal year ends December 31.</v>
      </c>
      <c r="C53" s="156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251"/>
      <c r="S53" s="251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</row>
    <row r="54" spans="2:240" ht="13.5">
      <c r="B54" s="619" t="str">
        <f>'Acq Sum Financials'!B49</f>
        <v>(a) Adjusted to exclude unusual and extraordinary items.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</row>
    <row r="55" spans="2:240" ht="13.5">
      <c r="B55" s="360" t="str">
        <f>"(b) "&amp;CHOOSE(mfcf,C62,C67)</f>
        <v>(b) Defined as Cash Flow from Operating Activities less Capital Expenditures.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</row>
    <row r="56" spans="2:240" ht="13.5">
      <c r="B56" s="619" t="str">
        <f>'Acq Sum Financials'!B51</f>
        <v>(c) Assumes 8.0 x rent methodology.</v>
      </c>
    </row>
    <row r="58" spans="2:240">
      <c r="B58" s="362" t="s">
        <v>626</v>
      </c>
      <c r="Y58" s="96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</row>
    <row r="59" spans="2:240">
      <c r="B59" s="362"/>
      <c r="Y59" s="96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</row>
    <row r="60" spans="2:240">
      <c r="C60" s="365">
        <v>1</v>
      </c>
      <c r="D60" s="4"/>
      <c r="F60" s="374">
        <f ca="1">CHOOSE(mfcf,F65,F74)</f>
        <v>19.438699131673655</v>
      </c>
      <c r="G60" s="375"/>
      <c r="H60" s="376">
        <f ca="1">CHOOSE(mfcf,H65,H74)</f>
        <v>21.483445682219049</v>
      </c>
      <c r="I60" s="375"/>
      <c r="J60" s="376">
        <f ca="1">CHOOSE(mfcf,J65,J74)</f>
        <v>25.032822568224354</v>
      </c>
      <c r="K60" s="375"/>
      <c r="L60" s="376">
        <f ca="1">CHOOSE(mfcf,L65,L74)</f>
        <v>28.595534620989845</v>
      </c>
      <c r="M60" s="375"/>
      <c r="N60" s="376">
        <f ca="1">CHOOSE(mfcf,N65,N74)</f>
        <v>32.217354985650317</v>
      </c>
      <c r="O60" s="375"/>
      <c r="P60" s="376"/>
      <c r="Q60" s="375"/>
      <c r="R60" s="376"/>
      <c r="S60" s="375"/>
      <c r="T60" s="376">
        <f ca="1">CHOOSE(mfcf,T65,T74)</f>
        <v>29.926557771477803</v>
      </c>
      <c r="U60" s="375"/>
      <c r="V60" s="376">
        <f ca="1">CHOOSE(mfcf,V65,V74)</f>
        <v>39.659007844664984</v>
      </c>
      <c r="W60" s="375"/>
      <c r="X60" s="376">
        <f ca="1">CHOOSE(mfcf,X65,X74)</f>
        <v>45.539640974773178</v>
      </c>
      <c r="Y60" s="375"/>
      <c r="Z60" s="378">
        <f ca="1">CHOOSE(mfcf,Z65,Z74)</f>
        <v>51.159441277915313</v>
      </c>
      <c r="AA60" s="4"/>
      <c r="AB60" s="146"/>
      <c r="AC60" s="4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</row>
    <row r="61" spans="2:240" ht="13.5">
      <c r="C61" s="373"/>
      <c r="D61" s="372"/>
      <c r="P61" s="4"/>
      <c r="Q61" s="4"/>
      <c r="R61" s="4"/>
      <c r="S61" s="4"/>
      <c r="AB61" s="4"/>
      <c r="AC61" s="4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</row>
    <row r="62" spans="2:240">
      <c r="B62" s="379" t="s">
        <v>627</v>
      </c>
      <c r="C62" s="109" t="str">
        <f>'Acq Sum Financials'!C65</f>
        <v>Defined as Cash Flow from Operating Activities less Capital Expenditures.</v>
      </c>
      <c r="P62" s="4"/>
      <c r="Q62" s="4"/>
      <c r="R62" s="4"/>
      <c r="S62" s="4"/>
      <c r="AB62" s="4"/>
      <c r="AC62" s="4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</row>
    <row r="63" spans="2:240">
      <c r="B63" s="3" t="s">
        <v>629</v>
      </c>
      <c r="F63" s="620"/>
      <c r="G63" s="4"/>
      <c r="H63" s="620"/>
      <c r="I63" s="4"/>
      <c r="J63" s="620"/>
      <c r="K63" s="4"/>
      <c r="L63" s="620"/>
      <c r="M63" s="4"/>
      <c r="N63" s="620"/>
      <c r="P63" s="621"/>
      <c r="Q63" s="4"/>
      <c r="R63" s="621"/>
      <c r="S63" s="4"/>
      <c r="T63" s="113">
        <f ca="1">Merger!M357</f>
        <v>47.426557771477803</v>
      </c>
      <c r="U63" s="235"/>
      <c r="V63" s="113">
        <f ca="1">Merger!N357</f>
        <v>59.423293558950704</v>
      </c>
      <c r="W63" s="235"/>
      <c r="X63" s="113">
        <f ca="1">Merger!O357</f>
        <v>67.62321240334461</v>
      </c>
      <c r="Y63" s="235"/>
      <c r="Z63" s="113">
        <f ca="1">Merger!P357</f>
        <v>75.837084135058177</v>
      </c>
      <c r="AA63" s="620"/>
      <c r="AB63" s="620"/>
      <c r="AC63" s="4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</row>
    <row r="64" spans="2:240">
      <c r="B64" s="3" t="s">
        <v>122</v>
      </c>
      <c r="F64" s="161"/>
      <c r="G64" s="4"/>
      <c r="H64" s="161"/>
      <c r="I64" s="4"/>
      <c r="J64" s="161"/>
      <c r="K64" s="4"/>
      <c r="L64" s="161"/>
      <c r="M64" s="4"/>
      <c r="N64" s="161"/>
      <c r="P64" s="68"/>
      <c r="Q64" s="4"/>
      <c r="R64" s="68"/>
      <c r="S64" s="4"/>
      <c r="T64" s="161">
        <f>+T42</f>
        <v>-17.5</v>
      </c>
      <c r="U64" s="4"/>
      <c r="V64" s="161">
        <f>+V42</f>
        <v>-19.764285714285716</v>
      </c>
      <c r="W64" s="4"/>
      <c r="X64" s="161">
        <f>+X42</f>
        <v>-22.083571428571432</v>
      </c>
      <c r="Y64" s="4"/>
      <c r="Z64" s="161">
        <f>+Z42</f>
        <v>-24.677642857142864</v>
      </c>
      <c r="AA64" s="4"/>
      <c r="AB64" s="68"/>
      <c r="AC64" s="4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</row>
    <row r="65" spans="2:240">
      <c r="B65" s="380" t="s">
        <v>630</v>
      </c>
      <c r="F65" s="622">
        <f ca="1">'Acq Sum Financials'!AB68</f>
        <v>19.438699131673655</v>
      </c>
      <c r="G65" s="235"/>
      <c r="H65" s="622">
        <f ca="1">'Acq Sum Financials'!AD68</f>
        <v>21.483445682219049</v>
      </c>
      <c r="I65" s="235"/>
      <c r="J65" s="622">
        <f ca="1">'Acq Sum Financials'!AF68</f>
        <v>25.032822568224354</v>
      </c>
      <c r="K65" s="235"/>
      <c r="L65" s="622">
        <f ca="1">'Acq Sum Financials'!AH68</f>
        <v>28.595534620989845</v>
      </c>
      <c r="M65" s="235"/>
      <c r="N65" s="622">
        <f ca="1">'Acq Sum Financials'!AJ68</f>
        <v>32.217354985650317</v>
      </c>
      <c r="P65" s="146"/>
      <c r="Q65" s="4"/>
      <c r="R65" s="146"/>
      <c r="S65" s="4"/>
      <c r="T65" s="381">
        <f ca="1">SUM(T63:T64)</f>
        <v>29.926557771477803</v>
      </c>
      <c r="U65" s="4"/>
      <c r="V65" s="381">
        <f ca="1">SUM(V63:V64)</f>
        <v>39.659007844664984</v>
      </c>
      <c r="W65" s="4"/>
      <c r="X65" s="381">
        <f ca="1">SUM(X63:X64)</f>
        <v>45.539640974773178</v>
      </c>
      <c r="Y65" s="4"/>
      <c r="Z65" s="381">
        <f ca="1">SUM(Z63:Z64)</f>
        <v>51.159441277915313</v>
      </c>
      <c r="AA65" s="4"/>
      <c r="AB65" s="146"/>
      <c r="AC65" s="4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</row>
    <row r="66" spans="2:240">
      <c r="G66" s="4"/>
      <c r="I66" s="4"/>
      <c r="K66" s="4"/>
      <c r="M66" s="4"/>
      <c r="P66" s="4"/>
      <c r="Q66" s="4"/>
      <c r="R66" s="4"/>
      <c r="S66" s="4"/>
      <c r="T66" s="382"/>
      <c r="U66" s="4"/>
      <c r="V66" s="382"/>
      <c r="W66" s="4"/>
      <c r="X66" s="382"/>
      <c r="Y66" s="4"/>
      <c r="Z66" s="382"/>
      <c r="AA66" s="4"/>
      <c r="AB66" s="623"/>
      <c r="AC66" s="4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</row>
    <row r="67" spans="2:240">
      <c r="B67" s="379" t="s">
        <v>631</v>
      </c>
      <c r="C67" s="109" t="str">
        <f>'Acq Sum Financials'!C70</f>
        <v>Defined as Tax-effected EBIT plus Depreciation and Amortization less Change in Net Working Capital less Capital Expenditures.</v>
      </c>
      <c r="D67" s="109"/>
      <c r="E67" s="109"/>
      <c r="F67" s="109"/>
      <c r="G67" s="235"/>
      <c r="H67" s="109"/>
      <c r="I67" s="235"/>
      <c r="J67" s="109"/>
      <c r="K67" s="235"/>
      <c r="L67" s="109"/>
      <c r="M67" s="235"/>
      <c r="N67" s="109"/>
      <c r="O67" s="109"/>
      <c r="P67" s="235"/>
      <c r="Q67" s="235"/>
      <c r="R67" s="235"/>
      <c r="S67" s="235"/>
      <c r="U67" s="4"/>
      <c r="W67" s="4"/>
      <c r="Y67" s="4"/>
      <c r="AA67" s="4"/>
      <c r="AB67" s="4"/>
      <c r="AC67" s="4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</row>
    <row r="68" spans="2:240">
      <c r="B68" s="3" t="s">
        <v>633</v>
      </c>
      <c r="F68" s="621"/>
      <c r="G68" s="4"/>
      <c r="H68" s="621"/>
      <c r="I68" s="4"/>
      <c r="J68" s="621"/>
      <c r="K68" s="4"/>
      <c r="L68" s="621"/>
      <c r="M68" s="4"/>
      <c r="N68" s="621"/>
      <c r="P68" s="621"/>
      <c r="Q68" s="4"/>
      <c r="R68" s="621"/>
      <c r="S68" s="4"/>
      <c r="T68" s="113">
        <f ca="1">Merger!M267</f>
        <v>51.985783706731368</v>
      </c>
      <c r="U68" s="235"/>
      <c r="V68" s="113">
        <f ca="1">Merger!N267</f>
        <v>61.789629860577527</v>
      </c>
      <c r="W68" s="235"/>
      <c r="X68" s="113">
        <f ca="1">Merger!O267</f>
        <v>69.272578578526264</v>
      </c>
      <c r="Y68" s="235"/>
      <c r="Z68" s="113">
        <f ca="1">Merger!P267</f>
        <v>77.641642681090374</v>
      </c>
      <c r="AA68" s="4"/>
      <c r="AB68" s="621"/>
      <c r="AC68" s="4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</row>
    <row r="69" spans="2:240">
      <c r="B69" s="3" t="s">
        <v>169</v>
      </c>
      <c r="F69" s="624"/>
      <c r="G69" s="4"/>
      <c r="H69" s="624"/>
      <c r="I69" s="4"/>
      <c r="J69" s="624"/>
      <c r="K69" s="4"/>
      <c r="L69" s="624"/>
      <c r="M69" s="4"/>
      <c r="N69" s="624"/>
      <c r="P69" s="624"/>
      <c r="Q69" s="4"/>
      <c r="R69" s="624"/>
      <c r="S69" s="4"/>
      <c r="T69" s="383">
        <f ca="1">Merger!M286</f>
        <v>0.25</v>
      </c>
      <c r="U69" s="235"/>
      <c r="V69" s="383">
        <f ca="1">Merger!N286</f>
        <v>0.25</v>
      </c>
      <c r="W69" s="235"/>
      <c r="X69" s="383">
        <f ca="1">Merger!O286</f>
        <v>0.25</v>
      </c>
      <c r="Y69" s="235"/>
      <c r="Z69" s="383">
        <f ca="1">Merger!P286</f>
        <v>0.25</v>
      </c>
      <c r="AA69" s="4"/>
      <c r="AB69" s="624"/>
      <c r="AC69" s="4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</row>
    <row r="70" spans="2:240">
      <c r="B70" s="151" t="s">
        <v>634</v>
      </c>
      <c r="F70" s="146"/>
      <c r="G70" s="4"/>
      <c r="H70" s="146"/>
      <c r="I70" s="4"/>
      <c r="J70" s="146"/>
      <c r="K70" s="4"/>
      <c r="L70" s="146"/>
      <c r="M70" s="4"/>
      <c r="N70" s="146"/>
      <c r="P70" s="146"/>
      <c r="Q70" s="4"/>
      <c r="R70" s="146"/>
      <c r="S70" s="4"/>
      <c r="T70" s="381">
        <f ca="1">T68*(1-T69)</f>
        <v>38.98933778004853</v>
      </c>
      <c r="U70" s="4"/>
      <c r="V70" s="381">
        <f ca="1">V68*(1-V69)</f>
        <v>46.342222395433147</v>
      </c>
      <c r="W70" s="4"/>
      <c r="X70" s="381">
        <f ca="1">X68*(1-X69)</f>
        <v>51.954433933894698</v>
      </c>
      <c r="Y70" s="4"/>
      <c r="Z70" s="381">
        <f ca="1">Z68*(1-Z69)</f>
        <v>58.231232010817777</v>
      </c>
      <c r="AA70" s="4"/>
      <c r="AB70" s="146"/>
      <c r="AC70" s="4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</row>
    <row r="71" spans="2:240">
      <c r="B71" s="3" t="s">
        <v>399</v>
      </c>
      <c r="F71" s="68"/>
      <c r="G71" s="4"/>
      <c r="H71" s="68"/>
      <c r="I71" s="4"/>
      <c r="J71" s="68"/>
      <c r="K71" s="4"/>
      <c r="L71" s="68"/>
      <c r="M71" s="4"/>
      <c r="N71" s="68"/>
      <c r="P71" s="68"/>
      <c r="Q71" s="4"/>
      <c r="R71" s="68"/>
      <c r="S71" s="4"/>
      <c r="T71" s="68">
        <f ca="1">+T41</f>
        <v>17.014216293268628</v>
      </c>
      <c r="U71" s="4"/>
      <c r="V71" s="68">
        <f ca="1">+V41</f>
        <v>18.942787721840059</v>
      </c>
      <c r="W71" s="4"/>
      <c r="X71" s="68">
        <f ca="1">+X41</f>
        <v>20.921359150411487</v>
      </c>
      <c r="Y71" s="4"/>
      <c r="Z71" s="68">
        <f ca="1">+Z41</f>
        <v>23.133502007554345</v>
      </c>
      <c r="AA71" s="4"/>
      <c r="AB71" s="68"/>
      <c r="AC71" s="4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</row>
    <row r="72" spans="2:240">
      <c r="B72" s="3" t="s">
        <v>635</v>
      </c>
      <c r="F72" s="68"/>
      <c r="G72" s="4"/>
      <c r="H72" s="68"/>
      <c r="I72" s="4"/>
      <c r="J72" s="68"/>
      <c r="K72" s="4"/>
      <c r="L72" s="68"/>
      <c r="M72" s="4"/>
      <c r="N72" s="68"/>
      <c r="P72" s="68"/>
      <c r="Q72" s="4"/>
      <c r="R72" s="68"/>
      <c r="S72" s="4"/>
      <c r="T72" s="161">
        <f>+T43</f>
        <v>-3.6504788720538919</v>
      </c>
      <c r="U72" s="4"/>
      <c r="V72" s="161">
        <f>+V43</f>
        <v>-3.7056080387205412</v>
      </c>
      <c r="W72" s="4"/>
      <c r="X72" s="161">
        <f>+X43</f>
        <v>-3.7662501220538829</v>
      </c>
      <c r="Y72" s="4"/>
      <c r="Z72" s="161">
        <f>+Z43</f>
        <v>-4.2203548143939358</v>
      </c>
      <c r="AA72" s="4"/>
      <c r="AB72" s="68"/>
      <c r="AC72" s="4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</row>
    <row r="73" spans="2:240">
      <c r="B73" s="3" t="s">
        <v>122</v>
      </c>
      <c r="F73" s="68"/>
      <c r="G73" s="4"/>
      <c r="H73" s="68"/>
      <c r="I73" s="4"/>
      <c r="J73" s="68"/>
      <c r="K73" s="4"/>
      <c r="L73" s="68"/>
      <c r="M73" s="4"/>
      <c r="N73" s="68"/>
      <c r="P73" s="68"/>
      <c r="Q73" s="4"/>
      <c r="R73" s="68"/>
      <c r="S73" s="4"/>
      <c r="T73" s="161">
        <f>+T42</f>
        <v>-17.5</v>
      </c>
      <c r="U73" s="4"/>
      <c r="V73" s="161">
        <f>+V42</f>
        <v>-19.764285714285716</v>
      </c>
      <c r="W73" s="4"/>
      <c r="X73" s="161">
        <f>+X42</f>
        <v>-22.083571428571432</v>
      </c>
      <c r="Y73" s="4"/>
      <c r="Z73" s="161">
        <f>+Z42</f>
        <v>-24.677642857142864</v>
      </c>
      <c r="AA73" s="4"/>
      <c r="AB73" s="68"/>
      <c r="AC73" s="4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</row>
    <row r="74" spans="2:240">
      <c r="B74" s="380" t="s">
        <v>630</v>
      </c>
      <c r="F74" s="622">
        <f>'Acq Sum Financials'!AB77</f>
        <v>19.344543434343432</v>
      </c>
      <c r="G74" s="235"/>
      <c r="H74" s="622">
        <f>'Acq Sum Financials'!AD77</f>
        <v>21.150812794612783</v>
      </c>
      <c r="I74" s="235"/>
      <c r="J74" s="622">
        <f>'Acq Sum Financials'!AF77</f>
        <v>24.615098508898505</v>
      </c>
      <c r="K74" s="235"/>
      <c r="L74" s="622">
        <f>'Acq Sum Financials'!AH77</f>
        <v>28.079384223184213</v>
      </c>
      <c r="M74" s="235"/>
      <c r="N74" s="622">
        <f>'Acq Sum Financials'!AJ77</f>
        <v>31.589307251082243</v>
      </c>
      <c r="P74" s="146"/>
      <c r="Q74" s="4"/>
      <c r="R74" s="146"/>
      <c r="S74" s="4"/>
      <c r="T74" s="381">
        <f ca="1">SUM(T70:T73)</f>
        <v>34.853075201263266</v>
      </c>
      <c r="U74" s="4"/>
      <c r="V74" s="381">
        <f ca="1">SUM(V70:V73)</f>
        <v>41.815116364266942</v>
      </c>
      <c r="W74" s="4"/>
      <c r="X74" s="381">
        <f ca="1">SUM(X70:X73)</f>
        <v>47.025971533680874</v>
      </c>
      <c r="Y74" s="4"/>
      <c r="Z74" s="381">
        <f ca="1">SUM(Z70:Z73)</f>
        <v>52.466736346835326</v>
      </c>
      <c r="AA74" s="4"/>
      <c r="AB74" s="146"/>
      <c r="AC74" s="4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</row>
  </sheetData>
  <customSheetViews>
    <customSheetView guid="{9AE38660-BF5A-49A3-9FC0-AD5890AFC019}" showPageBreaks="1" showGridLines="0" printArea="1" view="pageBreakPreview" showRuler="0">
      <selection activeCell="Z4" sqref="Z4"/>
      <pageMargins left="0.35" right="0.35" top="0.35" bottom="0.35" header="0.15" footer="0.15"/>
      <printOptions horizontalCentered="1"/>
      <pageSetup scale="81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6" type="noConversion"/>
  <printOptions horizontalCentered="1"/>
  <pageMargins left="0.35" right="0.35" top="0.35" bottom="0.35" header="0.15" footer="0.15"/>
  <pageSetup scale="71" orientation="landscape" r:id="rId2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S35"/>
  <sheetViews>
    <sheetView showGridLines="0" view="pageBreakPreview" zoomScale="85" zoomScaleNormal="100" zoomScaleSheetLayoutView="85" workbookViewId="0"/>
  </sheetViews>
  <sheetFormatPr defaultRowHeight="12.75"/>
  <cols>
    <col min="1" max="1" width="2.83203125" style="4" customWidth="1"/>
    <col min="2" max="6" width="9.33203125" style="3"/>
    <col min="7" max="7" width="10.1640625" style="3" bestFit="1" customWidth="1"/>
    <col min="8" max="8" width="2.83203125" style="3" customWidth="1"/>
    <col min="9" max="9" width="9.33203125" style="3"/>
    <col min="10" max="10" width="2.83203125" style="3" customWidth="1"/>
    <col min="11" max="11" width="9.33203125" style="3"/>
    <col min="12" max="12" width="10.1640625" style="3" bestFit="1" customWidth="1"/>
    <col min="13" max="13" width="2.83203125" style="3" customWidth="1"/>
    <col min="14" max="15" width="9.33203125" style="3"/>
    <col min="16" max="16" width="10.1640625" style="3" bestFit="1" customWidth="1"/>
    <col min="17" max="17" width="2.83203125" style="3" customWidth="1"/>
    <col min="18" max="18" width="9.33203125" style="3"/>
    <col min="19" max="19" width="2.83203125" style="3" customWidth="1"/>
    <col min="20" max="16384" width="9.33203125" style="4"/>
  </cols>
  <sheetData>
    <row r="1" spans="1:19">
      <c r="A1" s="2"/>
    </row>
    <row r="2" spans="1:19" ht="23.25">
      <c r="B2" s="97" t="str">
        <f>proj</f>
        <v>Project MODEL</v>
      </c>
      <c r="C2" s="39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180"/>
      <c r="P2" s="180"/>
      <c r="Q2" s="180"/>
      <c r="R2" s="180"/>
      <c r="S2" s="399" t="str">
        <f>acq&amp;" - "&amp;acname</f>
        <v>COLEMAN CO. - Wall street consensus</v>
      </c>
    </row>
    <row r="3" spans="1:19" s="276" customFormat="1" ht="20.100000000000001" customHeight="1" thickBot="1">
      <c r="B3" s="98" t="str">
        <f>"Summary Financial Comparison of "&amp;acq&amp;" to "&amp;tar</f>
        <v>Summary Financial Comparison of COLEMAN CO. to SG ENTERPRISES</v>
      </c>
      <c r="C3" s="98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400"/>
      <c r="P3" s="400"/>
      <c r="Q3" s="400"/>
      <c r="R3" s="400"/>
      <c r="S3" s="400" t="str">
        <f>tar&amp;" - "&amp;tcname</f>
        <v>SG ENTERPRISES - Wall street consensus</v>
      </c>
    </row>
    <row r="4" spans="1:19" s="17" customFormat="1" ht="15.75">
      <c r="B4" s="419"/>
      <c r="C4" s="420"/>
      <c r="D4" s="420"/>
      <c r="E4" s="420"/>
      <c r="F4" s="420"/>
      <c r="G4" s="421"/>
      <c r="H4" s="421"/>
      <c r="I4" s="421"/>
      <c r="J4" s="421"/>
      <c r="K4" s="421"/>
      <c r="L4" s="421"/>
      <c r="M4" s="421"/>
      <c r="N4" s="421"/>
      <c r="O4" s="422"/>
      <c r="P4" s="422"/>
      <c r="Q4" s="422"/>
      <c r="R4" s="422"/>
      <c r="S4" s="423" t="str">
        <f>Merger!$Q$4</f>
        <v>Includes Cost Savings/Synergies</v>
      </c>
    </row>
    <row r="5" spans="1:19" s="17" customFormat="1" ht="15.75">
      <c r="B5" s="424" t="str">
        <f>Merger!B8</f>
        <v>(Amounts in Millions, Except Per Share Data)</v>
      </c>
      <c r="C5" s="420"/>
      <c r="D5" s="420"/>
      <c r="E5" s="420"/>
      <c r="F5" s="420"/>
      <c r="G5" s="421"/>
      <c r="H5" s="421"/>
      <c r="I5" s="421"/>
      <c r="J5" s="421"/>
      <c r="K5" s="421"/>
      <c r="L5" s="421"/>
      <c r="M5" s="421"/>
      <c r="N5" s="421"/>
      <c r="O5" s="421"/>
      <c r="P5" s="421"/>
      <c r="Q5" s="421"/>
      <c r="R5" s="421"/>
      <c r="S5" s="425"/>
    </row>
    <row r="6" spans="1:19" s="17" customFormat="1" ht="9" customHeight="1">
      <c r="B6" s="73"/>
      <c r="R6" s="10"/>
      <c r="S6" s="10"/>
    </row>
    <row r="7" spans="1:19" s="17" customFormat="1" ht="16.5">
      <c r="B7" s="10"/>
      <c r="G7" s="426" t="str">
        <f>acq</f>
        <v>COLEMAN CO.</v>
      </c>
      <c r="H7" s="427"/>
      <c r="I7" s="427"/>
      <c r="J7" s="427"/>
      <c r="L7" s="426" t="str">
        <f>tar</f>
        <v>SG ENTERPRISES</v>
      </c>
      <c r="M7" s="427"/>
      <c r="N7" s="427"/>
      <c r="O7" s="427"/>
      <c r="P7" s="427"/>
      <c r="Q7" s="427"/>
      <c r="R7" s="10"/>
      <c r="S7" s="10"/>
    </row>
    <row r="8" spans="1:19" s="17" customFormat="1">
      <c r="B8" s="428"/>
      <c r="G8" s="54"/>
      <c r="L8" s="54"/>
      <c r="N8" s="54"/>
      <c r="P8" s="421" t="s">
        <v>19</v>
      </c>
      <c r="Q8" s="429"/>
      <c r="R8" s="10"/>
      <c r="S8" s="10"/>
    </row>
    <row r="9" spans="1:19" s="17" customFormat="1">
      <c r="B9" s="428"/>
      <c r="G9" s="54"/>
      <c r="L9" s="54"/>
      <c r="N9" s="54"/>
      <c r="P9" s="26" t="s">
        <v>295</v>
      </c>
      <c r="Q9" s="429"/>
      <c r="R9" s="10"/>
      <c r="S9" s="10"/>
    </row>
    <row r="10" spans="1:19" s="17" customFormat="1">
      <c r="B10" s="17" t="str">
        <f>"Stock Price ("&amp;TEXT(tdate,"m/d/yy")&amp;")"</f>
        <v>Stock Price (5/8/19)</v>
      </c>
      <c r="G10" s="430">
        <f>aprice</f>
        <v>27</v>
      </c>
      <c r="H10" s="431"/>
      <c r="I10" s="431"/>
      <c r="J10" s="431"/>
      <c r="K10" s="431"/>
      <c r="L10" s="430">
        <f>tprice</f>
        <v>25</v>
      </c>
      <c r="M10" s="67"/>
      <c r="N10" s="432"/>
      <c r="O10" s="67"/>
      <c r="P10" s="430">
        <f ca="1">Merger!H14</f>
        <v>30</v>
      </c>
      <c r="Q10" s="433"/>
      <c r="R10" s="10"/>
      <c r="S10" s="10"/>
    </row>
    <row r="11" spans="1:19" s="17" customFormat="1">
      <c r="B11" s="17" t="s">
        <v>177</v>
      </c>
      <c r="G11" s="434">
        <f>adshares</f>
        <v>12.283795925925926</v>
      </c>
      <c r="H11" s="435"/>
      <c r="I11" s="435"/>
      <c r="J11" s="435"/>
      <c r="K11" s="435"/>
      <c r="L11" s="434">
        <f>tdshares</f>
        <v>6.9126499999999993</v>
      </c>
      <c r="M11" s="19"/>
      <c r="N11" s="436"/>
      <c r="O11" s="19"/>
      <c r="P11" s="434">
        <f ca="1">Merger!H37</f>
        <v>7.1259833333333331</v>
      </c>
      <c r="R11" s="10"/>
      <c r="S11" s="10"/>
    </row>
    <row r="12" spans="1:19" s="437" customFormat="1">
      <c r="B12" s="438" t="s">
        <v>145</v>
      </c>
      <c r="C12" s="439"/>
      <c r="D12" s="439"/>
      <c r="E12" s="439"/>
      <c r="G12" s="440">
        <f>G10*G11</f>
        <v>331.66248999999999</v>
      </c>
      <c r="H12" s="440"/>
      <c r="I12" s="441"/>
      <c r="J12" s="440"/>
      <c r="K12" s="441"/>
      <c r="L12" s="440">
        <f>L10*L11</f>
        <v>172.81624999999997</v>
      </c>
      <c r="M12" s="440"/>
      <c r="N12" s="440"/>
      <c r="O12" s="440"/>
      <c r="P12" s="440">
        <f ca="1">P10*P11</f>
        <v>213.77949999999998</v>
      </c>
      <c r="R12" s="1355"/>
      <c r="S12" s="257"/>
    </row>
    <row r="13" spans="1:19" s="17" customFormat="1">
      <c r="B13" s="17" t="s">
        <v>605</v>
      </c>
      <c r="G13" s="434">
        <f>acqnetdebt</f>
        <v>-60.460976388888945</v>
      </c>
      <c r="H13" s="435"/>
      <c r="I13" s="408"/>
      <c r="J13" s="435"/>
      <c r="K13" s="408"/>
      <c r="L13" s="434">
        <f>tarnetdebt</f>
        <v>-29.796709375000002</v>
      </c>
      <c r="M13" s="19"/>
      <c r="N13" s="436"/>
      <c r="O13" s="19"/>
      <c r="P13" s="434">
        <f>tarnetdebt</f>
        <v>-29.796709375000002</v>
      </c>
      <c r="R13" s="10"/>
      <c r="S13" s="10"/>
    </row>
    <row r="14" spans="1:19" s="437" customFormat="1">
      <c r="B14" s="438" t="s">
        <v>23</v>
      </c>
      <c r="G14" s="440">
        <f>SUM(G12:G13)</f>
        <v>271.20151361111107</v>
      </c>
      <c r="H14" s="440"/>
      <c r="I14" s="442"/>
      <c r="J14" s="440"/>
      <c r="K14" s="442"/>
      <c r="L14" s="440">
        <f>SUM(L12:L13)</f>
        <v>143.01954062499996</v>
      </c>
      <c r="M14" s="440"/>
      <c r="N14" s="440"/>
      <c r="O14" s="440"/>
      <c r="P14" s="440">
        <f ca="1">SUM(P12:P13)</f>
        <v>183.98279062499998</v>
      </c>
      <c r="R14" s="257"/>
      <c r="S14" s="257"/>
    </row>
    <row r="16" spans="1:19">
      <c r="B16" s="428" t="s">
        <v>296</v>
      </c>
      <c r="I16" s="104" t="s">
        <v>300</v>
      </c>
      <c r="N16" s="104" t="s">
        <v>300</v>
      </c>
      <c r="R16" s="443"/>
    </row>
    <row r="17" spans="2:18">
      <c r="B17" s="3" t="s">
        <v>297</v>
      </c>
      <c r="G17" s="444">
        <f>'Acq Spread Cover'!J10</f>
        <v>102.5</v>
      </c>
      <c r="I17" s="445">
        <v>0</v>
      </c>
      <c r="L17" s="444">
        <f>'Tar Spread Cover'!J10</f>
        <v>50</v>
      </c>
      <c r="N17" s="445">
        <v>0</v>
      </c>
      <c r="P17" s="298"/>
      <c r="R17" s="446"/>
    </row>
    <row r="18" spans="2:18">
      <c r="B18" s="3" t="s">
        <v>114</v>
      </c>
      <c r="G18" s="408">
        <f>'Acq Spread Cover'!J11</f>
        <v>32.321874999999991</v>
      </c>
      <c r="I18" s="343">
        <f>IF(G18&gt;=0,(G18/G$17)*100,"NM")</f>
        <v>31.533536585365844</v>
      </c>
      <c r="J18" s="3" t="s">
        <v>166</v>
      </c>
      <c r="L18" s="408">
        <f>'Tar Spread Cover'!J11</f>
        <v>14.471250000000001</v>
      </c>
      <c r="N18" s="343">
        <f>IF(L18&gt;=0,(L18/L$17)*100,"NM")</f>
        <v>28.942500000000003</v>
      </c>
      <c r="O18" s="3" t="s">
        <v>166</v>
      </c>
      <c r="P18" s="310"/>
      <c r="R18" s="305"/>
    </row>
    <row r="19" spans="2:18">
      <c r="B19" s="3" t="s">
        <v>176</v>
      </c>
      <c r="G19" s="408">
        <f>'Acq Spread Cover'!J12</f>
        <v>29.338499999999996</v>
      </c>
      <c r="I19" s="343">
        <f>IF(G19&gt;=0,(G19/G$17)*100,"NM")</f>
        <v>28.622926829268291</v>
      </c>
      <c r="L19" s="408">
        <f>'Tar Spread Cover'!J12</f>
        <v>12.5</v>
      </c>
      <c r="N19" s="343">
        <f>IF(L19&gt;=0,(L19/L$17)*100,"NM")</f>
        <v>25</v>
      </c>
      <c r="P19" s="310"/>
      <c r="R19" s="305"/>
    </row>
    <row r="20" spans="2:18">
      <c r="B20" s="3" t="s">
        <v>298</v>
      </c>
      <c r="G20" s="408">
        <f>'Acq Income Statement'!S19</f>
        <v>20.020874999999997</v>
      </c>
      <c r="I20" s="343">
        <f>IF(G20&gt;=0,(G20/G$17)*100,"NM")</f>
        <v>19.532560975609751</v>
      </c>
      <c r="L20" s="408">
        <f>'Tar Income Statement'!S19</f>
        <v>8.6156112500000006</v>
      </c>
      <c r="N20" s="343">
        <f>IF(L20&gt;=0,(L20/L$17)*100,"NM")</f>
        <v>17.231222500000001</v>
      </c>
      <c r="P20" s="310"/>
      <c r="R20" s="305"/>
    </row>
    <row r="21" spans="2:18" ht="18" customHeight="1">
      <c r="B21" s="3" t="str">
        <f>'Acq Spread Cover'!G15</f>
        <v>FY 2019 EPS estimate (a)</v>
      </c>
      <c r="G21" s="447">
        <f ca="1">'Acq Proj'!L26</f>
        <v>1.8393463904462517</v>
      </c>
      <c r="L21" s="447">
        <f ca="1">'Tar Proj'!L26</f>
        <v>1.6513782387494556</v>
      </c>
      <c r="P21" s="382"/>
    </row>
    <row r="22" spans="2:18">
      <c r="B22" s="3" t="str">
        <f>'Acq Spread Cover'!G16</f>
        <v>FY 2020 EPS estimate (a)</v>
      </c>
      <c r="G22" s="448">
        <f ca="1">'Acq Proj'!M26</f>
        <v>2.1640405822357822</v>
      </c>
      <c r="H22" s="449"/>
      <c r="I22" s="449"/>
      <c r="J22" s="449"/>
      <c r="K22" s="449"/>
      <c r="L22" s="448">
        <f ca="1">'Tar Proj'!M26</f>
        <v>1.8201391601437822</v>
      </c>
      <c r="P22" s="382"/>
    </row>
    <row r="23" spans="2:18">
      <c r="B23" s="3" t="s">
        <v>299</v>
      </c>
      <c r="G23" s="408">
        <f>'Acq Spread Cover'!J17*100</f>
        <v>10</v>
      </c>
      <c r="H23" s="310" t="s">
        <v>166</v>
      </c>
      <c r="I23" s="310"/>
      <c r="J23" s="310"/>
      <c r="K23" s="310"/>
      <c r="L23" s="408">
        <f>'Tar Spread Cover'!J17*100</f>
        <v>15</v>
      </c>
      <c r="M23" s="3" t="s">
        <v>166</v>
      </c>
      <c r="P23" s="450"/>
    </row>
    <row r="24" spans="2:18" ht="18" customHeight="1">
      <c r="B24" s="3" t="s">
        <v>284</v>
      </c>
      <c r="G24" s="451">
        <f>'Acq Income Statement'!S26</f>
        <v>73</v>
      </c>
      <c r="H24" s="452"/>
      <c r="I24" s="452"/>
      <c r="J24" s="452"/>
      <c r="K24" s="452"/>
      <c r="L24" s="451">
        <f>'Tar Income Statement'!S26</f>
        <v>15</v>
      </c>
      <c r="P24" s="348"/>
    </row>
    <row r="26" spans="2:18">
      <c r="B26" s="428" t="s">
        <v>15</v>
      </c>
    </row>
    <row r="27" spans="2:18">
      <c r="B27" s="17" t="s">
        <v>255</v>
      </c>
      <c r="G27" s="161">
        <f>G14/G17*100</f>
        <v>264.58684254742542</v>
      </c>
      <c r="H27" s="310" t="s">
        <v>166</v>
      </c>
      <c r="I27" s="310"/>
      <c r="J27" s="310"/>
      <c r="K27" s="310"/>
      <c r="L27" s="161">
        <f>L14/L17*100</f>
        <v>286.03908124999992</v>
      </c>
      <c r="M27" s="310" t="s">
        <v>166</v>
      </c>
      <c r="N27" s="310"/>
      <c r="O27" s="310"/>
      <c r="P27" s="161">
        <f ca="1">P14/L17*100</f>
        <v>367.96558124999996</v>
      </c>
      <c r="Q27" s="310" t="s">
        <v>166</v>
      </c>
      <c r="R27" s="310"/>
    </row>
    <row r="28" spans="2:18">
      <c r="B28" s="17" t="s">
        <v>114</v>
      </c>
      <c r="G28" s="161">
        <f>G14/G18</f>
        <v>8.3906491690569052</v>
      </c>
      <c r="H28" s="3" t="s">
        <v>167</v>
      </c>
      <c r="I28" s="310"/>
      <c r="J28" s="310"/>
      <c r="K28" s="310"/>
      <c r="L28" s="161">
        <f>L14/L18</f>
        <v>9.8830122225101462</v>
      </c>
      <c r="M28" s="3" t="s">
        <v>167</v>
      </c>
      <c r="N28" s="310"/>
      <c r="O28" s="310"/>
      <c r="P28" s="161">
        <f ca="1">P14/L18</f>
        <v>12.713676470588233</v>
      </c>
      <c r="Q28" s="3" t="s">
        <v>167</v>
      </c>
      <c r="R28" s="310"/>
    </row>
    <row r="29" spans="2:18">
      <c r="B29" s="17" t="s">
        <v>115</v>
      </c>
      <c r="G29" s="161">
        <f>G14/G19</f>
        <v>9.2438779627830705</v>
      </c>
      <c r="H29" s="310"/>
      <c r="I29" s="310"/>
      <c r="J29" s="310"/>
      <c r="K29" s="310"/>
      <c r="L29" s="161">
        <f>L14/L19</f>
        <v>11.441563249999996</v>
      </c>
      <c r="M29" s="310"/>
      <c r="N29" s="310"/>
      <c r="O29" s="310"/>
      <c r="P29" s="161">
        <f ca="1">P14/L19</f>
        <v>14.718623249999998</v>
      </c>
      <c r="R29" s="310"/>
    </row>
    <row r="30" spans="2:18">
      <c r="G30" s="161"/>
      <c r="H30" s="310"/>
      <c r="I30" s="310"/>
      <c r="J30" s="310"/>
      <c r="K30" s="310"/>
      <c r="L30" s="161"/>
      <c r="M30" s="310"/>
      <c r="N30" s="310"/>
      <c r="O30" s="310"/>
      <c r="P30" s="161"/>
      <c r="R30" s="310"/>
    </row>
    <row r="31" spans="2:18">
      <c r="B31" s="3" t="str">
        <f>B21</f>
        <v>FY 2019 EPS estimate (a)</v>
      </c>
      <c r="G31" s="161">
        <f ca="1">G10/G21</f>
        <v>14.679127401038047</v>
      </c>
      <c r="H31" s="3" t="s">
        <v>167</v>
      </c>
      <c r="I31" s="310"/>
      <c r="J31" s="310"/>
      <c r="K31" s="310"/>
      <c r="L31" s="161">
        <f ca="1">L10/L21</f>
        <v>15.138869710994756</v>
      </c>
      <c r="M31" s="3" t="s">
        <v>167</v>
      </c>
      <c r="N31" s="310"/>
      <c r="O31" s="310"/>
      <c r="P31" s="161">
        <f ca="1">P10/L21</f>
        <v>18.166643653193709</v>
      </c>
      <c r="Q31" s="3" t="s">
        <v>167</v>
      </c>
      <c r="R31" s="310"/>
    </row>
    <row r="32" spans="2:18">
      <c r="B32" s="3" t="str">
        <f>B22</f>
        <v>FY 2020 EPS estimate (a)</v>
      </c>
      <c r="G32" s="161">
        <f ca="1">G11/G22</f>
        <v>5.6763241996297964</v>
      </c>
      <c r="H32" s="310"/>
      <c r="I32" s="310"/>
      <c r="J32" s="310"/>
      <c r="K32" s="310"/>
      <c r="L32" s="161">
        <f ca="1">L11/L22</f>
        <v>3.7978689494565532</v>
      </c>
      <c r="M32" s="310"/>
      <c r="N32" s="310"/>
      <c r="O32" s="310"/>
      <c r="P32" s="161">
        <f ca="1">P10/L22</f>
        <v>16.482256223546194</v>
      </c>
      <c r="R32" s="310"/>
    </row>
    <row r="35" spans="2:17" ht="13.5">
      <c r="B35" s="155" t="str">
        <f>"(a) "&amp;acqnetdebtfn</f>
        <v>(a) Net cash represents total cash less debt, minority interest and preferred stock as of March 31, 2019.</v>
      </c>
      <c r="C35" s="251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51"/>
      <c r="P35" s="251"/>
      <c r="Q35" s="251"/>
    </row>
  </sheetData>
  <customSheetViews>
    <customSheetView guid="{9AE38660-BF5A-49A3-9FC0-AD5890AFC019}" scale="115" showPageBreaks="1" showGridLines="0" printArea="1" view="pageBreakPreview" showRuler="0">
      <selection activeCell="B3" sqref="B3"/>
      <pageMargins left="0.35" right="0.35" top="0.35" bottom="0.35" header="0.15" footer="0.15"/>
      <printOptions horizontalCentered="1"/>
      <pageSetup scale="81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6" type="noConversion"/>
  <printOptions horizontalCentered="1"/>
  <pageMargins left="0.35" right="0.35" top="0.35" bottom="0.35" header="0.15" footer="0.15"/>
  <pageSetup orientation="landscape" r:id="rId2"/>
  <headerFooter alignWithMargins="0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25"/>
  <sheetViews>
    <sheetView showGridLines="0" view="pageBreakPreview" zoomScale="85" zoomScaleNormal="100" zoomScaleSheetLayoutView="85" workbookViewId="0"/>
  </sheetViews>
  <sheetFormatPr defaultColWidth="10.6640625" defaultRowHeight="12.75"/>
  <cols>
    <col min="1" max="1" width="2.83203125" style="4" customWidth="1"/>
    <col min="2" max="2" width="10.6640625" style="3" customWidth="1"/>
    <col min="3" max="5" width="10.6640625" style="3"/>
    <col min="6" max="6" width="11.33203125" style="3" bestFit="1" customWidth="1"/>
    <col min="7" max="7" width="10.6640625" style="3" customWidth="1"/>
    <col min="8" max="8" width="10.6640625" style="3"/>
    <col min="9" max="9" width="11.33203125" style="3" bestFit="1" customWidth="1"/>
    <col min="10" max="11" width="10.6640625" style="3"/>
    <col min="12" max="12" width="11.33203125" style="3" bestFit="1" customWidth="1"/>
    <col min="13" max="13" width="10.6640625" style="3"/>
    <col min="14" max="14" width="2.83203125" style="3" customWidth="1"/>
    <col min="15" max="15" width="9.33203125" style="4" customWidth="1"/>
    <col min="16" max="16384" width="10.6640625" style="4"/>
  </cols>
  <sheetData>
    <row r="1" spans="1:20">
      <c r="A1" s="2"/>
    </row>
    <row r="2" spans="1:20" ht="23.25">
      <c r="B2" s="97" t="str">
        <f>proj</f>
        <v>Project MODEL</v>
      </c>
      <c r="C2" s="97"/>
      <c r="D2" s="7"/>
      <c r="E2" s="7"/>
      <c r="F2" s="7"/>
      <c r="G2" s="7"/>
      <c r="H2" s="7"/>
      <c r="I2" s="7"/>
      <c r="J2" s="7"/>
      <c r="K2" s="7"/>
      <c r="L2" s="398"/>
      <c r="M2" s="180"/>
      <c r="N2" s="235"/>
      <c r="O2" s="399" t="str">
        <f>acq&amp;" - "&amp;acname</f>
        <v>COLEMAN CO. - Wall street consensus</v>
      </c>
      <c r="P2" s="7"/>
      <c r="Q2" s="7"/>
      <c r="R2" s="7"/>
      <c r="S2" s="7"/>
      <c r="T2" s="7"/>
    </row>
    <row r="3" spans="1:20" s="276" customFormat="1" ht="20.100000000000001" customHeight="1" thickBot="1">
      <c r="B3" s="98" t="str">
        <f>"Historical Contribution Analysis of "&amp;acq&amp;" and "&amp;tar</f>
        <v>Historical Contribution Analysis of COLEMAN CO. and SG ENTERPRISES</v>
      </c>
      <c r="C3" s="98"/>
      <c r="D3" s="395"/>
      <c r="E3" s="395"/>
      <c r="F3" s="395"/>
      <c r="G3" s="395"/>
      <c r="H3" s="395"/>
      <c r="I3" s="395"/>
      <c r="J3" s="395"/>
      <c r="K3" s="395"/>
      <c r="L3" s="400"/>
      <c r="M3" s="400"/>
      <c r="N3" s="401"/>
      <c r="O3" s="400" t="str">
        <f>tar&amp;" - "&amp;tcname</f>
        <v>SG ENTERPRISES - Wall street consensus</v>
      </c>
      <c r="P3" s="402"/>
      <c r="Q3" s="278"/>
    </row>
    <row r="4" spans="1:20" ht="15" customHeight="1">
      <c r="B4" s="176" t="str">
        <f>Merger!B8</f>
        <v>(Amounts in Millions, Except Per Share Data)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7"/>
      <c r="P4" s="7"/>
      <c r="Q4" s="7"/>
    </row>
    <row r="5" spans="1:20" ht="12.75" customHeight="1">
      <c r="B5" s="33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7"/>
      <c r="P5" s="7"/>
      <c r="Q5" s="7"/>
    </row>
    <row r="6" spans="1:20" ht="12.75" customHeight="1">
      <c r="F6" s="280" t="str">
        <f>"Fiscal Year Ended "&amp;TEXT(afye,"mmmm d")&amp;","&amp;IF(FY&lt;&gt;1," (a)","")</f>
        <v>Fiscal Year Ended December 31,</v>
      </c>
      <c r="G6" s="280"/>
      <c r="H6" s="280"/>
      <c r="I6" s="280"/>
      <c r="J6" s="280"/>
      <c r="K6" s="280"/>
      <c r="L6" s="280"/>
      <c r="M6" s="280"/>
    </row>
    <row r="7" spans="1:20" ht="12.75" customHeight="1">
      <c r="F7" s="363">
        <f>I7-1</f>
        <v>2016</v>
      </c>
      <c r="G7" s="363"/>
      <c r="I7" s="363">
        <f>L7-1</f>
        <v>2017</v>
      </c>
      <c r="J7" s="363"/>
      <c r="L7" s="416">
        <f>afy</f>
        <v>2018</v>
      </c>
      <c r="M7" s="416"/>
    </row>
    <row r="8" spans="1:20" ht="12.75" customHeight="1">
      <c r="B8" s="139"/>
      <c r="F8" s="7" t="s">
        <v>11</v>
      </c>
      <c r="G8" s="8" t="s">
        <v>166</v>
      </c>
      <c r="I8" s="7" t="s">
        <v>11</v>
      </c>
      <c r="J8" s="8" t="s">
        <v>166</v>
      </c>
      <c r="L8" s="7" t="s">
        <v>11</v>
      </c>
      <c r="M8" s="8" t="s">
        <v>166</v>
      </c>
    </row>
    <row r="9" spans="1:20" ht="15" customHeight="1">
      <c r="B9" s="3" t="s">
        <v>254</v>
      </c>
      <c r="C9" s="109"/>
      <c r="D9" s="109" t="str">
        <f>acq</f>
        <v>COLEMAN CO.</v>
      </c>
      <c r="E9" s="417"/>
      <c r="F9" s="406">
        <f>'Acq Proj'!I8</f>
        <v>80</v>
      </c>
      <c r="G9" s="407">
        <f>F9/F11*100</f>
        <v>64.516129032258064</v>
      </c>
      <c r="H9" s="205" t="s">
        <v>166</v>
      </c>
      <c r="I9" s="406">
        <f>'Acq Proj'!J8</f>
        <v>90</v>
      </c>
      <c r="J9" s="407">
        <f>I9/I11*100</f>
        <v>66.17647058823529</v>
      </c>
      <c r="K9" s="205" t="s">
        <v>166</v>
      </c>
      <c r="L9" s="406">
        <f>'Acq Proj'!K8</f>
        <v>100</v>
      </c>
      <c r="M9" s="407">
        <f>L9/L11*100</f>
        <v>67.567567567567565</v>
      </c>
      <c r="N9" s="205" t="s">
        <v>166</v>
      </c>
    </row>
    <row r="10" spans="1:20" ht="12.75" customHeight="1">
      <c r="C10" s="109"/>
      <c r="D10" s="109" t="str">
        <f>tar</f>
        <v>SG ENTERPRISES</v>
      </c>
      <c r="E10" s="109"/>
      <c r="F10" s="408">
        <f>'Tar Proj'!I8</f>
        <v>44</v>
      </c>
      <c r="G10" s="409">
        <f>F10/F11*100</f>
        <v>35.483870967741936</v>
      </c>
      <c r="H10" s="257"/>
      <c r="I10" s="408">
        <f>'Tar Proj'!J8</f>
        <v>46</v>
      </c>
      <c r="J10" s="409">
        <f>I10/I11*100</f>
        <v>33.82352941176471</v>
      </c>
      <c r="K10" s="257"/>
      <c r="L10" s="408">
        <f>'Tar Proj'!K8</f>
        <v>48</v>
      </c>
      <c r="M10" s="410">
        <f>L10/L11*100</f>
        <v>32.432432432432435</v>
      </c>
      <c r="N10" s="205"/>
    </row>
    <row r="11" spans="1:20" ht="12.75" customHeight="1">
      <c r="D11" s="3" t="s">
        <v>222</v>
      </c>
      <c r="F11" s="344">
        <f>SUM(F9:F10)</f>
        <v>124</v>
      </c>
      <c r="I11" s="344">
        <f>SUM(I9:I10)</f>
        <v>136</v>
      </c>
      <c r="L11" s="344">
        <f>SUM(L9:L10)</f>
        <v>148</v>
      </c>
    </row>
    <row r="12" spans="1:20" ht="12.75" customHeight="1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</row>
    <row r="13" spans="1:20" ht="12.75" customHeight="1">
      <c r="B13" s="4" t="s">
        <v>63</v>
      </c>
      <c r="C13" s="4"/>
      <c r="D13" s="4" t="str">
        <f>D9</f>
        <v>COLEMAN CO.</v>
      </c>
      <c r="E13" s="4"/>
      <c r="F13" s="411">
        <f>'Acq Proj'!I36</f>
        <v>23.95</v>
      </c>
      <c r="G13" s="412">
        <f>F13/F15*100</f>
        <v>65.526675786593714</v>
      </c>
      <c r="H13" s="211" t="s">
        <v>166</v>
      </c>
      <c r="I13" s="411">
        <f>'Acq Proj'!J36</f>
        <v>29.034999999999993</v>
      </c>
      <c r="J13" s="412">
        <f>I13/I15*100</f>
        <v>68.746300461702376</v>
      </c>
      <c r="K13" s="211" t="s">
        <v>166</v>
      </c>
      <c r="L13" s="411">
        <f>'Acq Proj'!K36</f>
        <v>31.938499999999994</v>
      </c>
      <c r="M13" s="412">
        <f>L13/L15*100</f>
        <v>69.676145598132564</v>
      </c>
      <c r="N13" s="211" t="s">
        <v>166</v>
      </c>
    </row>
    <row r="14" spans="1:20" ht="12.75" customHeight="1">
      <c r="D14" s="4" t="str">
        <f>D10</f>
        <v>SG ENTERPRISES</v>
      </c>
      <c r="F14" s="408">
        <f>'Tar Proj'!I36</f>
        <v>12.6</v>
      </c>
      <c r="G14" s="409">
        <f>F14/F15*100</f>
        <v>34.473324213406293</v>
      </c>
      <c r="H14" s="257"/>
      <c r="I14" s="408">
        <f>'Tar Proj'!J36</f>
        <v>13.2</v>
      </c>
      <c r="J14" s="409">
        <f>I14/I15*100</f>
        <v>31.253699538297624</v>
      </c>
      <c r="K14" s="257"/>
      <c r="L14" s="408">
        <f>'Tar Proj'!K36</f>
        <v>13.9</v>
      </c>
      <c r="M14" s="410">
        <f>L14/L15*100</f>
        <v>30.323854401867429</v>
      </c>
      <c r="N14" s="205"/>
    </row>
    <row r="15" spans="1:20" ht="12.75" customHeight="1">
      <c r="D15" s="3" t="s">
        <v>222</v>
      </c>
      <c r="F15" s="344">
        <f>SUM(F13:F14)</f>
        <v>36.549999999999997</v>
      </c>
      <c r="I15" s="344">
        <f>SUM(I13:I14)</f>
        <v>42.234999999999992</v>
      </c>
      <c r="L15" s="344">
        <f>SUM(L13:L14)</f>
        <v>45.838499999999996</v>
      </c>
    </row>
    <row r="16" spans="1:20" ht="12.75" customHeight="1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</row>
    <row r="17" spans="2:14" ht="12.75" customHeight="1">
      <c r="B17" s="4" t="s">
        <v>64</v>
      </c>
      <c r="C17" s="4"/>
      <c r="D17" s="4" t="str">
        <f>D13</f>
        <v>COLEMAN CO.</v>
      </c>
      <c r="E17" s="4"/>
      <c r="F17" s="411">
        <f>'Acq Proj'!I34</f>
        <v>21.349999999999998</v>
      </c>
      <c r="G17" s="412">
        <f>F17/F19*100</f>
        <v>65.996908809891821</v>
      </c>
      <c r="H17" s="211" t="s">
        <v>166</v>
      </c>
      <c r="I17" s="411">
        <f>'Acq Proj'!J34</f>
        <v>26.334999999999994</v>
      </c>
      <c r="J17" s="412">
        <f>I17/I19*100</f>
        <v>69.6048632218845</v>
      </c>
      <c r="K17" s="211" t="s">
        <v>166</v>
      </c>
      <c r="L17" s="411">
        <f>'Acq Proj'!K34</f>
        <v>29.038499999999996</v>
      </c>
      <c r="M17" s="412">
        <f>L17/L19*100</f>
        <v>70.759165174165716</v>
      </c>
      <c r="N17" s="211" t="s">
        <v>166</v>
      </c>
    </row>
    <row r="18" spans="2:14" ht="12.75" customHeight="1">
      <c r="D18" s="4" t="str">
        <f>D14</f>
        <v>SG ENTERPRISES</v>
      </c>
      <c r="F18" s="408">
        <f>'Tar Proj'!I34</f>
        <v>11</v>
      </c>
      <c r="G18" s="409">
        <f>F18/F19*100</f>
        <v>34.003091190108201</v>
      </c>
      <c r="H18" s="257"/>
      <c r="I18" s="408">
        <f>'Tar Proj'!J34</f>
        <v>11.5</v>
      </c>
      <c r="J18" s="409">
        <f>I18/I19*100</f>
        <v>30.395136778115507</v>
      </c>
      <c r="K18" s="257"/>
      <c r="L18" s="408">
        <f>'Tar Proj'!K34</f>
        <v>12</v>
      </c>
      <c r="M18" s="410">
        <f>L18/L19*100</f>
        <v>29.240834825834277</v>
      </c>
      <c r="N18" s="205"/>
    </row>
    <row r="19" spans="2:14" ht="12.75" customHeight="1">
      <c r="D19" s="3" t="s">
        <v>222</v>
      </c>
      <c r="F19" s="413">
        <f>SUM(F17:F18)</f>
        <v>32.349999999999994</v>
      </c>
      <c r="I19" s="344">
        <f>SUM(I17:I18)</f>
        <v>37.834999999999994</v>
      </c>
      <c r="L19" s="344">
        <f>SUM(L17:L18)</f>
        <v>41.038499999999999</v>
      </c>
    </row>
    <row r="20" spans="2:14" ht="12.75" customHeight="1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2:14" ht="12.75" customHeight="1">
      <c r="B21" s="4" t="s">
        <v>65</v>
      </c>
      <c r="C21" s="4"/>
      <c r="D21" s="4" t="str">
        <f>D17</f>
        <v>COLEMAN CO.</v>
      </c>
      <c r="E21" s="4"/>
      <c r="F21" s="411">
        <f>'Acq Proj'!I20</f>
        <v>15.013400000000001</v>
      </c>
      <c r="G21" s="412">
        <f>F21/F23*100</f>
        <v>66.963421542084646</v>
      </c>
      <c r="H21" s="211" t="s">
        <v>166</v>
      </c>
      <c r="I21" s="411">
        <f>'Acq Proj'!J20</f>
        <v>18.761249999999997</v>
      </c>
      <c r="J21" s="412">
        <f>I21/I23*100</f>
        <v>70.549182778271842</v>
      </c>
      <c r="K21" s="211" t="s">
        <v>166</v>
      </c>
      <c r="L21" s="411">
        <f>'Acq Proj'!K20</f>
        <v>20.795874999999995</v>
      </c>
      <c r="M21" s="412">
        <f>L21/L23*100</f>
        <v>71.579651169294493</v>
      </c>
      <c r="N21" s="211" t="s">
        <v>166</v>
      </c>
    </row>
    <row r="22" spans="2:14" ht="12.75" customHeight="1">
      <c r="D22" s="4" t="str">
        <f>D18</f>
        <v>SG ENTERPRISES</v>
      </c>
      <c r="F22" s="408">
        <f>'Tar Proj'!I23</f>
        <v>7.4068999999999985</v>
      </c>
      <c r="G22" s="409">
        <f>F22/F23*100</f>
        <v>33.036578457915368</v>
      </c>
      <c r="H22" s="257"/>
      <c r="I22" s="408">
        <f>'Tar Proj'!J23</f>
        <v>7.8318999999999992</v>
      </c>
      <c r="J22" s="409">
        <f>I22/I23*100</f>
        <v>29.450817221728155</v>
      </c>
      <c r="K22" s="257"/>
      <c r="L22" s="408">
        <f>'Tar Proj'!K23</f>
        <v>8.2568999999999999</v>
      </c>
      <c r="M22" s="410">
        <f>L22/L23*100</f>
        <v>28.420348830705507</v>
      </c>
      <c r="N22" s="205"/>
    </row>
    <row r="23" spans="2:14" ht="12.75" customHeight="1">
      <c r="D23" s="3" t="s">
        <v>222</v>
      </c>
      <c r="F23" s="344">
        <f>SUM(F21:F22)</f>
        <v>22.420299999999997</v>
      </c>
      <c r="I23" s="344">
        <f>SUM(I21:I22)</f>
        <v>26.593149999999994</v>
      </c>
      <c r="L23" s="344">
        <f>SUM(L21:L22)</f>
        <v>29.052774999999997</v>
      </c>
    </row>
    <row r="24" spans="2:14" ht="13.5">
      <c r="B24" s="41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2:14" ht="13.5">
      <c r="B25" s="414" t="str">
        <f>IF(FY&lt;&gt;1,"Note: "&amp;tar&amp;" fiscal year ends "&amp;TEXT(tfye,"mmmm d")&amp;".","Footnote not needed - Acquiror FY = Target FY")</f>
        <v>Footnote not needed - Acquiror FY = Target FY</v>
      </c>
      <c r="C25" s="156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</row>
  </sheetData>
  <customSheetViews>
    <customSheetView guid="{9AE38660-BF5A-49A3-9FC0-AD5890AFC019}" scale="85" showPageBreaks="1" showGridLines="0" printArea="1" view="pageBreakPreview" showRuler="0">
      <selection activeCell="O24" sqref="O24"/>
      <pageMargins left="0.35" right="0.35" top="0.35" bottom="0.35" header="0.15" footer="0.15"/>
      <printOptions horizontalCentered="1"/>
      <pageSetup scale="81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26"/>
  <sheetViews>
    <sheetView showGridLines="0" view="pageBreakPreview" zoomScale="85" zoomScaleNormal="100" zoomScaleSheetLayoutView="85" workbookViewId="0"/>
  </sheetViews>
  <sheetFormatPr defaultColWidth="10.6640625" defaultRowHeight="12.75"/>
  <cols>
    <col min="1" max="1" width="2.83203125" style="4" customWidth="1"/>
    <col min="2" max="2" width="10.6640625" style="3" customWidth="1"/>
    <col min="3" max="5" width="10.6640625" style="3"/>
    <col min="6" max="6" width="11.33203125" style="3" bestFit="1" customWidth="1"/>
    <col min="7" max="7" width="10.6640625" style="3" customWidth="1"/>
    <col min="8" max="8" width="10.6640625" style="3"/>
    <col min="9" max="9" width="11.33203125" style="3" bestFit="1" customWidth="1"/>
    <col min="10" max="11" width="10.6640625" style="3"/>
    <col min="12" max="12" width="11.33203125" style="3" bestFit="1" customWidth="1"/>
    <col min="13" max="13" width="10.6640625" style="3"/>
    <col min="14" max="14" width="2.83203125" style="3" customWidth="1"/>
    <col min="15" max="15" width="9.33203125" style="4" customWidth="1"/>
    <col min="16" max="16384" width="10.6640625" style="4"/>
  </cols>
  <sheetData>
    <row r="1" spans="1:20">
      <c r="A1" s="2"/>
    </row>
    <row r="2" spans="1:20" ht="23.25">
      <c r="B2" s="97" t="str">
        <f>proj</f>
        <v>Project MODEL</v>
      </c>
      <c r="C2" s="397"/>
      <c r="D2" s="7"/>
      <c r="E2" s="7"/>
      <c r="F2" s="7"/>
      <c r="G2" s="7"/>
      <c r="H2" s="7"/>
      <c r="I2" s="7"/>
      <c r="J2" s="7"/>
      <c r="K2" s="7"/>
      <c r="L2" s="398"/>
      <c r="M2" s="180"/>
      <c r="N2" s="235"/>
      <c r="O2" s="399" t="str">
        <f>acq&amp;" - "&amp;acname</f>
        <v>COLEMAN CO. - Wall street consensus</v>
      </c>
      <c r="P2" s="7"/>
      <c r="Q2" s="7"/>
      <c r="R2" s="7"/>
      <c r="S2" s="7"/>
      <c r="T2" s="7"/>
    </row>
    <row r="3" spans="1:20" s="276" customFormat="1" ht="20.100000000000001" customHeight="1" thickBot="1">
      <c r="B3" s="98" t="str">
        <f>"Projected Contribution Analysis of "&amp;acq&amp;" and "&amp;tar</f>
        <v>Projected Contribution Analysis of COLEMAN CO. and SG ENTERPRISES</v>
      </c>
      <c r="C3" s="98"/>
      <c r="D3" s="395"/>
      <c r="E3" s="395"/>
      <c r="F3" s="395"/>
      <c r="G3" s="395"/>
      <c r="H3" s="395"/>
      <c r="I3" s="395"/>
      <c r="J3" s="395"/>
      <c r="K3" s="395"/>
      <c r="L3" s="400"/>
      <c r="M3" s="400"/>
      <c r="N3" s="401"/>
      <c r="O3" s="400" t="str">
        <f>tar&amp;" - "&amp;tcname</f>
        <v>SG ENTERPRISES - Wall street consensus</v>
      </c>
      <c r="P3" s="402"/>
      <c r="Q3" s="278"/>
    </row>
    <row r="4" spans="1:20" ht="15" customHeight="1">
      <c r="B4" s="176" t="str">
        <f>'Hist Contrib'!B4</f>
        <v>(Amounts in Millions, Except Per Share Data)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7"/>
      <c r="P4" s="7"/>
      <c r="Q4" s="7"/>
    </row>
    <row r="5" spans="1:20" ht="12.75" customHeight="1">
      <c r="B5" s="33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7"/>
      <c r="P5" s="7"/>
      <c r="Q5" s="7"/>
    </row>
    <row r="6" spans="1:20" ht="12.75" customHeight="1">
      <c r="F6" s="280" t="str">
        <f>"Fiscal Year Ended "&amp;TEXT(afye,"mmmm d")&amp;","&amp;IF(FY&lt;&gt;1," (a)","")</f>
        <v>Fiscal Year Ended December 31,</v>
      </c>
      <c r="G6" s="280"/>
      <c r="H6" s="280"/>
      <c r="I6" s="280"/>
      <c r="J6" s="280"/>
      <c r="K6" s="280"/>
      <c r="L6" s="280"/>
      <c r="M6" s="280"/>
    </row>
    <row r="7" spans="1:20">
      <c r="F7" s="403">
        <f>afy+1</f>
        <v>2019</v>
      </c>
      <c r="G7" s="363"/>
      <c r="I7" s="404">
        <f>F7+1</f>
        <v>2020</v>
      </c>
      <c r="J7" s="363"/>
      <c r="L7" s="404">
        <f>I7+1</f>
        <v>2021</v>
      </c>
      <c r="M7" s="363"/>
    </row>
    <row r="8" spans="1:20">
      <c r="B8" s="139"/>
      <c r="F8" s="7" t="s">
        <v>11</v>
      </c>
      <c r="G8" s="8" t="s">
        <v>166</v>
      </c>
      <c r="I8" s="7" t="s">
        <v>11</v>
      </c>
      <c r="J8" s="8" t="s">
        <v>166</v>
      </c>
      <c r="L8" s="7" t="s">
        <v>11</v>
      </c>
      <c r="M8" s="8" t="s">
        <v>166</v>
      </c>
    </row>
    <row r="9" spans="1:20" ht="15" customHeight="1">
      <c r="B9" s="3" t="s">
        <v>254</v>
      </c>
      <c r="D9" s="109" t="str">
        <f>acq</f>
        <v>COLEMAN CO.</v>
      </c>
      <c r="E9" s="405"/>
      <c r="F9" s="406">
        <f>'Acq Proj'!L8</f>
        <v>120</v>
      </c>
      <c r="G9" s="407">
        <f>F9/F11*100</f>
        <v>70.588235294117652</v>
      </c>
      <c r="H9" s="205" t="s">
        <v>166</v>
      </c>
      <c r="I9" s="406">
        <f>'Acq Proj'!M8</f>
        <v>140</v>
      </c>
      <c r="J9" s="407">
        <f>I9/I11*100</f>
        <v>71.794871794871796</v>
      </c>
      <c r="K9" s="205" t="s">
        <v>166</v>
      </c>
      <c r="L9" s="406">
        <f>'Acq Proj'!N8</f>
        <v>160</v>
      </c>
      <c r="M9" s="407">
        <f>L9/L11*100</f>
        <v>72.562358276643991</v>
      </c>
      <c r="N9" s="205" t="s">
        <v>166</v>
      </c>
    </row>
    <row r="10" spans="1:20">
      <c r="D10" s="109" t="str">
        <f>tar</f>
        <v>SG ENTERPRISES</v>
      </c>
      <c r="F10" s="408">
        <f>'Tar Proj'!L8</f>
        <v>50</v>
      </c>
      <c r="G10" s="409">
        <f>F10/F11*100</f>
        <v>29.411764705882355</v>
      </c>
      <c r="H10" s="257"/>
      <c r="I10" s="408">
        <f>'Tar Proj'!M8</f>
        <v>55.000000000000007</v>
      </c>
      <c r="J10" s="409">
        <f>I10/I11*100</f>
        <v>28.205128205128212</v>
      </c>
      <c r="K10" s="257"/>
      <c r="L10" s="408">
        <f>'Tar Proj'!N8</f>
        <v>60.500000000000014</v>
      </c>
      <c r="M10" s="410">
        <f>L10/L11*100</f>
        <v>27.437641723356016</v>
      </c>
      <c r="N10" s="205"/>
    </row>
    <row r="11" spans="1:20">
      <c r="D11" s="3" t="s">
        <v>222</v>
      </c>
      <c r="F11" s="344">
        <f>SUM(F9:F10)</f>
        <v>170</v>
      </c>
      <c r="I11" s="344">
        <f>SUM(I9:I10)</f>
        <v>195</v>
      </c>
      <c r="L11" s="344">
        <f>SUM(L9:L10)</f>
        <v>220.5</v>
      </c>
    </row>
    <row r="12" spans="1:20">
      <c r="F12" s="4"/>
      <c r="G12" s="4"/>
      <c r="H12" s="4"/>
      <c r="I12" s="4"/>
      <c r="J12" s="4"/>
      <c r="K12" s="4"/>
      <c r="L12" s="4"/>
      <c r="M12" s="4"/>
      <c r="N12" s="4"/>
    </row>
    <row r="13" spans="1:20" ht="12.75" customHeight="1">
      <c r="B13" s="3" t="s">
        <v>63</v>
      </c>
      <c r="D13" s="3" t="str">
        <f>D9</f>
        <v>COLEMAN CO.</v>
      </c>
      <c r="F13" s="411">
        <f>'Acq Proj'!L36</f>
        <v>40</v>
      </c>
      <c r="G13" s="412">
        <f>F13/F15*100</f>
        <v>66.666666666666657</v>
      </c>
      <c r="H13" s="211" t="s">
        <v>166</v>
      </c>
      <c r="I13" s="411">
        <f>'Acq Proj'!M36</f>
        <v>45</v>
      </c>
      <c r="J13" s="412">
        <f>I13/I15*100</f>
        <v>67.669172932330824</v>
      </c>
      <c r="K13" s="211" t="s">
        <v>166</v>
      </c>
      <c r="L13" s="411">
        <f>'Acq Proj'!N36</f>
        <v>51.428571428571431</v>
      </c>
      <c r="M13" s="412">
        <f>L13/L15*100</f>
        <v>68.499667015507555</v>
      </c>
      <c r="N13" s="211" t="s">
        <v>166</v>
      </c>
    </row>
    <row r="14" spans="1:20">
      <c r="D14" s="3" t="str">
        <f>D10</f>
        <v>SG ENTERPRISES</v>
      </c>
      <c r="F14" s="408">
        <f>'Tar Proj'!L36</f>
        <v>20.000000000000004</v>
      </c>
      <c r="G14" s="409">
        <f>F14/F15*100</f>
        <v>33.333333333333336</v>
      </c>
      <c r="H14" s="257"/>
      <c r="I14" s="408">
        <f>'Tar Proj'!M36</f>
        <v>21.500000000000007</v>
      </c>
      <c r="J14" s="409">
        <f>I14/I15*100</f>
        <v>32.330827067669183</v>
      </c>
      <c r="K14" s="257"/>
      <c r="L14" s="408">
        <f>'Tar Proj'!N36</f>
        <v>23.650000000000006</v>
      </c>
      <c r="M14" s="410">
        <f>L14/L15*100</f>
        <v>31.500332984492442</v>
      </c>
      <c r="N14" s="205"/>
    </row>
    <row r="15" spans="1:20">
      <c r="D15" s="3" t="s">
        <v>222</v>
      </c>
      <c r="F15" s="344">
        <f>SUM(F13:F14)</f>
        <v>60</v>
      </c>
      <c r="I15" s="344">
        <f>SUM(I13:I14)</f>
        <v>66.5</v>
      </c>
      <c r="L15" s="344">
        <f>SUM(L13:L14)</f>
        <v>75.078571428571436</v>
      </c>
    </row>
    <row r="16" spans="1:20">
      <c r="F16" s="4"/>
      <c r="G16" s="4"/>
      <c r="H16" s="4"/>
      <c r="I16" s="4"/>
      <c r="J16" s="4"/>
      <c r="K16" s="4"/>
      <c r="L16" s="4"/>
      <c r="M16" s="4"/>
      <c r="N16" s="4"/>
    </row>
    <row r="17" spans="2:14" ht="12.75" customHeight="1">
      <c r="B17" s="3" t="s">
        <v>64</v>
      </c>
      <c r="D17" s="3" t="str">
        <f>D13</f>
        <v>COLEMAN CO.</v>
      </c>
      <c r="F17" s="411">
        <f>'Acq Proj'!L34</f>
        <v>30</v>
      </c>
      <c r="G17" s="412">
        <f>F17/F19*100</f>
        <v>66.666666666666657</v>
      </c>
      <c r="H17" s="211" t="s">
        <v>166</v>
      </c>
      <c r="I17" s="411">
        <f>'Acq Proj'!M34</f>
        <v>35</v>
      </c>
      <c r="J17" s="412">
        <f>I17/I19*100</f>
        <v>67.961165048543677</v>
      </c>
      <c r="K17" s="211" t="s">
        <v>166</v>
      </c>
      <c r="L17" s="411">
        <f>'Acq Proj'!N34</f>
        <v>40</v>
      </c>
      <c r="M17" s="412">
        <f>L17/L19*100</f>
        <v>68.787618228718827</v>
      </c>
      <c r="N17" s="211" t="s">
        <v>166</v>
      </c>
    </row>
    <row r="18" spans="2:14">
      <c r="D18" s="3" t="str">
        <f>D14</f>
        <v>SG ENTERPRISES</v>
      </c>
      <c r="F18" s="408">
        <f>'Tar Proj'!L34</f>
        <v>15.000000000000004</v>
      </c>
      <c r="G18" s="409">
        <f>F18/F19*100</f>
        <v>33.333333333333343</v>
      </c>
      <c r="H18" s="257"/>
      <c r="I18" s="408">
        <f>'Tar Proj'!M34</f>
        <v>16.500000000000007</v>
      </c>
      <c r="J18" s="409">
        <f>I18/I19*100</f>
        <v>32.038834951456316</v>
      </c>
      <c r="K18" s="257"/>
      <c r="L18" s="408">
        <f>'Tar Proj'!N34</f>
        <v>18.150000000000002</v>
      </c>
      <c r="M18" s="410">
        <f>L18/L19*100</f>
        <v>31.212381771281173</v>
      </c>
      <c r="N18" s="205"/>
    </row>
    <row r="19" spans="2:14">
      <c r="D19" s="3" t="s">
        <v>222</v>
      </c>
      <c r="F19" s="413">
        <f>SUM(F17:F18)</f>
        <v>45</v>
      </c>
      <c r="I19" s="344">
        <f>SUM(I17:I18)</f>
        <v>51.500000000000007</v>
      </c>
      <c r="L19" s="344">
        <f>SUM(L17:L18)</f>
        <v>58.150000000000006</v>
      </c>
    </row>
    <row r="20" spans="2:14">
      <c r="F20" s="4"/>
      <c r="G20" s="4"/>
      <c r="H20" s="4"/>
      <c r="I20" s="4"/>
      <c r="J20" s="4"/>
      <c r="K20" s="4"/>
      <c r="L20" s="4"/>
      <c r="M20" s="4"/>
      <c r="N20" s="4"/>
    </row>
    <row r="21" spans="2:14" ht="12.75" customHeight="1">
      <c r="B21" s="3" t="s">
        <v>65</v>
      </c>
      <c r="D21" s="3" t="str">
        <f>D17</f>
        <v>COLEMAN CO.</v>
      </c>
      <c r="F21" s="411">
        <f ca="1">'Acq Proj'!L20</f>
        <v>22.594155697330223</v>
      </c>
      <c r="G21" s="412">
        <f ca="1">F21/F23*100</f>
        <v>66.434728060475223</v>
      </c>
      <c r="H21" s="211" t="s">
        <v>166</v>
      </c>
      <c r="I21" s="411">
        <f ca="1">'Acq Proj'!M20</f>
        <v>26.58263288760627</v>
      </c>
      <c r="J21" s="412">
        <f ca="1">I21/I23*100</f>
        <v>67.874102557054755</v>
      </c>
      <c r="K21" s="211" t="s">
        <v>166</v>
      </c>
      <c r="L21" s="411">
        <f ca="1">'Acq Proj'!N20</f>
        <v>30.417724059325856</v>
      </c>
      <c r="M21" s="412">
        <f ca="1">L21/L23*100</f>
        <v>68.691531371762167</v>
      </c>
      <c r="N21" s="211" t="s">
        <v>166</v>
      </c>
    </row>
    <row r="22" spans="2:14">
      <c r="D22" s="3" t="str">
        <f>D18</f>
        <v>SG ENTERPRISES</v>
      </c>
      <c r="F22" s="408">
        <f ca="1">'Tar Proj'!L20</f>
        <v>11.415399782091423</v>
      </c>
      <c r="G22" s="409">
        <f ca="1">F22/F23*100</f>
        <v>33.56527193952477</v>
      </c>
      <c r="H22" s="257"/>
      <c r="I22" s="408">
        <f ca="1">'Tar Proj'!M20</f>
        <v>12.581984965367914</v>
      </c>
      <c r="J22" s="409">
        <f ca="1">I22/I23*100</f>
        <v>32.125897442945259</v>
      </c>
      <c r="K22" s="257"/>
      <c r="L22" s="408">
        <f ca="1">'Tar Proj'!N20</f>
        <v>13.863897636809492</v>
      </c>
      <c r="M22" s="410">
        <f ca="1">L22/L23*100</f>
        <v>31.308468628237829</v>
      </c>
      <c r="N22" s="205"/>
    </row>
    <row r="23" spans="2:14">
      <c r="D23" s="3" t="s">
        <v>222</v>
      </c>
      <c r="F23" s="344">
        <f ca="1">SUM(F21:F22)</f>
        <v>34.00955547942165</v>
      </c>
      <c r="I23" s="344">
        <f ca="1">SUM(I21:I22)</f>
        <v>39.164617852974182</v>
      </c>
      <c r="L23" s="344">
        <f ca="1">SUM(L21:L22)</f>
        <v>44.281621696135346</v>
      </c>
    </row>
    <row r="24" spans="2:14">
      <c r="F24" s="146"/>
      <c r="I24" s="146"/>
      <c r="L24" s="146"/>
    </row>
    <row r="25" spans="2:14" ht="13.5">
      <c r="B25" s="414" t="str">
        <f>IF(FY&lt;&gt;1,"Note: "&amp;tar&amp;" fiscal year ends "&amp;TEXT(tfye,"mmmm d")&amp;".","Footnote not needed - Acquiror FY = Target FY")</f>
        <v>Footnote not needed - Acquiror FY = Target FY</v>
      </c>
      <c r="C25" s="156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</row>
    <row r="26" spans="2:14">
      <c r="B26" s="415"/>
    </row>
  </sheetData>
  <customSheetViews>
    <customSheetView guid="{9AE38660-BF5A-49A3-9FC0-AD5890AFC019}" scale="60" showPageBreaks="1" showGridLines="0" printArea="1" view="pageBreakPreview" showRuler="0">
      <selection activeCell="P28" sqref="P28"/>
      <pageMargins left="0.35" right="0.35" top="0.35" bottom="0.35" header="0.15" footer="0.15"/>
      <printOptions horizontalCentered="1"/>
      <pageSetup scale="81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139</vt:i4>
      </vt:variant>
    </vt:vector>
  </HeadingPairs>
  <TitlesOfParts>
    <vt:vector size="175" baseType="lpstr">
      <vt:lpstr>Cover Page</vt:lpstr>
      <vt:lpstr>Inputs</vt:lpstr>
      <vt:lpstr>Acq ~&gt;</vt:lpstr>
      <vt:lpstr>Acq Spread Cover</vt:lpstr>
      <vt:lpstr>Acq Income Statement</vt:lpstr>
      <vt:lpstr>Acq Balance Sheet</vt:lpstr>
      <vt:lpstr>Acq Working Capital</vt:lpstr>
      <vt:lpstr>Acq Cash Flow</vt:lpstr>
      <vt:lpstr>Acq Sum Financials</vt:lpstr>
      <vt:lpstr>Acq Cap Summary</vt:lpstr>
      <vt:lpstr>Acq DCF</vt:lpstr>
      <vt:lpstr>Tar ~&gt;</vt:lpstr>
      <vt:lpstr>Tar Spread Cover</vt:lpstr>
      <vt:lpstr>Tar Income Statement</vt:lpstr>
      <vt:lpstr>Tar Balance Sheet</vt:lpstr>
      <vt:lpstr>Tar Working Capital</vt:lpstr>
      <vt:lpstr>Tar Cash Flow</vt:lpstr>
      <vt:lpstr>Tar Sum Financials</vt:lpstr>
      <vt:lpstr>Tar Cap Summary</vt:lpstr>
      <vt:lpstr>Tar DCF</vt:lpstr>
      <vt:lpstr>Models ~&gt;</vt:lpstr>
      <vt:lpstr>Acq Proj</vt:lpstr>
      <vt:lpstr>Tar Proj</vt:lpstr>
      <vt:lpstr>Acq LBO</vt:lpstr>
      <vt:lpstr>Tar LBO</vt:lpstr>
      <vt:lpstr>Merger</vt:lpstr>
      <vt:lpstr>Acq LBO Tables</vt:lpstr>
      <vt:lpstr>Tar LBO Tables</vt:lpstr>
      <vt:lpstr>Merger Tables</vt:lpstr>
      <vt:lpstr>Merger Check</vt:lpstr>
      <vt:lpstr>Merger Sensitivities</vt:lpstr>
      <vt:lpstr>Merger Outputs ~&gt;</vt:lpstr>
      <vt:lpstr>Merger Summary</vt:lpstr>
      <vt:lpstr>Side by Side</vt:lpstr>
      <vt:lpstr>Hist Contrib</vt:lpstr>
      <vt:lpstr>Proj Contrib</vt:lpstr>
      <vt:lpstr>a</vt:lpstr>
      <vt:lpstr>abs</vt:lpstr>
      <vt:lpstr>acap</vt:lpstr>
      <vt:lpstr>acase</vt:lpstr>
      <vt:lpstr>acfs</vt:lpstr>
      <vt:lpstr>acname</vt:lpstr>
      <vt:lpstr>acq</vt:lpstr>
      <vt:lpstr>acqnetdebt</vt:lpstr>
      <vt:lpstr>acqnetdebtfn</vt:lpstr>
      <vt:lpstr>adcf</vt:lpstr>
      <vt:lpstr>adiscconvention</vt:lpstr>
      <vt:lpstr>adshares</vt:lpstr>
      <vt:lpstr>aexercise</vt:lpstr>
      <vt:lpstr>aexit</vt:lpstr>
      <vt:lpstr>afcf</vt:lpstr>
      <vt:lpstr>afy</vt:lpstr>
      <vt:lpstr>afye</vt:lpstr>
      <vt:lpstr>afyshares</vt:lpstr>
      <vt:lpstr>ais</vt:lpstr>
      <vt:lpstr>alabel1</vt:lpstr>
      <vt:lpstr>alabel2</vt:lpstr>
      <vt:lpstr>alabel3</vt:lpstr>
      <vt:lpstr>alabelswitch</vt:lpstr>
      <vt:lpstr>albo</vt:lpstr>
      <vt:lpstr>alboprice</vt:lpstr>
      <vt:lpstr>altg</vt:lpstr>
      <vt:lpstr>altmdate</vt:lpstr>
      <vt:lpstr>aoptions</vt:lpstr>
      <vt:lpstr>aprice</vt:lpstr>
      <vt:lpstr>aquarter</vt:lpstr>
      <vt:lpstr>arsu</vt:lpstr>
      <vt:lpstr>ashares</vt:lpstr>
      <vt:lpstr>aspread</vt:lpstr>
      <vt:lpstr>asum</vt:lpstr>
      <vt:lpstr>atable1</vt:lpstr>
      <vt:lpstr>atable2</vt:lpstr>
      <vt:lpstr>atax</vt:lpstr>
      <vt:lpstr>aticker</vt:lpstr>
      <vt:lpstr>awc</vt:lpstr>
      <vt:lpstr>comp</vt:lpstr>
      <vt:lpstr>edate</vt:lpstr>
      <vt:lpstr>FY</vt:lpstr>
      <vt:lpstr>FYx</vt:lpstr>
      <vt:lpstr>FYz</vt:lpstr>
      <vt:lpstr>inputs</vt:lpstr>
      <vt:lpstr>m</vt:lpstr>
      <vt:lpstr>mcheck</vt:lpstr>
      <vt:lpstr>mergprice</vt:lpstr>
      <vt:lpstr>mfcf</vt:lpstr>
      <vt:lpstr>msum</vt:lpstr>
      <vt:lpstr>msweep</vt:lpstr>
      <vt:lpstr>mtable1</vt:lpstr>
      <vt:lpstr>mtable2</vt:lpstr>
      <vt:lpstr>'Acq ~&gt;'!Print_Area</vt:lpstr>
      <vt:lpstr>'Acq Balance Sheet'!Print_Area</vt:lpstr>
      <vt:lpstr>'Acq Cap Summary'!Print_Area</vt:lpstr>
      <vt:lpstr>'Acq Cash Flow'!Print_Area</vt:lpstr>
      <vt:lpstr>'Acq DCF'!Print_Area</vt:lpstr>
      <vt:lpstr>'Acq Income Statement'!Print_Area</vt:lpstr>
      <vt:lpstr>'Acq LBO'!Print_Area</vt:lpstr>
      <vt:lpstr>'Acq LBO Tables'!Print_Area</vt:lpstr>
      <vt:lpstr>'Acq Proj'!Print_Area</vt:lpstr>
      <vt:lpstr>'Acq Spread Cover'!Print_Area</vt:lpstr>
      <vt:lpstr>'Acq Working Capital'!Print_Area</vt:lpstr>
      <vt:lpstr>'Cover Page'!Print_Area</vt:lpstr>
      <vt:lpstr>'Hist Contrib'!Print_Area</vt:lpstr>
      <vt:lpstr>Inputs!Print_Area</vt:lpstr>
      <vt:lpstr>Merger!Print_Area</vt:lpstr>
      <vt:lpstr>'Merger Check'!Print_Area</vt:lpstr>
      <vt:lpstr>'Merger Outputs ~&gt;'!Print_Area</vt:lpstr>
      <vt:lpstr>'Merger Sensitivities'!Print_Area</vt:lpstr>
      <vt:lpstr>'Merger Summary'!Print_Area</vt:lpstr>
      <vt:lpstr>'Merger Tables'!Print_Area</vt:lpstr>
      <vt:lpstr>'Models ~&gt;'!Print_Area</vt:lpstr>
      <vt:lpstr>'Proj Contrib'!Print_Area</vt:lpstr>
      <vt:lpstr>'Side by Side'!Print_Area</vt:lpstr>
      <vt:lpstr>'Tar ~&gt;'!Print_Area</vt:lpstr>
      <vt:lpstr>'Tar Balance Sheet'!Print_Area</vt:lpstr>
      <vt:lpstr>'Tar Cap Summary'!Print_Area</vt:lpstr>
      <vt:lpstr>'Tar Cash Flow'!Print_Area</vt:lpstr>
      <vt:lpstr>'Tar DCF'!Print_Area</vt:lpstr>
      <vt:lpstr>'Tar Income Statement'!Print_Area</vt:lpstr>
      <vt:lpstr>'Tar LBO'!Print_Area</vt:lpstr>
      <vt:lpstr>'Tar LBO Tables'!Print_Area</vt:lpstr>
      <vt:lpstr>'Tar Proj'!Print_Area</vt:lpstr>
      <vt:lpstr>'Tar Spread Cover'!Print_Area</vt:lpstr>
      <vt:lpstr>'Tar Sum Financials'!Print_Area</vt:lpstr>
      <vt:lpstr>'Tar Working Capital'!Print_Area</vt:lpstr>
      <vt:lpstr>'Acq LBO'!Print_Titles</vt:lpstr>
      <vt:lpstr>'Acq LBO Tables'!Print_Titles</vt:lpstr>
      <vt:lpstr>'Acq Proj'!Print_Titles</vt:lpstr>
      <vt:lpstr>Merger!Print_Titles</vt:lpstr>
      <vt:lpstr>'Merger Tables'!Print_Titles</vt:lpstr>
      <vt:lpstr>'Tar LBO'!Print_Titles</vt:lpstr>
      <vt:lpstr>'Tar LBO Tables'!Print_Titles</vt:lpstr>
      <vt:lpstr>'Tar Proj'!Print_Titles</vt:lpstr>
      <vt:lpstr>proj</vt:lpstr>
      <vt:lpstr>repay</vt:lpstr>
      <vt:lpstr>syn</vt:lpstr>
      <vt:lpstr>t</vt:lpstr>
      <vt:lpstr>tar</vt:lpstr>
      <vt:lpstr>tarnetdebt</vt:lpstr>
      <vt:lpstr>tarnetdebtfn</vt:lpstr>
      <vt:lpstr>tbs</vt:lpstr>
      <vt:lpstr>tcap</vt:lpstr>
      <vt:lpstr>tcase</vt:lpstr>
      <vt:lpstr>tcfs</vt:lpstr>
      <vt:lpstr>tcname</vt:lpstr>
      <vt:lpstr>tdate</vt:lpstr>
      <vt:lpstr>tdcf</vt:lpstr>
      <vt:lpstr>tdiscconvention</vt:lpstr>
      <vt:lpstr>tdshares</vt:lpstr>
      <vt:lpstr>texercise</vt:lpstr>
      <vt:lpstr>texit</vt:lpstr>
      <vt:lpstr>tfcf</vt:lpstr>
      <vt:lpstr>tfy</vt:lpstr>
      <vt:lpstr>tfye</vt:lpstr>
      <vt:lpstr>tfyshares</vt:lpstr>
      <vt:lpstr>tis</vt:lpstr>
      <vt:lpstr>tlabel1</vt:lpstr>
      <vt:lpstr>tlabel2</vt:lpstr>
      <vt:lpstr>tlabel3</vt:lpstr>
      <vt:lpstr>tlabelswitch</vt:lpstr>
      <vt:lpstr>tlbo</vt:lpstr>
      <vt:lpstr>tlboprice</vt:lpstr>
      <vt:lpstr>tltg</vt:lpstr>
      <vt:lpstr>tltmdate</vt:lpstr>
      <vt:lpstr>toptions</vt:lpstr>
      <vt:lpstr>tprice</vt:lpstr>
      <vt:lpstr>tquarter</vt:lpstr>
      <vt:lpstr>trsu</vt:lpstr>
      <vt:lpstr>tshares</vt:lpstr>
      <vt:lpstr>tspread</vt:lpstr>
      <vt:lpstr>tsum</vt:lpstr>
      <vt:lpstr>ttable1</vt:lpstr>
      <vt:lpstr>ttable2</vt:lpstr>
      <vt:lpstr>ttax</vt:lpstr>
      <vt:lpstr>tticker</vt:lpstr>
      <vt:lpstr>twc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David</dc:creator>
  <cp:lastModifiedBy>James</cp:lastModifiedBy>
  <cp:lastPrinted>2019-05-24T19:48:04Z</cp:lastPrinted>
  <dcterms:created xsi:type="dcterms:W3CDTF">1998-04-16T15:37:21Z</dcterms:created>
  <dcterms:modified xsi:type="dcterms:W3CDTF">2019-05-24T19:48:11Z</dcterms:modified>
</cp:coreProperties>
</file>