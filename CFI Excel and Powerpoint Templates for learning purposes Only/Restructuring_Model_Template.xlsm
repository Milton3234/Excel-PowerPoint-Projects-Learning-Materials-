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0" windowWidth="29040" windowHeight="15720" tabRatio="830"/>
  </bookViews>
  <sheets>
    <sheet name="Cover Page" sheetId="74" r:id="rId1"/>
    <sheet name="Sources and Uses" sheetId="75" r:id="rId2"/>
    <sheet name="Recovery Analysis" sheetId="76" r:id="rId3"/>
    <sheet name="Distressed Investment Analysis" sheetId="77" r:id="rId4"/>
  </sheets>
  <externalReferences>
    <externalReference r:id="rId5"/>
  </externalReferences>
  <definedNames>
    <definedName name="_1__123Graph_ACHART_9" hidden="1">'[1]op inc as pct t'!$K$11:$K$15</definedName>
    <definedName name="_2__123Graph_BCHART_9" hidden="1">'[1]op inc as pct t'!$K$11:$K$17</definedName>
    <definedName name="_3__123Graph_LBL_ACHART_9" hidden="1">'[1]op inc as pct t'!$K$11:$K$15</definedName>
    <definedName name="_4__123Graph_LBL_BCHART_9" hidden="1">'[1]op inc as pct t'!$K$11:$K$17</definedName>
    <definedName name="_Order1" hidden="1">255</definedName>
    <definedName name="_Order2" hidden="1">0</definedName>
    <definedName name="a">#REF!</definedName>
    <definedName name="abs">#REF!</definedName>
    <definedName name="acap" localSheetId="2">#REF!</definedName>
    <definedName name="acap">#REF!</definedName>
    <definedName name="acase">#REF!</definedName>
    <definedName name="ACCOUNT_CHANGE" hidden="1">"ACCOUNT_CHANGE"</definedName>
    <definedName name="ACCOUNTS_PAY" hidden="1">"ACCOUNTS_PAY"</definedName>
    <definedName name="ACCRUED_EXP" hidden="1">"ACCRUED_EXP"</definedName>
    <definedName name="acfs">#REF!</definedName>
    <definedName name="acname">#REF!</definedName>
    <definedName name="acq">#REF!</definedName>
    <definedName name="acqnetdebt">#REF!</definedName>
    <definedName name="acqnetdebtfn">#REF!</definedName>
    <definedName name="adcf" localSheetId="2">#REF!</definedName>
    <definedName name="adcf">#REF!</definedName>
    <definedName name="ADD_PAID_IN" hidden="1">"ADD_PAID_IN"</definedName>
    <definedName name="adiscconvention" localSheetId="2">#REF!</definedName>
    <definedName name="adiscconvention">#REF!</definedName>
    <definedName name="adshares">#REF!</definedName>
    <definedName name="aexercise">#REF!</definedName>
    <definedName name="aexit" localSheetId="2">#REF!</definedName>
    <definedName name="aexit">#REF!</definedName>
    <definedName name="afcf" localSheetId="2">#REF!</definedName>
    <definedName name="afcf">#REF!</definedName>
    <definedName name="afy">#REF!</definedName>
    <definedName name="afye">#REF!</definedName>
    <definedName name="afyshares">#REF!</definedName>
    <definedName name="ais">#REF!</definedName>
    <definedName name="alabel1" localSheetId="2">#REF!</definedName>
    <definedName name="alabel1">#REF!</definedName>
    <definedName name="alabel2" localSheetId="2">#REF!</definedName>
    <definedName name="alabel2">#REF!</definedName>
    <definedName name="alabel3" localSheetId="2">#REF!</definedName>
    <definedName name="alabel3">#REF!</definedName>
    <definedName name="alabelswitch" localSheetId="2">#REF!</definedName>
    <definedName name="alabelswitch">#REF!</definedName>
    <definedName name="albo" localSheetId="2">#REF!</definedName>
    <definedName name="albo">#REF!</definedName>
    <definedName name="alboprice" localSheetId="2">#REF!</definedName>
    <definedName name="alboprice">#REF!</definedName>
    <definedName name="altg">#REF!</definedName>
    <definedName name="altmdate">#REF!</definedName>
    <definedName name="AMORTIZATION" hidden="1">"AMORTIZATION"</definedName>
    <definedName name="aoptions">#REF!</definedName>
    <definedName name="aprice">#REF!</definedName>
    <definedName name="aquarter">#REF!</definedName>
    <definedName name="arsu">#REF!</definedName>
    <definedName name="ashares">#REF!</definedName>
    <definedName name="aspread">#REF!</definedName>
    <definedName name="ASSET_TURNS" hidden="1">"ASSET_TURNS"</definedName>
    <definedName name="asum" localSheetId="2">#REF!</definedName>
    <definedName name="asum">#REF!</definedName>
    <definedName name="atable1" localSheetId="2">#REF!</definedName>
    <definedName name="atable1">#REF!</definedName>
    <definedName name="atable2" localSheetId="2">#REF!</definedName>
    <definedName name="atable2">#REF!</definedName>
    <definedName name="atax">#REF!</definedName>
    <definedName name="aticker">#REF!</definedName>
    <definedName name="awc" localSheetId="2">#REF!</definedName>
    <definedName name="awc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LPH1" localSheetId="2" hidden="1">#REF!</definedName>
    <definedName name="BLPH1" hidden="1">#REF!</definedName>
    <definedName name="BLPH10" localSheetId="2" hidden="1">#REF!</definedName>
    <definedName name="BLPH10" hidden="1">#REF!</definedName>
    <definedName name="BLPH11" localSheetId="2" hidden="1">#REF!</definedName>
    <definedName name="BLPH11" hidden="1">#REF!</definedName>
    <definedName name="BLPH12" localSheetId="2" hidden="1">#REF!</definedName>
    <definedName name="BLPH12" hidden="1">#REF!</definedName>
    <definedName name="BLPH13" localSheetId="2" hidden="1">#REF!</definedName>
    <definedName name="BLPH13" hidden="1">#REF!</definedName>
    <definedName name="BLPH14" localSheetId="2" hidden="1">#REF!</definedName>
    <definedName name="BLPH14" hidden="1">#REF!</definedName>
    <definedName name="BLPH15" localSheetId="2" hidden="1">#REF!</definedName>
    <definedName name="BLPH15" hidden="1">#REF!</definedName>
    <definedName name="BLPH16" localSheetId="2" hidden="1">#REF!</definedName>
    <definedName name="BLPH16" hidden="1">#REF!</definedName>
    <definedName name="BLPH17" localSheetId="2" hidden="1">#REF!</definedName>
    <definedName name="BLPH17" hidden="1">#REF!</definedName>
    <definedName name="BLPH18" localSheetId="2" hidden="1">#REF!</definedName>
    <definedName name="BLPH18" hidden="1">#REF!</definedName>
    <definedName name="BLPH19" localSheetId="2" hidden="1">#REF!</definedName>
    <definedName name="BLPH19" hidden="1">#REF!</definedName>
    <definedName name="BLPH2" localSheetId="2" hidden="1">#REF!</definedName>
    <definedName name="BLPH2" hidden="1">#REF!</definedName>
    <definedName name="BLPH20" localSheetId="2" hidden="1">#REF!</definedName>
    <definedName name="BLPH20" hidden="1">#REF!</definedName>
    <definedName name="BLPH21" localSheetId="2" hidden="1">#REF!</definedName>
    <definedName name="BLPH21" hidden="1">#REF!</definedName>
    <definedName name="BLPH22" localSheetId="2" hidden="1">#REF!</definedName>
    <definedName name="BLPH22" hidden="1">#REF!</definedName>
    <definedName name="BLPH23" localSheetId="2" hidden="1">#REF!</definedName>
    <definedName name="BLPH23" hidden="1">#REF!</definedName>
    <definedName name="BLPH24" localSheetId="2" hidden="1">#REF!</definedName>
    <definedName name="BLPH24" hidden="1">#REF!</definedName>
    <definedName name="BLPH25" localSheetId="2" hidden="1">#REF!</definedName>
    <definedName name="BLPH25" hidden="1">#REF!</definedName>
    <definedName name="BLPH26" localSheetId="2" hidden="1">#REF!</definedName>
    <definedName name="BLPH26" hidden="1">#REF!</definedName>
    <definedName name="BLPH27" localSheetId="2" hidden="1">#REF!</definedName>
    <definedName name="BLPH27" hidden="1">#REF!</definedName>
    <definedName name="BLPH28" localSheetId="2" hidden="1">#REF!</definedName>
    <definedName name="BLPH28" hidden="1">#REF!</definedName>
    <definedName name="BLPH29" localSheetId="2" hidden="1">#REF!</definedName>
    <definedName name="BLPH29" hidden="1">#REF!</definedName>
    <definedName name="BLPH3" localSheetId="2" hidden="1">#REF!</definedName>
    <definedName name="BLPH3" hidden="1">#REF!</definedName>
    <definedName name="BLPH30" localSheetId="2" hidden="1">#REF!</definedName>
    <definedName name="BLPH30" hidden="1">#REF!</definedName>
    <definedName name="BLPH31" localSheetId="2" hidden="1">#REF!</definedName>
    <definedName name="BLPH31" hidden="1">#REF!</definedName>
    <definedName name="BLPH32" localSheetId="2" hidden="1">#REF!</definedName>
    <definedName name="BLPH32" hidden="1">#REF!</definedName>
    <definedName name="BLPH33" localSheetId="2" hidden="1">#REF!</definedName>
    <definedName name="BLPH33" hidden="1">#REF!</definedName>
    <definedName name="BLPH34" localSheetId="2" hidden="1">#REF!</definedName>
    <definedName name="BLPH34" hidden="1">#REF!</definedName>
    <definedName name="BLPH35" localSheetId="2" hidden="1">#REF!</definedName>
    <definedName name="BLPH35" hidden="1">#REF!</definedName>
    <definedName name="BLPH36" localSheetId="2" hidden="1">#REF!</definedName>
    <definedName name="BLPH36" hidden="1">#REF!</definedName>
    <definedName name="BLPH37" localSheetId="2" hidden="1">#REF!</definedName>
    <definedName name="BLPH37" hidden="1">#REF!</definedName>
    <definedName name="BLPH38" localSheetId="2" hidden="1">#REF!</definedName>
    <definedName name="BLPH38" hidden="1">#REF!</definedName>
    <definedName name="BLPH39" localSheetId="2" hidden="1">#REF!</definedName>
    <definedName name="BLPH39" hidden="1">#REF!</definedName>
    <definedName name="BLPH4" localSheetId="2" hidden="1">#REF!</definedName>
    <definedName name="BLPH4" hidden="1">#REF!</definedName>
    <definedName name="BLPH40" localSheetId="2" hidden="1">#REF!</definedName>
    <definedName name="BLPH40" hidden="1">#REF!</definedName>
    <definedName name="BLPH41" localSheetId="2" hidden="1">#REF!</definedName>
    <definedName name="BLPH41" hidden="1">#REF!</definedName>
    <definedName name="BLPH42" localSheetId="2" hidden="1">#REF!</definedName>
    <definedName name="BLPH42" hidden="1">#REF!</definedName>
    <definedName name="BLPH43" localSheetId="2" hidden="1">#REF!</definedName>
    <definedName name="BLPH43" hidden="1">#REF!</definedName>
    <definedName name="BLPH44" localSheetId="2" hidden="1">#REF!</definedName>
    <definedName name="BLPH44" hidden="1">#REF!</definedName>
    <definedName name="BLPH45" localSheetId="2" hidden="1">#REF!</definedName>
    <definedName name="BLPH45" hidden="1">#REF!</definedName>
    <definedName name="BLPH46" localSheetId="2" hidden="1">#REF!</definedName>
    <definedName name="BLPH46" hidden="1">#REF!</definedName>
    <definedName name="BLPH47" localSheetId="2" hidden="1">#REF!</definedName>
    <definedName name="BLPH47" hidden="1">#REF!</definedName>
    <definedName name="BLPH48" localSheetId="2" hidden="1">#REF!</definedName>
    <definedName name="BLPH48" hidden="1">#REF!</definedName>
    <definedName name="BLPH49" localSheetId="2" hidden="1">#REF!</definedName>
    <definedName name="BLPH49" hidden="1">#REF!</definedName>
    <definedName name="BLPH5" localSheetId="2" hidden="1">#REF!</definedName>
    <definedName name="BLPH5" hidden="1">#REF!</definedName>
    <definedName name="BLPH50" localSheetId="2" hidden="1">#REF!</definedName>
    <definedName name="BLPH50" hidden="1">#REF!</definedName>
    <definedName name="BLPH51" localSheetId="2" hidden="1">#REF!</definedName>
    <definedName name="BLPH51" hidden="1">#REF!</definedName>
    <definedName name="BLPH52" localSheetId="2" hidden="1">#REF!</definedName>
    <definedName name="BLPH52" hidden="1">#REF!</definedName>
    <definedName name="BLPH53" localSheetId="2" hidden="1">#REF!</definedName>
    <definedName name="BLPH53" hidden="1">#REF!</definedName>
    <definedName name="BLPH54" localSheetId="2" hidden="1">#REF!</definedName>
    <definedName name="BLPH54" hidden="1">#REF!</definedName>
    <definedName name="BLPH55" localSheetId="2" hidden="1">#REF!</definedName>
    <definedName name="BLPH55" hidden="1">#REF!</definedName>
    <definedName name="BLPH56" localSheetId="2" hidden="1">#REF!</definedName>
    <definedName name="BLPH56" hidden="1">#REF!</definedName>
    <definedName name="BLPH57" localSheetId="2" hidden="1">#REF!</definedName>
    <definedName name="BLPH57" hidden="1">#REF!</definedName>
    <definedName name="BLPH58" localSheetId="2" hidden="1">#REF!</definedName>
    <definedName name="BLPH58" hidden="1">#REF!</definedName>
    <definedName name="BLPH59" localSheetId="2" hidden="1">#REF!</definedName>
    <definedName name="BLPH59" hidden="1">#REF!</definedName>
    <definedName name="BLPH6" localSheetId="2" hidden="1">#REF!</definedName>
    <definedName name="BLPH6" hidden="1">#REF!</definedName>
    <definedName name="BLPH60" localSheetId="2" hidden="1">#REF!</definedName>
    <definedName name="BLPH60" hidden="1">#REF!</definedName>
    <definedName name="BLPH61" localSheetId="2" hidden="1">#REF!</definedName>
    <definedName name="BLPH61" hidden="1">#REF!</definedName>
    <definedName name="BLPH62" localSheetId="2" hidden="1">#REF!</definedName>
    <definedName name="BLPH62" hidden="1">#REF!</definedName>
    <definedName name="BLPH63" localSheetId="2" hidden="1">#REF!</definedName>
    <definedName name="BLPH63" hidden="1">#REF!</definedName>
    <definedName name="BLPH64" localSheetId="2" hidden="1">#REF!</definedName>
    <definedName name="BLPH64" hidden="1">#REF!</definedName>
    <definedName name="BLPH65" localSheetId="2" hidden="1">#REF!</definedName>
    <definedName name="BLPH65" hidden="1">#REF!</definedName>
    <definedName name="BLPH66" localSheetId="2" hidden="1">#REF!</definedName>
    <definedName name="BLPH66" hidden="1">#REF!</definedName>
    <definedName name="BLPH67" localSheetId="2" hidden="1">#REF!</definedName>
    <definedName name="BLPH67" hidden="1">#REF!</definedName>
    <definedName name="BLPH68" localSheetId="2" hidden="1">#REF!</definedName>
    <definedName name="BLPH68" hidden="1">#REF!</definedName>
    <definedName name="BLPH69" localSheetId="2" hidden="1">#REF!</definedName>
    <definedName name="BLPH69" hidden="1">#REF!</definedName>
    <definedName name="BLPH7" localSheetId="2" hidden="1">#REF!</definedName>
    <definedName name="BLPH7" hidden="1">#REF!</definedName>
    <definedName name="BLPH8" localSheetId="2" hidden="1">#REF!</definedName>
    <definedName name="BLPH8" hidden="1">#REF!</definedName>
    <definedName name="BLPH9" localSheetId="2" hidden="1">#REF!</definedName>
    <definedName name="BLPH9" hidden="1">#REF!</definedName>
    <definedName name="BOOK_VALUE" hidden="1">"BOOK_VALUE"</definedName>
    <definedName name="BV_OVER_SHARES" hidden="1">"BV_OVER_SHARES"</definedName>
    <definedName name="CAPITAL_EXPEN" hidden="1">"CAPITAL_EXPEN"</definedName>
    <definedName name="CAPITAL_LEASE" hidden="1">"CAPITAL_LEASE"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HANGES_WORK_CAP" hidden="1">"CHANGES_WORK_CAP"</definedName>
    <definedName name="CIQWBGuid" localSheetId="0" hidden="1">"2cd8126d-26c3-430c-b7fa-a069e3a1fc62"</definedName>
    <definedName name="CIQWBGuid" hidden="1">"60540d9e-d8df-420d-a46f-fe125bb8aa33"</definedName>
    <definedName name="CITY" hidden="1">"CITY"</definedName>
    <definedName name="COMMON_STOCK" hidden="1">"COMMON_STOCK"</definedName>
    <definedName name="comp" localSheetId="2">#REF!</definedName>
    <definedName name="comp">#REF!</definedName>
    <definedName name="COMPANY_ADDRESS" hidden="1">"COMPANY_ADDRESS"</definedName>
    <definedName name="COMPANY_NAME" hidden="1">"COMPANY_NAME"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ST_REVENUE" hidden="1">"COST_REVENUE"</definedName>
    <definedName name="COUNTRY_NAME" hidden="1">"COUNTRY_NAME"</definedName>
    <definedName name="CURRENT_PORT" hidden="1">"CURRENT_PORT"</definedName>
    <definedName name="CURRENT_RATIO" hidden="1">"CURRENT_RATIO"</definedName>
    <definedName name="DAYS_PAY_OUTST" hidden="1">"DAYS_PAY_OUTST"</definedName>
    <definedName name="DAYS_SALES_OUTST" hidden="1">"DAYS_SALES_OUTST"</definedName>
    <definedName name="DEFERRED_INC_TAX" hidden="1">"DEFERRED_INC_TAX"</definedName>
    <definedName name="DEFERRED_TAXES" hidden="1">"DEFERRED_TAXES"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SCRIPTION_LONG" hidden="1">"DESCRIPTION_LONG"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VID_SHARE" hidden="1">"DIVID_SHARE"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date">#REF!</definedName>
    <definedName name="EFFECT_SPECIAL_CHARGE" hidden="1">"EFFECT_SPECIAL_CHARGE"</definedName>
    <definedName name="EMPLOYEES" hidden="1">"EMPLOYEES"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SOP_DEBT" hidden="1">"ESOP_DEBT"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XCHANGE" hidden="1">"EXCHANGE"</definedName>
    <definedName name="EXTRA_ITEMS" hidden="1">"EXTRA_ITEMS"</definedName>
    <definedName name="FINANCING_CASH" hidden="1">"FINANCING_CASH"</definedName>
    <definedName name="FOREIGN_EXCHANGE" hidden="1">"FOREIGN_EXCHANGE"</definedName>
    <definedName name="FY">#REF!</definedName>
    <definedName name="FY_DATE" hidden="1">"FY_DATE"</definedName>
    <definedName name="FYx">#REF!</definedName>
    <definedName name="FYz">#REF!</definedName>
    <definedName name="GAIN_SALE_ASSETS" hidden="1">"GAIN_SALE_ASSETS"</definedName>
    <definedName name="GOODWILL_NET" hidden="1">"GOODWILL_NET"</definedName>
    <definedName name="GROSS_DIVID" hidden="1">"GROSS_DIVID"</definedName>
    <definedName name="GROSS_MARGIN" hidden="1">"GROSS_MARGIN"</definedName>
    <definedName name="GROSS_PROFIT" hidden="1">"GROSS_PROFIT"</definedName>
    <definedName name="HIGHPRICE" hidden="1">"HIGHPRICE"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puts">#REF!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VENTORY_TURNS" hidden="1">"INVENTORY_TURNS"</definedName>
    <definedName name="IQ_ADDIN" hidden="1">"AUTO"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ACT_FFO_REUT" hidden="1">"c3843"</definedName>
    <definedName name="IQ_EST_FFO_DIFF_REUT" hidden="1">"c3890"</definedName>
    <definedName name="IQ_EST_FFO_SURPRISE_PERCENT_REUT" hidden="1">"c3891"</definedName>
    <definedName name="IQ_EV_OVER_REVENUE_EST" hidden="1">"IQ_EV_OVER_REVENUE_EST"</definedName>
    <definedName name="IQ_EV_OVER_REVENUE_EST_1" hidden="1">"IQ_EV_OVER_REVENUE_EST_1"</definedName>
    <definedName name="IQ_EXPENSE_CODE_" hidden="1">1056</definedName>
    <definedName name="IQ_FFO_EST_REUT" hidden="1">"c3837"</definedName>
    <definedName name="IQ_FFO_HIGH_EST_REUT" hidden="1">"c3839"</definedName>
    <definedName name="IQ_FFO_LOW_EST_REUT" hidden="1">"c3840"</definedName>
    <definedName name="IQ_FFO_MEDIAN_EST_REUT" hidden="1">"c3838"</definedName>
    <definedName name="IQ_FFO_NUM_EST_REUT" hidden="1">"c3841"</definedName>
    <definedName name="IQ_FFO_STDDEV_EST_REUT" hidden="1">"c3842"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TM">2000</definedName>
    <definedName name="IQ_LTM_DATE" hidden="1">"IQ_LTM_DATE"</definedName>
    <definedName name="IQ_LTMMONTH" hidden="1">120000</definedName>
    <definedName name="IQ_MONTH">15000</definedName>
    <definedName name="IQ_MTD" hidden="1">800000</definedName>
    <definedName name="IQ_NAMES_REVISION_DATE_" localSheetId="0" hidden="1">43109.7057291667</definedName>
    <definedName name="IQ_NAMES_REVISION_DATE_" hidden="1">43109.7057291667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TM">6000</definedName>
    <definedName name="IQ_OG_TOTAL_OIL_PRODUCTON" hidden="1">"c2059"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HAREOUTSTANDING" hidden="1">"c1347"</definedName>
    <definedName name="IQ_TODAY" hidden="1">0</definedName>
    <definedName name="IQ_TOTAL_PENSION_OBLIGATION" hidden="1">"c1292"</definedName>
    <definedName name="IQ_WEEK">50000</definedName>
    <definedName name="IQ_YTD">3000</definedName>
    <definedName name="IQ_YTDMONTH" hidden="1">130000</definedName>
    <definedName name="ISS_DEBT_NET" hidden="1">"ISS_DEBT_NET"</definedName>
    <definedName name="ISS_STOCK_NET" hidden="1">"ISS_STOCK_NET"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OAN_LOSS" hidden="1">"LOAN_LOSS"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WPRICE" hidden="1">"LOWPRICE"</definedName>
    <definedName name="LTM_DATE" hidden="1">"LTM_DATE"</definedName>
    <definedName name="LTM_REVENUE_OVER_EMPLOYEES" hidden="1">"LTM_REVENUE_OVER_EMPLOYEES"</definedName>
    <definedName name="m" localSheetId="2">#REF!</definedName>
    <definedName name="m">#REF!</definedName>
    <definedName name="MARKETCAP" hidden="1">"MARKETCAP"</definedName>
    <definedName name="mcheck" localSheetId="2">#REF!</definedName>
    <definedName name="mcheck">#REF!</definedName>
    <definedName name="mergprice" localSheetId="2">#REF!</definedName>
    <definedName name="mergprice">#REF!</definedName>
    <definedName name="mfcf" localSheetId="2">#REF!</definedName>
    <definedName name="mfcf">#REF!</definedName>
    <definedName name="MINORITY_INTEREST" hidden="1">"MINORITY_INTEREST"</definedName>
    <definedName name="MISC_EARN_ADJ" hidden="1">"MISC_EARN_ADJ"</definedName>
    <definedName name="msum" localSheetId="2">#REF!</definedName>
    <definedName name="msum">#REF!</definedName>
    <definedName name="msweep" localSheetId="2">#REF!</definedName>
    <definedName name="msweep">#REF!</definedName>
    <definedName name="mtable1" localSheetId="2">#REF!</definedName>
    <definedName name="mtable1">#REF!</definedName>
    <definedName name="mtable2" localSheetId="2">#REF!</definedName>
    <definedName name="mtable2">#REF!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ON_CASH" hidden="1">"NON_CASH"</definedName>
    <definedName name="NON_INTEREST_EXP" hidden="1">"NON_INTEREST_EXP"</definedName>
    <definedName name="NON_INTEREST_INC" hidden="1">"NON_INTEREST_INC"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OPENPRICE" hidden="1">"OPENPRICE"</definedName>
    <definedName name="OPER_INC" hidden="1">"OPER_INC"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PAY_ACCRUED" hidden="1">"PAY_ACCRUED"</definedName>
    <definedName name="PERIODDATE" hidden="1">"PERIODDATE"</definedName>
    <definedName name="PREF_DIVID" hidden="1">"PREF_DIVID"</definedName>
    <definedName name="PREF_STOCK" hidden="1">"PREF_STOCK"</definedName>
    <definedName name="PREPAID_EXPEN" hidden="1">"PREPAID_EXPEN"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_xlnm.Print_Area" localSheetId="0">'Cover Page'!$A$1:$P$26</definedName>
    <definedName name="_xlnm.Print_Area" localSheetId="3">'Distressed Investment Analysis'!$B$2:$G$46</definedName>
    <definedName name="_xlnm.Print_Area" localSheetId="2">'Recovery Analysis'!$B$2:$I$22</definedName>
    <definedName name="_xlnm.Print_Area" localSheetId="1">'Sources and Uses'!$B$2:$G$13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j">#REF!</definedName>
    <definedName name="PROPERTY_GROSS" hidden="1">"PROPERTY_GROSS"</definedName>
    <definedName name="PROPERTY_NET" hidden="1">"PROPERTY_NET"</definedName>
    <definedName name="QUICK_RATIO" hidden="1">"QUICK_RATIO"</definedName>
    <definedName name="REDEEM_PREF_STOCK" hidden="1">"REDEEM_PREF_STOCK"</definedName>
    <definedName name="repay" localSheetId="2">#REF!</definedName>
    <definedName name="repay">#REF!</definedName>
    <definedName name="RESEARCH_DEV" hidden="1">"RESEARCH_DEV"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SGA" hidden="1">"SGA"</definedName>
    <definedName name="SHARESOUTSTANDING" hidden="1">"SHARESOUTSTANDING"</definedName>
    <definedName name="SHORT_TERM_INVEST" hidden="1">"SHORT_TERM_INVEST"</definedName>
    <definedName name="STATE" hidden="1">"STATE"</definedName>
    <definedName name="STOCK_BASED" hidden="1">"STOCK_BASED"</definedName>
    <definedName name="syn" localSheetId="2">#REF!</definedName>
    <definedName name="syn">#REF!</definedName>
    <definedName name="t" localSheetId="2">#REF!</definedName>
    <definedName name="t">#REF!</definedName>
    <definedName name="tar" localSheetId="2">#REF!</definedName>
    <definedName name="tar">#REF!</definedName>
    <definedName name="tarnetdebt" localSheetId="2">#REF!</definedName>
    <definedName name="tarnetdebt">#REF!</definedName>
    <definedName name="tarnetdebtfn" localSheetId="2">#REF!</definedName>
    <definedName name="tarnetdebtfn">#REF!</definedName>
    <definedName name="tbs" localSheetId="2">#REF!</definedName>
    <definedName name="tbs">#REF!</definedName>
    <definedName name="tcap" localSheetId="2">#REF!</definedName>
    <definedName name="tcap">#REF!</definedName>
    <definedName name="tcase" localSheetId="2">#REF!</definedName>
    <definedName name="tcase">#REF!</definedName>
    <definedName name="tcfs" localSheetId="2">#REF!</definedName>
    <definedName name="tcfs">#REF!</definedName>
    <definedName name="tcname" localSheetId="2">#REF!</definedName>
    <definedName name="tcname">#REF!</definedName>
    <definedName name="tdate">#REF!</definedName>
    <definedName name="tdcf" localSheetId="2">#REF!</definedName>
    <definedName name="tdcf">#REF!</definedName>
    <definedName name="tdiscconvention" localSheetId="2">#REF!</definedName>
    <definedName name="tdiscconvention">#REF!</definedName>
    <definedName name="tdshares" localSheetId="2">#REF!</definedName>
    <definedName name="tdshares">#REF!</definedName>
    <definedName name="TemplateDate">32967</definedName>
    <definedName name="texercise" localSheetId="2">#REF!</definedName>
    <definedName name="texercise">#REF!</definedName>
    <definedName name="texit" localSheetId="2">#REF!</definedName>
    <definedName name="texit">#REF!</definedName>
    <definedName name="tfcf" localSheetId="2">#REF!</definedName>
    <definedName name="tfcf">#REF!</definedName>
    <definedName name="tfy" localSheetId="2">#REF!</definedName>
    <definedName name="tfy">#REF!</definedName>
    <definedName name="tfye" localSheetId="2">#REF!</definedName>
    <definedName name="tfye">#REF!</definedName>
    <definedName name="tfyshares" localSheetId="2">#REF!</definedName>
    <definedName name="tfyshares">#REF!</definedName>
    <definedName name="tis" localSheetId="2">#REF!</definedName>
    <definedName name="tis">#REF!</definedName>
    <definedName name="tlabel1" localSheetId="2">#REF!</definedName>
    <definedName name="tlabel1">#REF!</definedName>
    <definedName name="tlabel2" localSheetId="2">#REF!</definedName>
    <definedName name="tlabel2">#REF!</definedName>
    <definedName name="tlabel3" localSheetId="2">#REF!</definedName>
    <definedName name="tlabel3">#REF!</definedName>
    <definedName name="tlabelswitch" localSheetId="2">#REF!</definedName>
    <definedName name="tlabelswitch">#REF!</definedName>
    <definedName name="tlbo" localSheetId="2">#REF!</definedName>
    <definedName name="tlbo">#REF!</definedName>
    <definedName name="tlboprice" localSheetId="2">#REF!</definedName>
    <definedName name="tlboprice">#REF!</definedName>
    <definedName name="tltg" localSheetId="2">#REF!</definedName>
    <definedName name="tltg">#REF!</definedName>
    <definedName name="tltmdate" localSheetId="2">#REF!</definedName>
    <definedName name="tltmdate">#REF!</definedName>
    <definedName name="toptions" localSheetId="2">#REF!</definedName>
    <definedName name="toptions">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price" localSheetId="2">#REF!</definedName>
    <definedName name="tprice">#REF!</definedName>
    <definedName name="tquarter">#REF!</definedName>
    <definedName name="TRADE_AR" hidden="1">"TRADE_AR"</definedName>
    <definedName name="TREASURY_STOCK" hidden="1">"TREASURY_STOCK"</definedName>
    <definedName name="trsu" localSheetId="2">#REF!</definedName>
    <definedName name="trsu">#REF!</definedName>
    <definedName name="tshares" localSheetId="2">#REF!</definedName>
    <definedName name="tshares">#REF!</definedName>
    <definedName name="tspread" localSheetId="2">#REF!</definedName>
    <definedName name="tspread">#REF!</definedName>
    <definedName name="tsum" localSheetId="2">#REF!</definedName>
    <definedName name="tsum">#REF!</definedName>
    <definedName name="ttable1" localSheetId="2">#REF!</definedName>
    <definedName name="ttable1">#REF!</definedName>
    <definedName name="ttable2" localSheetId="2">#REF!</definedName>
    <definedName name="ttable2">#REF!</definedName>
    <definedName name="ttax" localSheetId="2">#REF!</definedName>
    <definedName name="ttax">#REF!</definedName>
    <definedName name="tticker" localSheetId="2">#REF!</definedName>
    <definedName name="tticker">#REF!</definedName>
    <definedName name="twc" localSheetId="2">#REF!</definedName>
    <definedName name="twc">#REF!</definedName>
    <definedName name="UNREALIZED_GAIN" hidden="1">"UNREALIZED_GAIN"</definedName>
    <definedName name="UNUSUAL_EXP" hidden="1">"UNUSUAL_EXP"</definedName>
    <definedName name="US_GAAP" hidden="1">"US_GAAP"</definedName>
    <definedName name="VOLUME" hidden="1">"VOLUME"</definedName>
    <definedName name="xxx" localSheetId="2" hidden="1">#REF!</definedName>
    <definedName name="xxx" hidden="1">#REF!</definedName>
    <definedName name="xxxx" hidden="1">'[1]op inc as pct t'!$K$11:$K$17</definedName>
    <definedName name="YEARHIGH" hidden="1">"YEARHIGH"</definedName>
    <definedName name="YEARLOW" hidden="1">"YEARLOW"</definedName>
  </definedNames>
  <calcPr calcId="144525" calcMode="manual" iterate="1" calcCompleted="0" calcOnSave="0"/>
  <customWorkbookViews>
    <customWorkbookView name="Michael Stack - Personal View" guid="{9AE38660-BF5A-49A3-9FC0-AD5890AFC019}" mergeInterval="0" personalView="1" maximized="1" windowWidth="1276" windowHeight="827" tabRatio="830" activeSheetId="36"/>
  </customWorkbookViews>
</workbook>
</file>

<file path=xl/calcChain.xml><?xml version="1.0" encoding="utf-8"?>
<calcChain xmlns="http://schemas.openxmlformats.org/spreadsheetml/2006/main">
  <c r="D46" i="77" l="1"/>
  <c r="C46" i="77"/>
  <c r="C45" i="77" s="1"/>
  <c r="D45" i="77" s="1"/>
  <c r="D41" i="77" s="1"/>
  <c r="D42" i="77" s="1"/>
  <c r="C42" i="77"/>
  <c r="D35" i="77"/>
  <c r="C35" i="77"/>
  <c r="C34" i="77" s="1"/>
  <c r="D34" i="77" s="1"/>
  <c r="C31" i="77"/>
  <c r="D13" i="77"/>
  <c r="C13" i="77"/>
  <c r="C12" i="77" s="1"/>
  <c r="D12" i="77" s="1"/>
  <c r="D17" i="77"/>
  <c r="D28" i="77" s="1"/>
  <c r="D39" i="77" s="1"/>
  <c r="C17" i="77"/>
  <c r="C28" i="77" s="1"/>
  <c r="C9" i="77"/>
  <c r="C20" i="77"/>
  <c r="C24" i="77"/>
  <c r="C23" i="77" s="1"/>
  <c r="D23" i="77" s="1"/>
  <c r="C44" i="77" l="1"/>
  <c r="D30" i="77"/>
  <c r="D31" i="77" s="1"/>
  <c r="C32" i="77" s="1"/>
  <c r="D8" i="77"/>
  <c r="D9" i="77" s="1"/>
  <c r="C10" i="77" s="1"/>
  <c r="C39" i="77"/>
  <c r="C43" i="77" s="1"/>
  <c r="C18" i="76"/>
  <c r="C20" i="76" s="1"/>
  <c r="G14" i="76" s="1"/>
  <c r="G10" i="76"/>
  <c r="G8" i="76"/>
  <c r="G7" i="76"/>
  <c r="G6" i="76"/>
  <c r="E9" i="76"/>
  <c r="E11" i="76" s="1"/>
  <c r="E13" i="76" s="1"/>
  <c r="D6" i="75"/>
  <c r="C6" i="75" s="1"/>
  <c r="C8" i="75" s="1"/>
  <c r="C5" i="75"/>
  <c r="D13" i="75"/>
  <c r="C11" i="77" l="1"/>
  <c r="C33" i="77"/>
  <c r="G8" i="75"/>
  <c r="D8" i="75"/>
  <c r="G9" i="76"/>
  <c r="G11" i="76" s="1"/>
  <c r="G13" i="76" s="1"/>
  <c r="G15" i="76" s="1"/>
  <c r="G7" i="75" l="1"/>
  <c r="G5" i="75" s="1"/>
  <c r="C24" i="76" s="1"/>
  <c r="H9" i="76" l="1"/>
  <c r="H11" i="76" s="1"/>
  <c r="H10" i="76"/>
  <c r="I10" i="76" s="1"/>
  <c r="H12" i="76" l="1"/>
  <c r="H14" i="76" s="1"/>
  <c r="E14" i="76" s="1"/>
  <c r="E15" i="76" s="1"/>
  <c r="I9" i="76"/>
  <c r="H7" i="76"/>
  <c r="I7" i="76" s="1"/>
  <c r="D24" i="77" s="1"/>
  <c r="D19" i="77" s="1"/>
  <c r="D20" i="77" s="1"/>
  <c r="C21" i="77" s="1"/>
  <c r="H8" i="76"/>
  <c r="I8" i="76" s="1"/>
  <c r="H6" i="76"/>
  <c r="I6" i="76" s="1"/>
  <c r="I12" i="76"/>
  <c r="I14" i="76"/>
  <c r="I11" i="76"/>
  <c r="C22" i="77" l="1"/>
  <c r="H13" i="76"/>
  <c r="I13" i="76" s="1"/>
  <c r="H15" i="76"/>
  <c r="I15" i="76" s="1"/>
</calcChain>
</file>

<file path=xl/sharedStrings.xml><?xml version="1.0" encoding="utf-8"?>
<sst xmlns="http://schemas.openxmlformats.org/spreadsheetml/2006/main" count="111" uniqueCount="75">
  <si>
    <t>Revolver</t>
  </si>
  <si>
    <t>Total Debt</t>
  </si>
  <si>
    <t>Total Capitalization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</si>
  <si>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</si>
  <si>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</si>
  <si>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</si>
  <si>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</si>
  <si>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</si>
  <si>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</si>
  <si>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</si>
  <si>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</si>
  <si>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</si>
  <si>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</si>
  <si>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Restructuring Model</t>
  </si>
  <si>
    <t>(Dollars in millions)</t>
  </si>
  <si>
    <t>Sources</t>
  </si>
  <si>
    <t>Uses</t>
  </si>
  <si>
    <t>Valuation Assumptions</t>
  </si>
  <si>
    <t>Emergence LTM EBITDA</t>
  </si>
  <si>
    <t>Target EV / LTM EBITDA</t>
  </si>
  <si>
    <t>Emergence Enterprise Value</t>
  </si>
  <si>
    <t>First Lien Credit Facility</t>
  </si>
  <si>
    <t>New Equity</t>
  </si>
  <si>
    <t>Total Sources</t>
  </si>
  <si>
    <t>Repay Prior Claims</t>
  </si>
  <si>
    <t>Fees &amp; Expenses</t>
  </si>
  <si>
    <t>Total Uses</t>
  </si>
  <si>
    <t>$</t>
  </si>
  <si>
    <t>Net Multiple</t>
  </si>
  <si>
    <t>Excess Balance Sheet Cash</t>
  </si>
  <si>
    <t>Recovery Analysis</t>
  </si>
  <si>
    <t>Recovery Analysis - Claims Prior to Emergence</t>
  </si>
  <si>
    <t>Term Loan A</t>
  </si>
  <si>
    <t>Term Loan B</t>
  </si>
  <si>
    <t>Holding Company Notes</t>
  </si>
  <si>
    <t>General Unsecured Claims</t>
  </si>
  <si>
    <t>Debtor in Possession ("DIP") Loan Facility Repayment</t>
  </si>
  <si>
    <t>Transaction Sources and Uses</t>
  </si>
  <si>
    <t xml:space="preserve">
Coupon</t>
  </si>
  <si>
    <t xml:space="preserve">
Maturity</t>
  </si>
  <si>
    <t>L + 450</t>
  </si>
  <si>
    <t>L + 800</t>
  </si>
  <si>
    <t>14% PIK</t>
  </si>
  <si>
    <t>Security</t>
  </si>
  <si>
    <t>Total Senior Debt</t>
  </si>
  <si>
    <t>Total Pre-Emergence Claims</t>
  </si>
  <si>
    <t>Common Equity</t>
  </si>
  <si>
    <t>Market Capitalization</t>
  </si>
  <si>
    <t>Fully Diluted Shares Outstanding</t>
  </si>
  <si>
    <t>Share Price (7/10/19)</t>
  </si>
  <si>
    <t>Recovery Value</t>
  </si>
  <si>
    <t>Recovery 
% of Allowable Claim</t>
  </si>
  <si>
    <t>Total Distributable Value</t>
  </si>
  <si>
    <t>Allowable 
Claim</t>
  </si>
  <si>
    <t>Trading 
Level</t>
  </si>
  <si>
    <t>Market Implied 
Recovery Value</t>
  </si>
  <si>
    <t>(Dollars in millions, except per share data)</t>
  </si>
  <si>
    <t>Sources and Uses</t>
  </si>
  <si>
    <t>Transaction Implied</t>
  </si>
  <si>
    <t>Observable Market Values</t>
  </si>
  <si>
    <t xml:space="preserve">Note: Trading levels as of July 10, 2019 as reported by Wall Street Research Provider. </t>
  </si>
  <si>
    <t>Term Loan A Investment</t>
  </si>
  <si>
    <t>Entry</t>
  </si>
  <si>
    <t>Market Price</t>
  </si>
  <si>
    <t>Face Value Outstanding</t>
  </si>
  <si>
    <t>Exit</t>
  </si>
  <si>
    <t>Total Cash Flows</t>
  </si>
  <si>
    <t>Date</t>
  </si>
  <si>
    <t>Emergence</t>
  </si>
  <si>
    <t>IRR</t>
  </si>
  <si>
    <t>MOIC</t>
  </si>
  <si>
    <t>Revolver Investment</t>
  </si>
  <si>
    <t>Term Loan B Investment</t>
  </si>
  <si>
    <t>Distressed Investment Analysis - Returns Calculations</t>
  </si>
  <si>
    <t>Distressed Investment Analysis Returns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</si>
</sst>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3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0.0%"/>
    <numFmt numFmtId="165" formatCode="0.000\ \x"/>
    <numFmt numFmtId="166" formatCode="&quot;$&quot;#,##0.0_);[Red]\(&quot;$&quot;#,##0.0\)"/>
    <numFmt numFmtId="167" formatCode="#,##0.0_);[Red]\(#,##0.0\)"/>
    <numFmt numFmtId="168" formatCode="0_);[Red]\(0\)"/>
    <numFmt numFmtId="169" formatCode="0.00_);\(0.00\)"/>
    <numFmt numFmtId="170" formatCode="&quot;$&quot;#,##0.0_);\(&quot;$&quot;#,##0.0\)"/>
    <numFmt numFmtId="171" formatCode="#,##0.0_);\(#,##0.0\)"/>
    <numFmt numFmtId="172" formatCode="_(* #,##0.0\ \ _);_(* \(#,##0.0\ \ \ ;_(* &quot;-&quot;??_);_(@_)"/>
    <numFmt numFmtId="173" formatCode="#,##0.0\ "/>
    <numFmt numFmtId="174" formatCode="_$&quot;$&quot;#,##0.00_);[Red]_$\(&quot;$&quot;#,##0.00\);_$&quot;$&quot;0.00_);_$@_)"/>
    <numFmt numFmtId="175" formatCode="_(&quot;$&quot;* #,##0.0_);_(&quot;$&quot;* \(#,##0.0\);_(&quot;$&quot;* &quot;-&quot;?_);_(@_)"/>
    <numFmt numFmtId="176" formatCode="mmmm\ d\,\ yyyy"/>
    <numFmt numFmtId="177" formatCode="_(* #,##0.0_%_);_(* \(#,##0.0_%\);_(* &quot; - &quot;_%_);_(@_)"/>
    <numFmt numFmtId="178" formatCode="_(* #,##0.0%_);_(* \(#,##0.0%\);_(* &quot; - &quot;\%_);_(@_)"/>
    <numFmt numFmtId="179" formatCode="_(* #,##0_);_(* \(#,##0\);_(* &quot; - &quot;_);_(@_)"/>
    <numFmt numFmtId="180" formatCode="_(* #,##0.0_);_(* \(#,##0.0\);_(* &quot; - &quot;_);_(@_)"/>
    <numFmt numFmtId="181" formatCode="_(* #,##0.00_);_(* \(#,##0.00\);_(* &quot; - &quot;_);_(@_)"/>
    <numFmt numFmtId="182" formatCode="_(* #,##0.000_);_(* \(#,##0.000\);_(* &quot; - &quot;_);_(@_)"/>
    <numFmt numFmtId="183" formatCode="#,##0;\(#,##0\);&quot;-&quot;"/>
    <numFmt numFmtId="184" formatCode="mmmm\ d\,"/>
    <numFmt numFmtId="185" formatCode="0.0\ \x;\(0.0\ \x\)"/>
    <numFmt numFmtId="186" formatCode="[White]General;[White]General;[White]General;[White]General"/>
    <numFmt numFmtId="187" formatCode="&quot;x&quot;;&quot;x&quot;;&quot;x&quot;;&quot;x&quot;"/>
    <numFmt numFmtId="188" formatCode="0.00_)"/>
    <numFmt numFmtId="189" formatCode="0000"/>
    <numFmt numFmtId="190" formatCode="000000"/>
    <numFmt numFmtId="191" formatCode="hh:mm:ss"/>
    <numFmt numFmtId="192" formatCode="&quot;$&quot;#,##0;&quot;$&quot;\(#,##0"/>
    <numFmt numFmtId="193" formatCode="0.000_);\(0.000\)"/>
    <numFmt numFmtId="194" formatCode="#,##0;\(#,##0"/>
    <numFmt numFmtId="195" formatCode="&quot;$&quot;#,##0.00;&quot;$&quot;\(#,##0.00"/>
    <numFmt numFmtId="196" formatCode="&quot;$&quot;#,##0.0_);\(&quot;$&quot;#,##0.0\);&quot;--&quot;_);@_)"/>
    <numFmt numFmtId="197" formatCode="#,##0.0_);\(#,##0.0\);&quot;--&quot;_);@_)"/>
    <numFmt numFmtId="198" formatCode="0.0\ \x_);\(0.0\ \x\);&quot;--&quot;_ _x_);@_ _x_)"/>
    <numFmt numFmtId="199" formatCode="_-* #,##0.00_-;\-* #,##0.00_-;_-* &quot;-&quot;??_-;_-@_-"/>
    <numFmt numFmtId="200" formatCode="#,##0%_);\(#,##0%\);&quot;--&quot;_%_);@_%_)"/>
    <numFmt numFmtId="201" formatCode="#,##0.0%_);\(#,##0.0%\);&quot;--&quot;_%_);@_%_)"/>
    <numFmt numFmtId="202" formatCode="0.00\ \x_);\(0.00\ \x\);&quot;--&quot;_ _x_);@_ _x_)"/>
  </numFmts>
  <fonts count="60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6"/>
      <name val="Arial"/>
      <family val="2"/>
    </font>
    <font>
      <sz val="10"/>
      <name val="Times New Roman"/>
      <family val="1"/>
    </font>
    <font>
      <sz val="11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b/>
      <u val="singleAccounting"/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u val="double"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10"/>
      <name val="Wingdings"/>
      <charset val="2"/>
    </font>
    <font>
      <sz val="8"/>
      <color indexed="9"/>
      <name val="Arial"/>
      <family val="2"/>
    </font>
    <font>
      <sz val="8"/>
      <color indexed="9"/>
      <name val="Geneva"/>
      <family val="2"/>
    </font>
    <font>
      <sz val="12"/>
      <color indexed="9"/>
      <name val="Arial"/>
      <family val="2"/>
    </font>
    <font>
      <sz val="8"/>
      <name val="Helv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i/>
      <sz val="16"/>
      <color indexed="9"/>
      <name val="Helvetica"/>
      <family val="2"/>
    </font>
    <font>
      <b/>
      <sz val="10"/>
      <color indexed="9"/>
      <name val="MS Sans Serif"/>
      <family val="2"/>
    </font>
    <font>
      <sz val="11"/>
      <name val="Times New Roman"/>
      <family val="1"/>
    </font>
    <font>
      <b/>
      <sz val="8"/>
      <color indexed="9"/>
      <name val="Times"/>
      <family val="1"/>
    </font>
    <font>
      <sz val="11"/>
      <color theme="1"/>
      <name val="Arial"/>
      <family val="2"/>
    </font>
    <font>
      <sz val="10"/>
      <color indexed="12"/>
      <name val="Arial Narrow"/>
      <family val="2"/>
    </font>
    <font>
      <sz val="10"/>
      <name val="Arial Narrow"/>
      <family val="2"/>
    </font>
    <font>
      <i/>
      <sz val="10"/>
      <name val="Arial Narrow"/>
      <family val="2"/>
    </font>
    <font>
      <u/>
      <sz val="10"/>
      <name val="Arial Narrow"/>
      <family val="2"/>
    </font>
    <font>
      <sz val="10"/>
      <color rgb="FF00B050"/>
      <name val="Arial Narrow"/>
      <family val="2"/>
    </font>
    <font>
      <b/>
      <sz val="12"/>
      <name val="Arial Narrow"/>
      <family val="2"/>
    </font>
    <font>
      <b/>
      <sz val="12"/>
      <color theme="0"/>
      <name val="Arial Narrow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u/>
      <sz val="10"/>
      <color theme="10"/>
      <name val="Arial"/>
      <family val="2"/>
    </font>
    <font>
      <u/>
      <sz val="10"/>
      <color rgb="FF132E57"/>
      <name val="Arial"/>
      <family val="2"/>
    </font>
    <font>
      <u/>
      <sz val="10"/>
      <color theme="1"/>
      <name val="Arial"/>
      <family val="2"/>
    </font>
    <font>
      <sz val="11"/>
      <color theme="0"/>
      <name val="Arial Narrow"/>
      <family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sz val="12"/>
      <color indexed="12"/>
      <name val="Arial Narrow"/>
      <family val="2"/>
    </font>
    <font>
      <b/>
      <i/>
      <sz val="16"/>
      <name val="Arial Narrow"/>
      <family val="2"/>
    </font>
    <font>
      <i/>
      <sz val="12"/>
      <name val="Arial Narrow"/>
      <family val="2"/>
    </font>
    <font>
      <i/>
      <sz val="12"/>
      <color rgb="FF00B05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ED942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18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8">
    <xf numFmtId="0" fontId="0" fillId="0" borderId="0" applyNumberFormat="0" applyFont="0" applyFill="0" applyBorder="0" applyAlignment="0" applyProtection="0"/>
    <xf numFmtId="170" fontId="5" fillId="0" borderId="0">
      <alignment horizontal="right"/>
    </xf>
    <xf numFmtId="7" fontId="5" fillId="0" borderId="0">
      <alignment horizontal="right"/>
    </xf>
    <xf numFmtId="0" fontId="2" fillId="0" borderId="0" applyNumberFormat="0" applyFont="0" applyFill="0" applyBorder="0" applyAlignment="0" applyProtection="0"/>
    <xf numFmtId="189" fontId="16" fillId="0" borderId="0">
      <alignment horizontal="left"/>
    </xf>
    <xf numFmtId="190" fontId="17" fillId="0" borderId="0">
      <alignment horizontal="left"/>
    </xf>
    <xf numFmtId="172" fontId="2" fillId="0" borderId="1" applyFont="0" applyFill="0" applyBorder="0" applyAlignment="0" applyProtection="0"/>
    <xf numFmtId="173" fontId="2" fillId="0" borderId="0" applyFont="0" applyFill="0" applyBorder="0" applyAlignment="0" applyProtection="0">
      <alignment horizontal="center"/>
    </xf>
    <xf numFmtId="191" fontId="18" fillId="0" borderId="0"/>
    <xf numFmtId="174" fontId="2" fillId="0" borderId="0"/>
    <xf numFmtId="0" fontId="5" fillId="0" borderId="2" applyBorder="0">
      <alignment horizontal="centerContinuous"/>
    </xf>
    <xf numFmtId="167" fontId="2" fillId="0" borderId="0" applyFill="0" applyBorder="0" applyAlignment="0" applyProtection="0"/>
    <xf numFmtId="168" fontId="2" fillId="0" borderId="0" applyFont="0" applyFill="0" applyBorder="0" applyAlignment="0" applyProtection="0">
      <protection locked="0"/>
    </xf>
    <xf numFmtId="175" fontId="6" fillId="0" borderId="0"/>
    <xf numFmtId="192" fontId="19" fillId="0" borderId="0" applyFill="0" applyBorder="0">
      <alignment horizontal="right"/>
    </xf>
    <xf numFmtId="169" fontId="19" fillId="0" borderId="0" applyFill="0" applyBorder="0">
      <alignment horizontal="right"/>
    </xf>
    <xf numFmtId="195" fontId="19" fillId="0" borderId="2" applyFill="0" applyBorder="0">
      <alignment horizontal="right"/>
    </xf>
    <xf numFmtId="176" fontId="5" fillId="0" borderId="3">
      <alignment horizontal="centerContinuous"/>
    </xf>
    <xf numFmtId="166" fontId="6" fillId="0" borderId="0"/>
    <xf numFmtId="7" fontId="2" fillId="0" borderId="4" applyFont="0" applyFill="0" applyBorder="0" applyAlignment="0" applyProtection="0"/>
    <xf numFmtId="165" fontId="5" fillId="0" borderId="5"/>
    <xf numFmtId="177" fontId="7" fillId="0" borderId="0">
      <alignment horizontal="right" vertical="top"/>
    </xf>
    <xf numFmtId="178" fontId="8" fillId="0" borderId="0">
      <alignment horizontal="right" vertical="top"/>
    </xf>
    <xf numFmtId="178" fontId="7" fillId="0" borderId="0">
      <alignment horizontal="right" vertical="top"/>
    </xf>
    <xf numFmtId="179" fontId="2" fillId="0" borderId="0" applyFill="0" applyBorder="0">
      <alignment horizontal="right" vertical="top"/>
    </xf>
    <xf numFmtId="180" fontId="2" fillId="0" borderId="0" applyFill="0" applyBorder="0">
      <alignment horizontal="right" vertical="top"/>
    </xf>
    <xf numFmtId="181" fontId="2" fillId="0" borderId="0" applyFill="0" applyBorder="0">
      <alignment horizontal="right" vertical="top"/>
    </xf>
    <xf numFmtId="182" fontId="2" fillId="0" borderId="0" applyFill="0" applyBorder="0">
      <alignment horizontal="right" vertical="top"/>
    </xf>
    <xf numFmtId="0" fontId="9" fillId="0" borderId="0">
      <alignment horizontal="center" wrapText="1"/>
    </xf>
    <xf numFmtId="183" fontId="10" fillId="0" borderId="0" applyFill="0" applyBorder="0">
      <alignment vertical="top"/>
    </xf>
    <xf numFmtId="183" fontId="11" fillId="0" borderId="0" applyFill="0" applyBorder="0" applyProtection="0">
      <alignment vertical="top"/>
    </xf>
    <xf numFmtId="183" fontId="12" fillId="0" borderId="0">
      <alignment vertical="top"/>
    </xf>
    <xf numFmtId="41" fontId="2" fillId="0" borderId="0" applyFill="0" applyBorder="0" applyAlignment="0" applyProtection="0">
      <alignment horizontal="right" vertical="top"/>
    </xf>
    <xf numFmtId="183" fontId="4" fillId="0" borderId="0"/>
    <xf numFmtId="0" fontId="2" fillId="0" borderId="0" applyFill="0" applyBorder="0">
      <alignment horizontal="left" vertical="top"/>
    </xf>
    <xf numFmtId="0" fontId="16" fillId="2" borderId="0"/>
    <xf numFmtId="0" fontId="20" fillId="0" borderId="0">
      <alignment horizontal="right"/>
    </xf>
    <xf numFmtId="0" fontId="21" fillId="0" borderId="6"/>
    <xf numFmtId="0" fontId="21" fillId="0" borderId="4">
      <alignment horizontal="left" vertical="center"/>
    </xf>
    <xf numFmtId="171" fontId="3" fillId="0" borderId="0" applyFill="0" applyBorder="0" applyAlignment="0" applyProtection="0"/>
    <xf numFmtId="0" fontId="16" fillId="3" borderId="0"/>
    <xf numFmtId="37" fontId="3" fillId="0" borderId="0"/>
    <xf numFmtId="184" fontId="5" fillId="0" borderId="0"/>
    <xf numFmtId="185" fontId="5" fillId="0" borderId="0"/>
    <xf numFmtId="188" fontId="22" fillId="0" borderId="0"/>
    <xf numFmtId="194" fontId="19" fillId="0" borderId="0" applyFill="0" applyBorder="0">
      <alignment horizontal="right"/>
    </xf>
    <xf numFmtId="193" fontId="19" fillId="0" borderId="0" applyFill="0">
      <alignment horizontal="right"/>
    </xf>
    <xf numFmtId="169" fontId="19" fillId="0" borderId="0" applyFill="0" applyBorder="0">
      <alignment horizontal="right"/>
    </xf>
    <xf numFmtId="164" fontId="18" fillId="0" borderId="0"/>
    <xf numFmtId="10" fontId="18" fillId="0" borderId="0"/>
    <xf numFmtId="0" fontId="18" fillId="0" borderId="0"/>
    <xf numFmtId="15" fontId="18" fillId="0" borderId="0"/>
    <xf numFmtId="4" fontId="18" fillId="0" borderId="0"/>
    <xf numFmtId="0" fontId="23" fillId="0" borderId="7">
      <alignment horizontal="center"/>
    </xf>
    <xf numFmtId="3" fontId="18" fillId="0" borderId="0"/>
    <xf numFmtId="0" fontId="18" fillId="0" borderId="0"/>
    <xf numFmtId="171" fontId="5" fillId="0" borderId="0">
      <alignment horizontal="right"/>
    </xf>
    <xf numFmtId="14" fontId="5" fillId="0" borderId="3">
      <alignment horizontal="centerContinuous"/>
    </xf>
    <xf numFmtId="0" fontId="24" fillId="0" borderId="0">
      <alignment horizontal="left"/>
    </xf>
    <xf numFmtId="0" fontId="11" fillId="0" borderId="0">
      <alignment horizontal="centerContinuous"/>
    </xf>
    <xf numFmtId="0" fontId="25" fillId="0" borderId="0"/>
    <xf numFmtId="0" fontId="13" fillId="0" borderId="0">
      <alignment horizontal="fill"/>
    </xf>
    <xf numFmtId="0" fontId="14" fillId="0" borderId="0"/>
    <xf numFmtId="186" fontId="14" fillId="0" borderId="0"/>
    <xf numFmtId="187" fontId="15" fillId="4" borderId="0">
      <alignment horizontal="center"/>
    </xf>
    <xf numFmtId="0" fontId="26" fillId="0" borderId="0"/>
    <xf numFmtId="0" fontId="1" fillId="0" borderId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1" fillId="0" borderId="0" applyAlignment="0"/>
    <xf numFmtId="0" fontId="42" fillId="0" borderId="0" applyAlignment="0"/>
    <xf numFmtId="0" fontId="43" fillId="10" borderId="0" applyAlignment="0"/>
    <xf numFmtId="199" fontId="1" fillId="0" borderId="0" applyFont="0" applyFill="0" applyBorder="0" applyAlignment="0" applyProtection="0"/>
    <xf numFmtId="43" fontId="35" fillId="0" borderId="0" applyFont="0" applyFill="0" applyBorder="0" applyAlignment="0" applyProtection="0"/>
    <xf numFmtId="0" fontId="44" fillId="0" borderId="0" applyAlignment="0"/>
    <xf numFmtId="0" fontId="45" fillId="11" borderId="0" applyAlignment="0"/>
    <xf numFmtId="0" fontId="46" fillId="12" borderId="0" applyAlignment="0"/>
    <xf numFmtId="0" fontId="47" fillId="0" borderId="0" applyAlignment="0"/>
    <xf numFmtId="0" fontId="35" fillId="0" borderId="0"/>
    <xf numFmtId="9" fontId="1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48" fillId="5" borderId="0" applyAlignment="0"/>
    <xf numFmtId="0" fontId="49" fillId="0" borderId="0" applyAlignment="0"/>
    <xf numFmtId="0" fontId="50" fillId="0" borderId="0" applyAlignment="0"/>
    <xf numFmtId="0" fontId="51" fillId="0" borderId="0" applyAlignment="0"/>
    <xf numFmtId="0" fontId="52" fillId="0" borderId="0" applyAlignment="0"/>
    <xf numFmtId="0" fontId="14" fillId="0" borderId="0" applyAlignment="0"/>
    <xf numFmtId="0" fontId="53" fillId="0" borderId="0" applyAlignment="0"/>
  </cellStyleXfs>
  <cellXfs count="74">
    <xf numFmtId="0" fontId="0" fillId="0" borderId="0" xfId="0"/>
    <xf numFmtId="0" fontId="28" fillId="0" borderId="0" xfId="0" applyFont="1"/>
    <xf numFmtId="0" fontId="35" fillId="8" borderId="0" xfId="66" applyFont="1" applyFill="1"/>
    <xf numFmtId="0" fontId="35" fillId="0" borderId="0" xfId="66" applyFont="1" applyFill="1" applyBorder="1"/>
    <xf numFmtId="0" fontId="36" fillId="0" borderId="0" xfId="66" applyFont="1" applyFill="1" applyBorder="1" applyProtection="1">
      <protection locked="0"/>
    </xf>
    <xf numFmtId="0" fontId="34" fillId="0" borderId="0" xfId="66" applyFont="1" applyFill="1" applyBorder="1" applyAlignment="1">
      <alignment horizontal="right"/>
    </xf>
    <xf numFmtId="0" fontId="35" fillId="0" borderId="0" xfId="66" applyFont="1" applyFill="1" applyBorder="1" applyProtection="1">
      <protection locked="0"/>
    </xf>
    <xf numFmtId="0" fontId="38" fillId="0" borderId="0" xfId="67" applyFont="1" applyFill="1" applyBorder="1" applyProtection="1">
      <protection locked="0"/>
    </xf>
    <xf numFmtId="0" fontId="35" fillId="0" borderId="8" xfId="66" applyFont="1" applyFill="1" applyBorder="1"/>
    <xf numFmtId="0" fontId="39" fillId="0" borderId="0" xfId="68" applyFont="1" applyFill="1" applyBorder="1"/>
    <xf numFmtId="0" fontId="40" fillId="6" borderId="0" xfId="66" applyFont="1" applyFill="1" applyBorder="1"/>
    <xf numFmtId="0" fontId="35" fillId="6" borderId="0" xfId="66" applyFont="1" applyFill="1" applyBorder="1"/>
    <xf numFmtId="0" fontId="35" fillId="9" borderId="0" xfId="66" applyFont="1" applyFill="1"/>
    <xf numFmtId="0" fontId="40" fillId="6" borderId="0" xfId="66" applyFont="1" applyFill="1"/>
    <xf numFmtId="0" fontId="34" fillId="0" borderId="2" xfId="66" applyFont="1" applyFill="1" applyBorder="1" applyProtection="1">
      <protection locked="0"/>
    </xf>
    <xf numFmtId="196" fontId="28" fillId="0" borderId="0" xfId="0" applyNumberFormat="1" applyFont="1"/>
    <xf numFmtId="0" fontId="30" fillId="0" borderId="0" xfId="0" applyFont="1"/>
    <xf numFmtId="0" fontId="27" fillId="0" borderId="0" xfId="0" applyFont="1"/>
    <xf numFmtId="0" fontId="54" fillId="7" borderId="0" xfId="3" applyFont="1" applyFill="1" applyBorder="1" applyAlignment="1">
      <alignment horizontal="left"/>
    </xf>
    <xf numFmtId="0" fontId="54" fillId="7" borderId="0" xfId="3" applyFont="1" applyFill="1" applyBorder="1" applyAlignment="1">
      <alignment horizontal="center" wrapText="1"/>
    </xf>
    <xf numFmtId="0" fontId="55" fillId="0" borderId="0" xfId="0" applyFont="1"/>
    <xf numFmtId="0" fontId="54" fillId="7" borderId="0" xfId="3" applyFont="1" applyFill="1" applyBorder="1" applyAlignment="1">
      <alignment horizontal="center"/>
    </xf>
    <xf numFmtId="196" fontId="55" fillId="0" borderId="0" xfId="0" applyNumberFormat="1" applyFont="1"/>
    <xf numFmtId="198" fontId="56" fillId="0" borderId="0" xfId="0" applyNumberFormat="1" applyFont="1"/>
    <xf numFmtId="7" fontId="55" fillId="0" borderId="0" xfId="0" applyNumberFormat="1" applyFont="1"/>
    <xf numFmtId="197" fontId="55" fillId="0" borderId="0" xfId="0" applyNumberFormat="1" applyFont="1"/>
    <xf numFmtId="198" fontId="55" fillId="0" borderId="0" xfId="0" applyNumberFormat="1" applyFont="1"/>
    <xf numFmtId="197" fontId="56" fillId="0" borderId="0" xfId="0" applyNumberFormat="1" applyFont="1"/>
    <xf numFmtId="0" fontId="55" fillId="0" borderId="2" xfId="0" applyFont="1" applyBorder="1"/>
    <xf numFmtId="197" fontId="56" fillId="0" borderId="2" xfId="0" applyNumberFormat="1" applyFont="1" applyBorder="1"/>
    <xf numFmtId="0" fontId="32" fillId="0" borderId="9" xfId="0" applyFont="1" applyBorder="1"/>
    <xf numFmtId="196" fontId="32" fillId="0" borderId="9" xfId="0" applyNumberFormat="1" applyFont="1" applyBorder="1"/>
    <xf numFmtId="198" fontId="32" fillId="0" borderId="9" xfId="0" applyNumberFormat="1" applyFont="1" applyBorder="1"/>
    <xf numFmtId="0" fontId="57" fillId="0" borderId="0" xfId="0" applyFont="1"/>
    <xf numFmtId="0" fontId="55" fillId="0" borderId="0" xfId="0" applyFont="1" applyAlignment="1">
      <alignment horizontal="center"/>
    </xf>
    <xf numFmtId="14" fontId="55" fillId="0" borderId="0" xfId="0" applyNumberFormat="1" applyFont="1" applyAlignment="1">
      <alignment horizontal="center"/>
    </xf>
    <xf numFmtId="8" fontId="28" fillId="0" borderId="0" xfId="0" applyNumberFormat="1" applyFont="1"/>
    <xf numFmtId="197" fontId="55" fillId="0" borderId="2" xfId="0" applyNumberFormat="1" applyFont="1" applyBorder="1"/>
    <xf numFmtId="200" fontId="55" fillId="0" borderId="0" xfId="0" applyNumberFormat="1" applyFont="1"/>
    <xf numFmtId="200" fontId="55" fillId="0" borderId="2" xfId="0" applyNumberFormat="1" applyFont="1" applyBorder="1"/>
    <xf numFmtId="200" fontId="55" fillId="0" borderId="0" xfId="0" applyNumberFormat="1" applyFont="1" applyBorder="1"/>
    <xf numFmtId="0" fontId="58" fillId="0" borderId="0" xfId="0" applyFont="1"/>
    <xf numFmtId="0" fontId="32" fillId="13" borderId="0" xfId="0" applyFont="1" applyFill="1" applyAlignment="1">
      <alignment horizontal="centerContinuous"/>
    </xf>
    <xf numFmtId="0" fontId="33" fillId="14" borderId="0" xfId="0" applyFont="1" applyFill="1" applyAlignment="1">
      <alignment horizontal="centerContinuous"/>
    </xf>
    <xf numFmtId="196" fontId="56" fillId="0" borderId="0" xfId="0" applyNumberFormat="1" applyFont="1"/>
    <xf numFmtId="9" fontId="56" fillId="0" borderId="0" xfId="0" applyNumberFormat="1" applyFont="1"/>
    <xf numFmtId="7" fontId="31" fillId="0" borderId="0" xfId="0" applyNumberFormat="1" applyFont="1"/>
    <xf numFmtId="0" fontId="56" fillId="0" borderId="0" xfId="0" applyFont="1" applyAlignment="1">
      <alignment horizontal="center"/>
    </xf>
    <xf numFmtId="14" fontId="56" fillId="0" borderId="0" xfId="0" applyNumberFormat="1" applyFont="1" applyAlignment="1">
      <alignment horizontal="center"/>
    </xf>
    <xf numFmtId="0" fontId="56" fillId="0" borderId="2" xfId="0" applyFont="1" applyBorder="1" applyAlignment="1">
      <alignment horizontal="center"/>
    </xf>
    <xf numFmtId="14" fontId="56" fillId="0" borderId="2" xfId="0" applyNumberFormat="1" applyFont="1" applyBorder="1" applyAlignment="1">
      <alignment horizontal="center"/>
    </xf>
    <xf numFmtId="9" fontId="56" fillId="0" borderId="2" xfId="0" applyNumberFormat="1" applyFont="1" applyBorder="1"/>
    <xf numFmtId="8" fontId="56" fillId="0" borderId="2" xfId="0" applyNumberFormat="1" applyFont="1" applyBorder="1"/>
    <xf numFmtId="0" fontId="55" fillId="0" borderId="9" xfId="0" applyFont="1" applyBorder="1"/>
    <xf numFmtId="196" fontId="55" fillId="0" borderId="9" xfId="0" applyNumberFormat="1" applyFont="1" applyBorder="1"/>
    <xf numFmtId="200" fontId="55" fillId="0" borderId="9" xfId="0" applyNumberFormat="1" applyFont="1" applyBorder="1"/>
    <xf numFmtId="0" fontId="29" fillId="0" borderId="0" xfId="0" applyFont="1"/>
    <xf numFmtId="196" fontId="58" fillId="0" borderId="0" xfId="0" applyNumberFormat="1" applyFont="1"/>
    <xf numFmtId="9" fontId="58" fillId="0" borderId="0" xfId="0" applyNumberFormat="1" applyFont="1"/>
    <xf numFmtId="200" fontId="58" fillId="0" borderId="0" xfId="0" applyNumberFormat="1" applyFont="1"/>
    <xf numFmtId="14" fontId="56" fillId="0" borderId="0" xfId="0" applyNumberFormat="1" applyFont="1"/>
    <xf numFmtId="0" fontId="32" fillId="13" borderId="0" xfId="0" applyFont="1" applyFill="1"/>
    <xf numFmtId="14" fontId="55" fillId="0" borderId="12" xfId="0" applyNumberFormat="1" applyFont="1" applyBorder="1"/>
    <xf numFmtId="14" fontId="56" fillId="0" borderId="13" xfId="0" applyNumberFormat="1" applyFont="1" applyBorder="1"/>
    <xf numFmtId="0" fontId="56" fillId="0" borderId="2" xfId="0" applyFont="1" applyBorder="1"/>
    <xf numFmtId="196" fontId="55" fillId="0" borderId="2" xfId="0" applyNumberFormat="1" applyFont="1" applyBorder="1"/>
    <xf numFmtId="0" fontId="32" fillId="15" borderId="11" xfId="0" applyFont="1" applyFill="1" applyBorder="1"/>
    <xf numFmtId="0" fontId="32" fillId="15" borderId="3" xfId="0" applyFont="1" applyFill="1" applyBorder="1"/>
    <xf numFmtId="202" fontId="32" fillId="15" borderId="14" xfId="0" applyNumberFormat="1" applyFont="1" applyFill="1" applyBorder="1"/>
    <xf numFmtId="9" fontId="59" fillId="0" borderId="0" xfId="0" applyNumberFormat="1" applyFont="1"/>
    <xf numFmtId="200" fontId="59" fillId="0" borderId="0" xfId="0" applyNumberFormat="1" applyFont="1"/>
    <xf numFmtId="14" fontId="55" fillId="0" borderId="13" xfId="0" applyNumberFormat="1" applyFont="1" applyBorder="1"/>
    <xf numFmtId="14" fontId="56" fillId="0" borderId="12" xfId="0" applyNumberFormat="1" applyFont="1" applyBorder="1"/>
    <xf numFmtId="201" fontId="32" fillId="15" borderId="10" xfId="0" applyNumberFormat="1" applyFont="1" applyFill="1" applyBorder="1" applyAlignment="1">
      <alignment horizontal="right"/>
    </xf>
  </cellXfs>
  <cellStyles count="88">
    <cellStyle name="$0.0;($0.0)" xfId="1"/>
    <cellStyle name="$0.00;($0.00)" xfId="2"/>
    <cellStyle name="******************************************" xfId="3"/>
    <cellStyle name="0000" xfId="4"/>
    <cellStyle name="000000" xfId="5"/>
    <cellStyle name="After Percent" xfId="6"/>
    <cellStyle name="after_multiple" xfId="7"/>
    <cellStyle name="blank" xfId="8"/>
    <cellStyle name="Body_$Dollars" xfId="9"/>
    <cellStyle name="Center" xfId="10"/>
    <cellStyle name="ChartingText" xfId="69"/>
    <cellStyle name="CHPTop" xfId="70"/>
    <cellStyle name="ColumnHeaderNormal" xfId="71"/>
    <cellStyle name="Comma [1]" xfId="11"/>
    <cellStyle name="Comma 1 (show zero)" xfId="12"/>
    <cellStyle name="Comma 2" xfId="72"/>
    <cellStyle name="Comma 3" xfId="73"/>
    <cellStyle name="Currency [1]" xfId="13"/>
    <cellStyle name="Currency0" xfId="14"/>
    <cellStyle name="Currency1" xfId="15"/>
    <cellStyle name="Currency2" xfId="16"/>
    <cellStyle name="Date" xfId="17"/>
    <cellStyle name="Dollar [1]" xfId="18"/>
    <cellStyle name="Dollars" xfId="19"/>
    <cellStyle name="ExchangeRatio" xfId="20"/>
    <cellStyle name="EY%colcalc" xfId="21"/>
    <cellStyle name="EY%input" xfId="22"/>
    <cellStyle name="EY%rowcalc" xfId="23"/>
    <cellStyle name="EY0dp" xfId="24"/>
    <cellStyle name="EY1dp" xfId="25"/>
    <cellStyle name="EY2dp" xfId="26"/>
    <cellStyle name="EY3dp" xfId="27"/>
    <cellStyle name="EYColumnHeading" xfId="28"/>
    <cellStyle name="EYHeading1" xfId="29"/>
    <cellStyle name="EYheading2" xfId="30"/>
    <cellStyle name="EYheading3" xfId="31"/>
    <cellStyle name="EYnumber" xfId="32"/>
    <cellStyle name="EYSheetHeader1" xfId="33"/>
    <cellStyle name="EYtext" xfId="34"/>
    <cellStyle name="Grey" xfId="35"/>
    <cellStyle name="Header" xfId="36"/>
    <cellStyle name="Header1" xfId="37"/>
    <cellStyle name="Header2" xfId="38"/>
    <cellStyle name="Hyperlink" xfId="67" builtinId="8"/>
    <cellStyle name="Hyperlink 2 2" xfId="68"/>
    <cellStyle name="Input" xfId="39" builtinId="20" customBuiltin="1"/>
    <cellStyle name="Input [yellow]" xfId="40"/>
    <cellStyle name="integer" xfId="41"/>
    <cellStyle name="Invisible" xfId="74"/>
    <cellStyle name="MonthDate" xfId="42"/>
    <cellStyle name="Multiple" xfId="43"/>
    <cellStyle name="NewColumnHeaderNormal" xfId="75"/>
    <cellStyle name="NewSectionHeaderNormal" xfId="76"/>
    <cellStyle name="NewTitleNormal" xfId="77"/>
    <cellStyle name="Normal" xfId="0" builtinId="0"/>
    <cellStyle name="Normal - Style1" xfId="44"/>
    <cellStyle name="Normal 2" xfId="65"/>
    <cellStyle name="Normal 2 2" xfId="66"/>
    <cellStyle name="Normal 3" xfId="78"/>
    <cellStyle name="Number0" xfId="45"/>
    <cellStyle name="Number1" xfId="46"/>
    <cellStyle name="Number2" xfId="47"/>
    <cellStyle name="Percent (0)" xfId="48"/>
    <cellStyle name="Percent [2]" xfId="49"/>
    <cellStyle name="Percent 2" xfId="79"/>
    <cellStyle name="Percent 3" xfId="80"/>
    <cellStyle name="PSChar" xfId="50"/>
    <cellStyle name="PSDate" xfId="51"/>
    <cellStyle name="PSDec" xfId="52"/>
    <cellStyle name="PSHeading" xfId="53"/>
    <cellStyle name="PSInt" xfId="54"/>
    <cellStyle name="PSSpacer" xfId="55"/>
    <cellStyle name="Regular" xfId="56"/>
    <cellStyle name="SectionHeaderNormal" xfId="81"/>
    <cellStyle name="Short Date" xfId="57"/>
    <cellStyle name="SubScript" xfId="82"/>
    <cellStyle name="SuperScript" xfId="83"/>
    <cellStyle name="t" xfId="58"/>
    <cellStyle name="Table_Header" xfId="59"/>
    <cellStyle name="taples Plaza" xfId="60"/>
    <cellStyle name="TextBold" xfId="84"/>
    <cellStyle name="TextItalic" xfId="85"/>
    <cellStyle name="TextNormal" xfId="86"/>
    <cellStyle name="TitleNormal" xfId="87"/>
    <cellStyle name="Underline_Double" xfId="61"/>
    <cellStyle name="Validation" xfId="62"/>
    <cellStyle name="WhiteCells" xfId="63"/>
    <cellStyle name="WingDing" xfId="6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40000"/>
      <rgbColor rgb="0000FF00"/>
      <rgbColor rgb="000000FF"/>
      <rgbColor rgb="00FFFF00"/>
      <rgbColor rgb="00FF00FF"/>
      <rgbColor rgb="0000FFFF"/>
      <rgbColor rgb="00800000"/>
      <rgbColor rgb="00008000"/>
      <rgbColor rgb="00001C5C"/>
      <rgbColor rgb="00461A3E"/>
      <rgbColor rgb="00461A3E"/>
      <rgbColor rgb="00008080"/>
      <rgbColor rgb="00C0C0C0"/>
      <rgbColor rgb="00808080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4F83B3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B6760"/>
      <rgbColor rgb="00B3AEA4"/>
      <rgbColor rgb="00032043"/>
      <rgbColor rgb="00339966"/>
      <rgbColor rgb="003E862E"/>
      <rgbColor rgb="00CC0000"/>
      <rgbColor rgb="00EDAD1D"/>
      <rgbColor rgb="00993366"/>
      <rgbColor rgb="004F83B3"/>
      <rgbColor rgb="00333333"/>
    </indexedColors>
    <mruColors>
      <color rgb="FFE6E7E8"/>
      <color rgb="FFED942D"/>
      <color rgb="FF132E57"/>
      <color rgb="FFED9423"/>
      <color rgb="FFFA621C"/>
      <color rgb="FFFFFF66"/>
      <color rgb="FFFFFF00"/>
      <color rgb="FF17375E"/>
      <color rgb="FF9999FF"/>
      <color rgb="FF3760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659287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23AAFE5-1D2B-445D-A422-7ECC1F99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799" y="762000"/>
          <a:ext cx="3354863" cy="1581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0Allen\Presentations\creative%203_8_99%20excel%20sup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Fcst"/>
      <sheetName val="J_N slide (2)"/>
      <sheetName val="A (2)"/>
      <sheetName val="J_N slide"/>
      <sheetName val="Order taking _fulfillment (2)"/>
      <sheetName val="Sheet1"/>
      <sheetName val="A"/>
      <sheetName val="Order taking _fulfillment"/>
      <sheetName val="Net Sales Graph"/>
      <sheetName val="Op inc graph"/>
      <sheetName val="op inc as pct t"/>
      <sheetName val="Fall Plan"/>
      <sheetName val="Balance Sheet"/>
      <sheetName val="Fiscal Year"/>
      <sheetName val="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K11">
            <v>2.572728592865095E-2</v>
          </cell>
        </row>
        <row r="12">
          <cell r="K12">
            <v>2.7652109685162959E-2</v>
          </cell>
        </row>
        <row r="13">
          <cell r="K13">
            <v>5.1020408163265307E-2</v>
          </cell>
        </row>
        <row r="14">
          <cell r="K14">
            <v>4.4298773461705888E-2</v>
          </cell>
        </row>
        <row r="15">
          <cell r="K15">
            <v>6.1410836189762938E-2</v>
          </cell>
        </row>
        <row r="16">
          <cell r="K16">
            <v>6.0866833074412194E-2</v>
          </cell>
        </row>
        <row r="17">
          <cell r="K17">
            <v>6.4106534530814496E-2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45"/>
  <sheetViews>
    <sheetView showGridLines="0" tabSelected="1" zoomScaleNormal="100" workbookViewId="0"/>
  </sheetViews>
  <sheetFormatPr defaultColWidth="10.6640625" defaultRowHeight="16.5"/>
  <cols>
    <col min="1" max="2" width="12.83203125" style="2" customWidth="1"/>
    <col min="3" max="3" width="34" style="2" customWidth="1"/>
    <col min="4" max="22" width="12.83203125" style="2" customWidth="1"/>
    <col min="23" max="25" width="10.6640625" style="2"/>
    <col min="26" max="26" width="10.6640625" style="2" customWidth="1"/>
    <col min="27" max="16384" width="10.6640625" style="2"/>
  </cols>
  <sheetData>
    <row r="1" spans="2:15" ht="19.5" customHeight="1"/>
    <row r="2" spans="2:15" ht="19.5" customHeight="1"/>
    <row r="3" spans="2:15" ht="19.5" customHeight="1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5" ht="19.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2:15" ht="19.5" customHeight="1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2:15" ht="19.5" customHeight="1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2:15" ht="19.5" customHeight="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2:15" ht="19.5" customHeight="1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2:15" ht="19.5" customHeight="1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2:15" ht="19.5" customHeight="1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2:15" ht="19.5" customHeight="1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2:15" ht="27">
      <c r="B12" s="3"/>
      <c r="C12" s="4" t="s">
        <v>13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5" t="s">
        <v>3</v>
      </c>
      <c r="O12" s="3"/>
    </row>
    <row r="13" spans="2:15" ht="19.5" customHeight="1">
      <c r="B13" s="3"/>
      <c r="C13" s="6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2:15" ht="19.5" customHeight="1">
      <c r="B14" s="3"/>
      <c r="C14" s="14" t="s">
        <v>4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2:15" ht="19.5" customHeight="1">
      <c r="B15" s="3"/>
      <c r="C15" s="7" t="s">
        <v>57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2:15" ht="19.5" customHeight="1">
      <c r="B16" s="3"/>
      <c r="C16" s="7" t="s">
        <v>30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2:15" ht="19.5" customHeight="1">
      <c r="B17" s="3"/>
      <c r="C17" s="7" t="s">
        <v>74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2:15" ht="19.5" customHeight="1">
      <c r="B18" s="3"/>
      <c r="C18" s="3" t="s">
        <v>5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2:15" ht="19.5" customHeight="1">
      <c r="B19" s="3"/>
      <c r="C19" s="8" t="s">
        <v>6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3"/>
    </row>
    <row r="20" spans="2:15" ht="19.5" customHeight="1">
      <c r="B20" s="3"/>
      <c r="C20" s="3" t="s">
        <v>7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2:15" ht="19.5" customHeight="1">
      <c r="B21" s="3"/>
      <c r="C21" s="9" t="s">
        <v>8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5" ht="19.5" customHeight="1">
      <c r="B22" s="3"/>
      <c r="C22" s="9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2:15" ht="19.5" customHeight="1">
      <c r="B23" s="3"/>
      <c r="C23" s="10" t="s">
        <v>9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3"/>
    </row>
    <row r="24" spans="2:15" ht="19.5" customHeight="1">
      <c r="B24" s="12"/>
      <c r="C24" s="13" t="s">
        <v>10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2"/>
    </row>
    <row r="25" spans="2:15" ht="19.5" customHeight="1">
      <c r="B25" s="12"/>
      <c r="C25" s="13" t="s">
        <v>11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2"/>
    </row>
    <row r="26" spans="2:15" ht="19.5" customHeight="1">
      <c r="B26" s="12"/>
      <c r="C26" s="13" t="s">
        <v>12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2"/>
    </row>
    <row r="27" spans="2:15" ht="19.5" customHeight="1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2"/>
    </row>
    <row r="28" spans="2:15" ht="19.5" customHeight="1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2:15" ht="19.5" customHeight="1"/>
    <row r="30" spans="2:15" ht="19.5" customHeight="1"/>
    <row r="31" spans="2:15" ht="19.5" customHeight="1"/>
    <row r="32" spans="2:15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</sheetData>
  <hyperlinks>
    <hyperlink ref="C21" r:id="rId1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3"/>
  <sheetViews>
    <sheetView showGridLines="0" view="pageBreakPreview" zoomScaleNormal="100" zoomScaleSheetLayoutView="100" workbookViewId="0"/>
  </sheetViews>
  <sheetFormatPr defaultRowHeight="15.75"/>
  <cols>
    <col min="1" max="1" width="9.33203125" style="20"/>
    <col min="2" max="2" width="30.83203125" style="20" bestFit="1" customWidth="1"/>
    <col min="3" max="3" width="11.83203125" style="20" bestFit="1" customWidth="1"/>
    <col min="4" max="4" width="13.6640625" style="20" bestFit="1" customWidth="1"/>
    <col min="5" max="5" width="9.33203125" style="20"/>
    <col min="6" max="6" width="56.6640625" style="20" bestFit="1" customWidth="1"/>
    <col min="7" max="7" width="11.33203125" style="20" bestFit="1" customWidth="1"/>
    <col min="8" max="8" width="11.6640625" style="20" bestFit="1" customWidth="1"/>
    <col min="9" max="16384" width="9.33203125" style="20"/>
  </cols>
  <sheetData>
    <row r="2" spans="2:7" ht="20.25">
      <c r="B2" s="33" t="s">
        <v>37</v>
      </c>
    </row>
    <row r="3" spans="2:7">
      <c r="B3" s="20" t="s">
        <v>14</v>
      </c>
    </row>
    <row r="4" spans="2:7">
      <c r="B4" s="18" t="s">
        <v>15</v>
      </c>
      <c r="C4" s="21" t="s">
        <v>27</v>
      </c>
      <c r="D4" s="18" t="s">
        <v>28</v>
      </c>
      <c r="F4" s="18" t="s">
        <v>16</v>
      </c>
      <c r="G4" s="21" t="s">
        <v>27</v>
      </c>
    </row>
    <row r="5" spans="2:7">
      <c r="B5" s="20" t="s">
        <v>21</v>
      </c>
      <c r="C5" s="22">
        <f>D5*D11</f>
        <v>500</v>
      </c>
      <c r="D5" s="23">
        <v>4</v>
      </c>
      <c r="F5" s="20" t="s">
        <v>24</v>
      </c>
      <c r="G5" s="24">
        <f>G8-G7-G6</f>
        <v>1086.75</v>
      </c>
    </row>
    <row r="6" spans="2:7">
      <c r="B6" s="20" t="s">
        <v>22</v>
      </c>
      <c r="C6" s="25">
        <f>D6*D11</f>
        <v>625</v>
      </c>
      <c r="D6" s="26">
        <f>D12-D5</f>
        <v>5</v>
      </c>
      <c r="F6" s="20" t="s">
        <v>36</v>
      </c>
      <c r="G6" s="27">
        <v>150</v>
      </c>
    </row>
    <row r="7" spans="2:7">
      <c r="B7" s="28" t="s">
        <v>29</v>
      </c>
      <c r="C7" s="29">
        <v>150</v>
      </c>
      <c r="D7" s="28"/>
      <c r="F7" s="20" t="s">
        <v>25</v>
      </c>
      <c r="G7" s="27">
        <f>G8*3%</f>
        <v>38.25</v>
      </c>
    </row>
    <row r="8" spans="2:7" ht="16.5" thickBot="1">
      <c r="B8" s="30" t="s">
        <v>23</v>
      </c>
      <c r="C8" s="31">
        <f>SUM(C5:C7)</f>
        <v>1275</v>
      </c>
      <c r="D8" s="32">
        <f>(C8-C7)/$D$11</f>
        <v>9</v>
      </c>
      <c r="F8" s="30" t="s">
        <v>26</v>
      </c>
      <c r="G8" s="31">
        <f>C8</f>
        <v>1275</v>
      </c>
    </row>
    <row r="10" spans="2:7">
      <c r="B10" s="18" t="s">
        <v>17</v>
      </c>
      <c r="C10" s="18"/>
      <c r="D10" s="18"/>
    </row>
    <row r="11" spans="2:7">
      <c r="B11" s="20" t="s">
        <v>18</v>
      </c>
      <c r="D11" s="44">
        <v>125</v>
      </c>
    </row>
    <row r="12" spans="2:7">
      <c r="B12" s="20" t="s">
        <v>19</v>
      </c>
      <c r="D12" s="23">
        <v>9</v>
      </c>
    </row>
    <row r="13" spans="2:7">
      <c r="B13" s="20" t="s">
        <v>20</v>
      </c>
      <c r="D13" s="22">
        <f>D11*D12</f>
        <v>1125</v>
      </c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4"/>
  <sheetViews>
    <sheetView showGridLines="0" view="pageBreakPreview" zoomScaleNormal="100" zoomScaleSheetLayoutView="100" workbookViewId="0"/>
  </sheetViews>
  <sheetFormatPr defaultRowHeight="12.75"/>
  <cols>
    <col min="1" max="1" width="9.33203125" style="1"/>
    <col min="2" max="2" width="28.5" style="1" bestFit="1" customWidth="1"/>
    <col min="3" max="3" width="9.6640625" style="1" customWidth="1"/>
    <col min="4" max="4" width="10.6640625" style="1" customWidth="1"/>
    <col min="5" max="9" width="17.5" style="1" customWidth="1"/>
    <col min="10" max="10" width="11.6640625" style="1" bestFit="1" customWidth="1"/>
    <col min="11" max="16384" width="9.33203125" style="1"/>
  </cols>
  <sheetData>
    <row r="2" spans="2:10" ht="20.25">
      <c r="B2" s="33" t="s">
        <v>31</v>
      </c>
    </row>
    <row r="3" spans="2:10" ht="15.75">
      <c r="B3" s="41" t="s">
        <v>56</v>
      </c>
      <c r="C3" s="20"/>
      <c r="D3" s="20"/>
      <c r="E3" s="20"/>
      <c r="F3" s="20"/>
      <c r="G3" s="20"/>
      <c r="H3" s="20"/>
      <c r="I3" s="20"/>
      <c r="J3" s="20"/>
    </row>
    <row r="4" spans="2:10" ht="15.75">
      <c r="B4" s="41"/>
      <c r="C4" s="20"/>
      <c r="D4" s="20"/>
      <c r="E4" s="20"/>
      <c r="F4" s="42" t="s">
        <v>59</v>
      </c>
      <c r="G4" s="42"/>
      <c r="H4" s="43" t="s">
        <v>58</v>
      </c>
      <c r="I4" s="43"/>
      <c r="J4" s="20"/>
    </row>
    <row r="5" spans="2:10" ht="47.25">
      <c r="B5" s="18" t="s">
        <v>43</v>
      </c>
      <c r="C5" s="19" t="s">
        <v>38</v>
      </c>
      <c r="D5" s="19" t="s">
        <v>39</v>
      </c>
      <c r="E5" s="19" t="s">
        <v>53</v>
      </c>
      <c r="F5" s="19" t="s">
        <v>54</v>
      </c>
      <c r="G5" s="19" t="s">
        <v>55</v>
      </c>
      <c r="H5" s="21" t="s">
        <v>50</v>
      </c>
      <c r="I5" s="19" t="s">
        <v>51</v>
      </c>
      <c r="J5" s="20"/>
    </row>
    <row r="6" spans="2:10" ht="15.75">
      <c r="B6" s="20" t="s">
        <v>0</v>
      </c>
      <c r="C6" s="47" t="s">
        <v>40</v>
      </c>
      <c r="D6" s="48">
        <v>44387</v>
      </c>
      <c r="E6" s="44">
        <v>100</v>
      </c>
      <c r="F6" s="45">
        <v>0.74</v>
      </c>
      <c r="G6" s="22">
        <f>E6*F6</f>
        <v>74</v>
      </c>
      <c r="H6" s="22">
        <f>E6/$E$9*$H$9</f>
        <v>80.5</v>
      </c>
      <c r="I6" s="38">
        <f t="shared" ref="I6:I15" si="0">H6/E6</f>
        <v>0.80500000000000005</v>
      </c>
      <c r="J6" s="20"/>
    </row>
    <row r="7" spans="2:10" ht="15.75">
      <c r="B7" s="20" t="s">
        <v>32</v>
      </c>
      <c r="C7" s="47" t="s">
        <v>40</v>
      </c>
      <c r="D7" s="48">
        <v>44387</v>
      </c>
      <c r="E7" s="27">
        <v>750</v>
      </c>
      <c r="F7" s="45">
        <v>0.73</v>
      </c>
      <c r="G7" s="25">
        <f t="shared" ref="G7:G10" si="1">E7*F7</f>
        <v>547.5</v>
      </c>
      <c r="H7" s="25">
        <f>E7/$E$9*$H$9</f>
        <v>603.75</v>
      </c>
      <c r="I7" s="38">
        <f t="shared" si="0"/>
        <v>0.80500000000000005</v>
      </c>
      <c r="J7" s="20"/>
    </row>
    <row r="8" spans="2:10" ht="15.75">
      <c r="B8" s="28" t="s">
        <v>33</v>
      </c>
      <c r="C8" s="49" t="s">
        <v>41</v>
      </c>
      <c r="D8" s="50">
        <v>44752</v>
      </c>
      <c r="E8" s="29">
        <v>500</v>
      </c>
      <c r="F8" s="51">
        <v>0.72</v>
      </c>
      <c r="G8" s="37">
        <f t="shared" si="1"/>
        <v>360</v>
      </c>
      <c r="H8" s="37">
        <f>E8/$E$9*$H$9</f>
        <v>402.5</v>
      </c>
      <c r="I8" s="39">
        <f t="shared" si="0"/>
        <v>0.80500000000000005</v>
      </c>
      <c r="J8" s="20"/>
    </row>
    <row r="9" spans="2:10" ht="15.75">
      <c r="B9" s="20" t="s">
        <v>44</v>
      </c>
      <c r="C9" s="47"/>
      <c r="D9" s="48"/>
      <c r="E9" s="25">
        <f>SUM(E6:E8)</f>
        <v>1350</v>
      </c>
      <c r="F9" s="20"/>
      <c r="G9" s="25">
        <f>SUM(G6:G8)</f>
        <v>981.5</v>
      </c>
      <c r="H9" s="25">
        <f>MIN(E9,C24)</f>
        <v>1086.75</v>
      </c>
      <c r="I9" s="38">
        <f t="shared" si="0"/>
        <v>0.80500000000000005</v>
      </c>
      <c r="J9" s="20"/>
    </row>
    <row r="10" spans="2:10" ht="15.75">
      <c r="B10" s="28" t="s">
        <v>34</v>
      </c>
      <c r="C10" s="49" t="s">
        <v>42</v>
      </c>
      <c r="D10" s="50">
        <v>45117</v>
      </c>
      <c r="E10" s="29">
        <v>85</v>
      </c>
      <c r="F10" s="51">
        <v>7.0000000000000007E-2</v>
      </c>
      <c r="G10" s="37">
        <f t="shared" si="1"/>
        <v>5.95</v>
      </c>
      <c r="H10" s="37">
        <f>MIN(E10,C24-H9)</f>
        <v>0</v>
      </c>
      <c r="I10" s="39">
        <f t="shared" si="0"/>
        <v>0</v>
      </c>
      <c r="J10" s="20"/>
    </row>
    <row r="11" spans="2:10" ht="15.75">
      <c r="B11" s="20" t="s">
        <v>1</v>
      </c>
      <c r="C11" s="34"/>
      <c r="D11" s="35"/>
      <c r="E11" s="25">
        <f>SUM(E9:E10)</f>
        <v>1435</v>
      </c>
      <c r="F11" s="20"/>
      <c r="G11" s="25">
        <f>SUM(G9:G10)</f>
        <v>987.45</v>
      </c>
      <c r="H11" s="25">
        <f>SUM(H9:H10)</f>
        <v>1086.75</v>
      </c>
      <c r="I11" s="38">
        <f t="shared" si="0"/>
        <v>0.75731707317073171</v>
      </c>
      <c r="J11" s="20"/>
    </row>
    <row r="12" spans="2:10" ht="15.75">
      <c r="B12" s="28" t="s">
        <v>35</v>
      </c>
      <c r="C12" s="28"/>
      <c r="D12" s="28"/>
      <c r="E12" s="29">
        <v>90</v>
      </c>
      <c r="F12" s="28"/>
      <c r="G12" s="29">
        <v>90</v>
      </c>
      <c r="H12" s="37">
        <f>MIN(E12,C24-H9-H10)</f>
        <v>0</v>
      </c>
      <c r="I12" s="39">
        <f t="shared" si="0"/>
        <v>0</v>
      </c>
      <c r="J12" s="20"/>
    </row>
    <row r="13" spans="2:10" ht="15.75">
      <c r="B13" s="20" t="s">
        <v>45</v>
      </c>
      <c r="C13" s="20"/>
      <c r="D13" s="20"/>
      <c r="E13" s="25">
        <f>SUM(E11:E12)</f>
        <v>1525</v>
      </c>
      <c r="F13" s="20"/>
      <c r="G13" s="25">
        <f>SUM(G11:G12)</f>
        <v>1077.45</v>
      </c>
      <c r="H13" s="25">
        <f>SUM(H11:H12)</f>
        <v>1086.75</v>
      </c>
      <c r="I13" s="40">
        <f t="shared" si="0"/>
        <v>0.71262295081967209</v>
      </c>
      <c r="J13" s="20"/>
    </row>
    <row r="14" spans="2:10" ht="15.75">
      <c r="B14" s="28" t="s">
        <v>46</v>
      </c>
      <c r="C14" s="28"/>
      <c r="D14" s="28"/>
      <c r="E14" s="37">
        <f>MAX(G14,H14)</f>
        <v>35.0623</v>
      </c>
      <c r="F14" s="52">
        <v>7.0000000000000007E-2</v>
      </c>
      <c r="G14" s="37">
        <f>C20</f>
        <v>35.0623</v>
      </c>
      <c r="H14" s="37">
        <f>C24-H9-H10-H12</f>
        <v>0</v>
      </c>
      <c r="I14" s="39">
        <f t="shared" si="0"/>
        <v>0</v>
      </c>
      <c r="J14" s="20"/>
    </row>
    <row r="15" spans="2:10" s="20" customFormat="1" ht="16.5" thickBot="1">
      <c r="B15" s="53" t="s">
        <v>2</v>
      </c>
      <c r="C15" s="53"/>
      <c r="D15" s="53"/>
      <c r="E15" s="54">
        <f>SUM(E13:E14)</f>
        <v>1560.0623000000001</v>
      </c>
      <c r="F15" s="53"/>
      <c r="G15" s="54">
        <f>SUM(G13:G14)</f>
        <v>1112.5123000000001</v>
      </c>
      <c r="H15" s="54">
        <f>SUM(H13:H14)</f>
        <v>1086.75</v>
      </c>
      <c r="I15" s="55">
        <f t="shared" si="0"/>
        <v>0.69660679576706641</v>
      </c>
    </row>
    <row r="17" spans="2:3">
      <c r="B17" s="16" t="s">
        <v>47</v>
      </c>
    </row>
    <row r="18" spans="2:3">
      <c r="B18" s="1" t="s">
        <v>49</v>
      </c>
      <c r="C18" s="36">
        <f>F14</f>
        <v>7.0000000000000007E-2</v>
      </c>
    </row>
    <row r="19" spans="2:3">
      <c r="B19" s="1" t="s">
        <v>48</v>
      </c>
      <c r="C19" s="17">
        <v>500.89</v>
      </c>
    </row>
    <row r="20" spans="2:3">
      <c r="B20" s="1" t="s">
        <v>47</v>
      </c>
      <c r="C20" s="15">
        <f>C19*C18</f>
        <v>35.0623</v>
      </c>
    </row>
    <row r="21" spans="2:3">
      <c r="C21" s="15"/>
    </row>
    <row r="22" spans="2:3">
      <c r="B22" s="56" t="s">
        <v>60</v>
      </c>
      <c r="C22" s="15"/>
    </row>
    <row r="24" spans="2:3">
      <c r="B24" s="1" t="s">
        <v>52</v>
      </c>
      <c r="C24" s="46">
        <f>'Sources and Uses'!G5</f>
        <v>1086.75</v>
      </c>
    </row>
  </sheetData>
  <pageMargins left="0.7" right="0.7" top="0.75" bottom="0.75" header="0.3" footer="0.3"/>
  <pageSetup scale="7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46"/>
  <sheetViews>
    <sheetView showGridLines="0" view="pageBreakPreview" zoomScaleNormal="100" zoomScaleSheetLayoutView="100" workbookViewId="0"/>
  </sheetViews>
  <sheetFormatPr defaultRowHeight="15.75"/>
  <cols>
    <col min="1" max="1" width="9.33203125" style="20"/>
    <col min="2" max="2" width="26" style="20" bestFit="1" customWidth="1"/>
    <col min="3" max="7" width="12.83203125" style="20" bestFit="1" customWidth="1"/>
    <col min="8" max="16384" width="9.33203125" style="20"/>
  </cols>
  <sheetData>
    <row r="2" spans="2:7" ht="20.25">
      <c r="B2" s="33" t="s">
        <v>73</v>
      </c>
    </row>
    <row r="3" spans="2:7">
      <c r="B3" s="20" t="s">
        <v>14</v>
      </c>
    </row>
    <row r="4" spans="2:7">
      <c r="B4" s="61" t="s">
        <v>71</v>
      </c>
      <c r="C4" s="61"/>
      <c r="D4" s="61"/>
      <c r="E4" s="61"/>
      <c r="F4" s="61"/>
      <c r="G4" s="61"/>
    </row>
    <row r="5" spans="2:7">
      <c r="C5" s="34" t="s">
        <v>62</v>
      </c>
      <c r="D5" s="20" t="s">
        <v>68</v>
      </c>
    </row>
    <row r="6" spans="2:7">
      <c r="B6" s="20" t="s">
        <v>67</v>
      </c>
      <c r="C6" s="72">
        <v>43656</v>
      </c>
      <c r="D6" s="63">
        <v>43830</v>
      </c>
    </row>
    <row r="7" spans="2:7">
      <c r="B7" s="20" t="s">
        <v>62</v>
      </c>
      <c r="C7" s="44">
        <v>-100</v>
      </c>
    </row>
    <row r="8" spans="2:7">
      <c r="B8" s="28" t="s">
        <v>65</v>
      </c>
      <c r="C8" s="64"/>
      <c r="D8" s="65">
        <f ca="1">D12*D13</f>
        <v>108.78378378378379</v>
      </c>
    </row>
    <row r="9" spans="2:7">
      <c r="B9" s="20" t="s">
        <v>66</v>
      </c>
      <c r="C9" s="22">
        <f ca="1">SUM(C7:C8)</f>
        <v>-100</v>
      </c>
      <c r="D9" s="22">
        <f ca="1">SUM(D7:D8)</f>
        <v>108.78378378378379</v>
      </c>
    </row>
    <row r="10" spans="2:7">
      <c r="B10" s="66" t="s">
        <v>69</v>
      </c>
      <c r="C10" s="73">
        <f ca="1">IFERROR(XIRR(C9:D9,C6:D6),"NM")</f>
        <v>0.19316548464395189</v>
      </c>
      <c r="D10" s="24"/>
    </row>
    <row r="11" spans="2:7">
      <c r="B11" s="67" t="s">
        <v>70</v>
      </c>
      <c r="C11" s="68">
        <f ca="1">-D9/C9</f>
        <v>1.0878378378378379</v>
      </c>
      <c r="D11" s="24"/>
    </row>
    <row r="12" spans="2:7">
      <c r="B12" s="41" t="s">
        <v>64</v>
      </c>
      <c r="C12" s="57">
        <f ca="1">-C7/C13</f>
        <v>135.13513513513513</v>
      </c>
      <c r="D12" s="57">
        <f ca="1">C12</f>
        <v>135.13513513513513</v>
      </c>
    </row>
    <row r="13" spans="2:7">
      <c r="B13" s="41" t="s">
        <v>63</v>
      </c>
      <c r="C13" s="58">
        <f ca="1">'Recovery Analysis'!F6</f>
        <v>0.74</v>
      </c>
      <c r="D13" s="59">
        <f ca="1">'Recovery Analysis'!I6</f>
        <v>0.80500000000000005</v>
      </c>
    </row>
    <row r="14" spans="2:7">
      <c r="C14" s="60"/>
    </row>
    <row r="15" spans="2:7">
      <c r="B15" s="61" t="s">
        <v>61</v>
      </c>
      <c r="C15" s="61"/>
      <c r="D15" s="61"/>
      <c r="E15" s="61"/>
      <c r="F15" s="61"/>
      <c r="G15" s="61"/>
    </row>
    <row r="16" spans="2:7">
      <c r="C16" s="34" t="s">
        <v>62</v>
      </c>
      <c r="D16" s="20" t="s">
        <v>68</v>
      </c>
    </row>
    <row r="17" spans="2:7">
      <c r="B17" s="20" t="s">
        <v>67</v>
      </c>
      <c r="C17" s="62">
        <f ca="1">C6</f>
        <v>43656</v>
      </c>
      <c r="D17" s="71">
        <f ca="1">D6</f>
        <v>43830</v>
      </c>
    </row>
    <row r="18" spans="2:7">
      <c r="B18" s="20" t="s">
        <v>62</v>
      </c>
      <c r="C18" s="44">
        <v>-100</v>
      </c>
    </row>
    <row r="19" spans="2:7">
      <c r="B19" s="28" t="s">
        <v>65</v>
      </c>
      <c r="C19" s="64"/>
      <c r="D19" s="65">
        <f ca="1">D23*D24</f>
        <v>110.27397260273973</v>
      </c>
    </row>
    <row r="20" spans="2:7">
      <c r="B20" s="20" t="s">
        <v>66</v>
      </c>
      <c r="C20" s="22">
        <f ca="1">SUM(C18:C19)</f>
        <v>-100</v>
      </c>
      <c r="D20" s="22">
        <f ca="1">SUM(D18:D19)</f>
        <v>110.27397260273973</v>
      </c>
    </row>
    <row r="21" spans="2:7">
      <c r="B21" s="66" t="s">
        <v>69</v>
      </c>
      <c r="C21" s="73">
        <f ca="1">IFERROR(XIRR(C20:D20,C17:D17),"NM")</f>
        <v>0.22770974585951625</v>
      </c>
      <c r="D21" s="24"/>
    </row>
    <row r="22" spans="2:7">
      <c r="B22" s="67" t="s">
        <v>70</v>
      </c>
      <c r="C22" s="68">
        <f ca="1">-D20/C20</f>
        <v>1.1027397260273972</v>
      </c>
      <c r="D22" s="24"/>
    </row>
    <row r="23" spans="2:7">
      <c r="B23" s="41" t="s">
        <v>64</v>
      </c>
      <c r="C23" s="57">
        <f ca="1">-C18/C24</f>
        <v>136.98630136986301</v>
      </c>
      <c r="D23" s="57">
        <f ca="1">C23</f>
        <v>136.98630136986301</v>
      </c>
    </row>
    <row r="24" spans="2:7">
      <c r="B24" s="41" t="s">
        <v>63</v>
      </c>
      <c r="C24" s="69">
        <f ca="1">'Recovery Analysis'!F7</f>
        <v>0.73</v>
      </c>
      <c r="D24" s="70">
        <f ca="1">'Recovery Analysis'!I7</f>
        <v>0.80500000000000005</v>
      </c>
    </row>
    <row r="26" spans="2:7">
      <c r="B26" s="61" t="s">
        <v>72</v>
      </c>
      <c r="C26" s="61"/>
      <c r="D26" s="61"/>
      <c r="E26" s="61"/>
      <c r="F26" s="61"/>
      <c r="G26" s="61"/>
    </row>
    <row r="27" spans="2:7">
      <c r="C27" s="34" t="s">
        <v>62</v>
      </c>
      <c r="D27" s="20" t="s">
        <v>68</v>
      </c>
    </row>
    <row r="28" spans="2:7">
      <c r="B28" s="20" t="s">
        <v>67</v>
      </c>
      <c r="C28" s="62">
        <f ca="1">C17</f>
        <v>43656</v>
      </c>
      <c r="D28" s="71">
        <f ca="1">D17</f>
        <v>43830</v>
      </c>
    </row>
    <row r="29" spans="2:7">
      <c r="B29" s="20" t="s">
        <v>62</v>
      </c>
      <c r="C29" s="44">
        <v>-100</v>
      </c>
    </row>
    <row r="30" spans="2:7">
      <c r="B30" s="28" t="s">
        <v>65</v>
      </c>
      <c r="C30" s="64"/>
      <c r="D30" s="65">
        <f ca="1">D34*D35</f>
        <v>111.80555555555556</v>
      </c>
    </row>
    <row r="31" spans="2:7">
      <c r="B31" s="20" t="s">
        <v>66</v>
      </c>
      <c r="C31" s="22">
        <f ca="1">SUM(C29:C30)</f>
        <v>-100</v>
      </c>
      <c r="D31" s="22">
        <f ca="1">SUM(D29:D30)</f>
        <v>111.80555555555556</v>
      </c>
    </row>
    <row r="32" spans="2:7">
      <c r="B32" s="66" t="s">
        <v>69</v>
      </c>
      <c r="C32" s="73">
        <f ca="1">IFERROR(XIRR(C31:D31,C28:D28),"NM")</f>
        <v>0.26375153523018752</v>
      </c>
      <c r="D32" s="24"/>
    </row>
    <row r="33" spans="2:7">
      <c r="B33" s="67" t="s">
        <v>70</v>
      </c>
      <c r="C33" s="68">
        <f ca="1">-D31/C31</f>
        <v>1.1180555555555556</v>
      </c>
      <c r="D33" s="24"/>
    </row>
    <row r="34" spans="2:7">
      <c r="B34" s="41" t="s">
        <v>64</v>
      </c>
      <c r="C34" s="57">
        <f ca="1">-C29/C35</f>
        <v>138.88888888888889</v>
      </c>
      <c r="D34" s="57">
        <f ca="1">C34</f>
        <v>138.88888888888889</v>
      </c>
    </row>
    <row r="35" spans="2:7">
      <c r="B35" s="41" t="s">
        <v>63</v>
      </c>
      <c r="C35" s="69">
        <f ca="1">'Recovery Analysis'!F8</f>
        <v>0.72</v>
      </c>
      <c r="D35" s="70">
        <f ca="1">'Recovery Analysis'!I8</f>
        <v>0.80500000000000005</v>
      </c>
    </row>
    <row r="37" spans="2:7">
      <c r="B37" s="61" t="s">
        <v>34</v>
      </c>
      <c r="C37" s="61"/>
      <c r="D37" s="61"/>
      <c r="E37" s="61"/>
      <c r="F37" s="61"/>
      <c r="G37" s="61"/>
    </row>
    <row r="38" spans="2:7">
      <c r="C38" s="34" t="s">
        <v>62</v>
      </c>
      <c r="D38" s="20" t="s">
        <v>68</v>
      </c>
    </row>
    <row r="39" spans="2:7">
      <c r="B39" s="20" t="s">
        <v>67</v>
      </c>
      <c r="C39" s="62">
        <f ca="1">C28</f>
        <v>43656</v>
      </c>
      <c r="D39" s="71">
        <f ca="1">D28</f>
        <v>43830</v>
      </c>
    </row>
    <row r="40" spans="2:7">
      <c r="B40" s="20" t="s">
        <v>62</v>
      </c>
      <c r="C40" s="44">
        <v>-100</v>
      </c>
    </row>
    <row r="41" spans="2:7">
      <c r="B41" s="28" t="s">
        <v>65</v>
      </c>
      <c r="C41" s="64"/>
      <c r="D41" s="65">
        <f ca="1">D45*D46</f>
        <v>0</v>
      </c>
    </row>
    <row r="42" spans="2:7">
      <c r="B42" s="20" t="s">
        <v>66</v>
      </c>
      <c r="C42" s="22">
        <f ca="1">SUM(C40:C41)</f>
        <v>-100</v>
      </c>
      <c r="D42" s="22">
        <f ca="1">SUM(D40:D41)</f>
        <v>0</v>
      </c>
    </row>
    <row r="43" spans="2:7">
      <c r="B43" s="66" t="s">
        <v>69</v>
      </c>
      <c r="C43" s="73" t="str">
        <f ca="1">IFERROR(XIRR(C42:D42,C39:D39),"NM")</f>
        <v>NM</v>
      </c>
      <c r="D43" s="24"/>
    </row>
    <row r="44" spans="2:7">
      <c r="B44" s="67" t="s">
        <v>70</v>
      </c>
      <c r="C44" s="68">
        <f ca="1">-D42/C42</f>
        <v>0</v>
      </c>
      <c r="D44" s="24"/>
    </row>
    <row r="45" spans="2:7">
      <c r="B45" s="41" t="s">
        <v>64</v>
      </c>
      <c r="C45" s="57">
        <f ca="1">-C40/C46</f>
        <v>1428.5714285714284</v>
      </c>
      <c r="D45" s="57">
        <f ca="1">C45</f>
        <v>1428.5714285714284</v>
      </c>
    </row>
    <row r="46" spans="2:7">
      <c r="B46" s="41" t="s">
        <v>63</v>
      </c>
      <c r="C46" s="69">
        <f ca="1">'Recovery Analysis'!F10</f>
        <v>7.0000000000000007E-2</v>
      </c>
      <c r="D46" s="70">
        <f ca="1">'Recovery Analysis'!I10</f>
        <v>0</v>
      </c>
    </row>
  </sheetData>
  <pageMargins left="0.7" right="0.7" top="0.75" bottom="0.75" header="0.3" footer="0.3"/>
  <pageSetup scale="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Cover Page</vt:lpstr>
      <vt:lpstr>Sources and Uses</vt:lpstr>
      <vt:lpstr>Recovery Analysis</vt:lpstr>
      <vt:lpstr>Distressed Investment Analysis</vt:lpstr>
      <vt:lpstr>'Cover Page'!Print_Area</vt:lpstr>
      <vt:lpstr>'Distressed Investment Analysis'!Print_Area</vt:lpstr>
      <vt:lpstr>'Recovery Analysis'!Print_Area</vt:lpstr>
      <vt:lpstr>'Sources and Uses'!Print_Area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David</dc:creator>
  <cp:lastModifiedBy>Robot</cp:lastModifiedBy>
  <cp:lastPrinted>2019-06-27T20:00:51Z</cp:lastPrinted>
  <dcterms:created xsi:type="dcterms:W3CDTF">1998-04-16T15:37:21Z</dcterms:created>
  <dcterms:modified xsi:type="dcterms:W3CDTF">2019-07-15T12:23:38Z</dcterms:modified>
</cp:coreProperties>
</file>