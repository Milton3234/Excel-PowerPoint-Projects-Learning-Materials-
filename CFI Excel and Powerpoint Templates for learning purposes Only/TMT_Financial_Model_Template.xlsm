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Corporate Finance Institute\Templates\Marketplace Publishers\"/>
    </mc:Choice>
  </mc:AlternateContent>
  <xr:revisionPtr revIDLastSave="0" documentId="13_ncr:1_{1D7E8E69-4295-4C90-8BC5-984D88C07A09}" xr6:coauthVersionLast="43" xr6:coauthVersionMax="43" xr10:uidLastSave="{00000000-0000-0000-0000-000000000000}"/>
  <bookViews>
    <workbookView xWindow="-110" yWindow="-110" windowWidth="38620" windowHeight="21220" tabRatio="830" xr2:uid="{00000000-000D-0000-FFFF-FFFF00000000}"/>
  </bookViews>
  <sheets>
    <sheet name="Cover Page" sheetId="74" r:id="rId1"/>
    <sheet name="Inputs" sheetId="1" r:id="rId2"/>
    <sheet name="Spread Cover" sheetId="3" r:id="rId3"/>
    <sheet name="Income Statement" sheetId="4" r:id="rId4"/>
    <sheet name="Balance Sheet" sheetId="6" r:id="rId5"/>
    <sheet name="Cash Flow" sheetId="8" r:id="rId6"/>
    <sheet name="Proj" sheetId="36" r:id="rId7"/>
    <sheet name="DCF" sheetId="76" r:id="rId8"/>
  </sheets>
  <externalReferences>
    <externalReference r:id="rId9"/>
  </externalReferences>
  <definedNames>
    <definedName name="_1__123Graph_ACHART_9" hidden="1">'[1]op inc as pct t'!$K$11:$K$15</definedName>
    <definedName name="_2__123Graph_BCHART_9" hidden="1">'[1]op inc as pct t'!$K$11:$K$17</definedName>
    <definedName name="_3__123Graph_LBL_ACHART_9" hidden="1">'[1]op inc as pct t'!$K$11:$K$15</definedName>
    <definedName name="_4__123Graph_LBL_BCHART_9" hidden="1">'[1]op inc as pct t'!$K$11:$K$17</definedName>
    <definedName name="_Order1" hidden="1">255</definedName>
    <definedName name="_Order2" hidden="1">0</definedName>
    <definedName name="a">Proj!$B$2</definedName>
    <definedName name="abs">'Balance Sheet'!$B$2</definedName>
    <definedName name="acase">Proj!$C$237</definedName>
    <definedName name="ACCOUNT_CHANGE" hidden="1">"ACCOUNT_CHANGE"</definedName>
    <definedName name="ACCOUNTS_PAY" hidden="1">"ACCOUNTS_PAY"</definedName>
    <definedName name="ACCRUED_EXP" hidden="1">"ACCRUED_EXP"</definedName>
    <definedName name="acfs">'Cash Flow'!$B$2</definedName>
    <definedName name="acname">Proj!$D$237</definedName>
    <definedName name="acq">Inputs!$C$9</definedName>
    <definedName name="acqnetdebt">'Spread Cover'!$E$42</definedName>
    <definedName name="acqnetdebtfn">'Spread Cover'!$B$44</definedName>
    <definedName name="adcf" localSheetId="7">DCF!$B$2</definedName>
    <definedName name="ADD_PAID_IN" hidden="1">"ADD_PAID_IN"</definedName>
    <definedName name="adiscconvention" localSheetId="7">DCF!$E$58</definedName>
    <definedName name="adshares">Inputs!$G$17</definedName>
    <definedName name="aexercise">Inputs!$G$15</definedName>
    <definedName name="afy">Inputs!$C$13</definedName>
    <definedName name="afye">Inputs!$C$14</definedName>
    <definedName name="afyshares">Inputs!$H$13</definedName>
    <definedName name="ais">'Income Statement'!$B$2</definedName>
    <definedName name="altg">Inputs!$C$21</definedName>
    <definedName name="altmdate">Inputs!$C$16</definedName>
    <definedName name="AMORTIZATION" hidden="1">"AMORTIZATION"</definedName>
    <definedName name="aoptions">Inputs!$G$14</definedName>
    <definedName name="aprice">Inputs!$G$9</definedName>
    <definedName name="aquarter">Inputs!$D$45</definedName>
    <definedName name="arsu">Inputs!$G$19</definedName>
    <definedName name="ashares">Inputs!$G$13</definedName>
    <definedName name="aspread">'Spread Cover'!$B$2</definedName>
    <definedName name="ASSET_TURNS" hidden="1">"ASSET_TURNS"</definedName>
    <definedName name="atax">Inputs!$C$20</definedName>
    <definedName name="aticker">Inputs!$C$10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8" hidden="1">#REF!</definedName>
    <definedName name="BLPH9" hidden="1">#REF!</definedName>
    <definedName name="BOOK_VALUE" hidden="1">"BOOK_VALUE"</definedName>
    <definedName name="BV_OVER_SHARES" hidden="1">"BV_OVER_SHARES"</definedName>
    <definedName name="CAPITAL_EXPEN" hidden="1">"CAPITAL_EXPEN"</definedName>
    <definedName name="CAPITAL_LEASE" hidden="1">"CAPITAL_LEASE"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HANGES_WORK_CAP" hidden="1">"CHANGES_WORK_CAP"</definedName>
    <definedName name="CIQWBGuid" localSheetId="0" hidden="1">"2cd8126d-26c3-430c-b7fa-a069e3a1fc62"</definedName>
    <definedName name="CIQWBGuid" hidden="1">"60540d9e-d8df-420d-a46f-fe125bb8aa33"</definedName>
    <definedName name="CITY" hidden="1">"CITY"</definedName>
    <definedName name="COMMON_STOCK" hidden="1">"COMMON_STOCK"</definedName>
    <definedName name="COMPANY_ADDRESS" hidden="1">"COMPANY_ADDRESS"</definedName>
    <definedName name="COMPANY_NAME" hidden="1">"COMPANY_NAME"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ST_REVENUE" hidden="1">"COST_REVENUE"</definedName>
    <definedName name="COUNTRY_NAME" hidden="1">"COUNTRY_NAME"</definedName>
    <definedName name="CURRENT_PORT" hidden="1">"CURRENT_PORT"</definedName>
    <definedName name="CURRENT_RATIO" hidden="1">"CURRENT_RATIO"</definedName>
    <definedName name="DAYS_PAY_OUTST" hidden="1">"DAYS_PAY_OUTST"</definedName>
    <definedName name="DAYS_SALES_OUTST" hidden="1">"DAYS_SALES_OUTST"</definedName>
    <definedName name="DEFERRED_INC_TAX" hidden="1">"DEFERRED_INC_TAX"</definedName>
    <definedName name="DEFERRED_TAXES" hidden="1">"DEFERRED_TAXES"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SCRIPTION_LONG" hidden="1">"DESCRIPTION_LONG"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VID_SHARE" hidden="1">"DIVID_SHARE"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date">Inputs!$E$6</definedName>
    <definedName name="EFFECT_SPECIAL_CHARGE" hidden="1">"EFFECT_SPECIAL_CHARGE"</definedName>
    <definedName name="EMPLOYEES" hidden="1">"EMPLOYEES"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SOP_DEBT" hidden="1">"ESOP_DEBT"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XCHANGE" hidden="1">"EXCHANGE"</definedName>
    <definedName name="EXTRA_ITEMS" hidden="1">"EXTRA_ITEMS"</definedName>
    <definedName name="FINANCING_CASH" hidden="1">"FINANCING_CASH"</definedName>
    <definedName name="FOREIGN_EXCHANGE" hidden="1">"FOREIGN_EXCHANGE"</definedName>
    <definedName name="FY">Inputs!$D$48</definedName>
    <definedName name="FY_DATE" hidden="1">"FY_DATE"</definedName>
    <definedName name="FYx">Inputs!$D$47</definedName>
    <definedName name="FYz">Inputs!$D$49</definedName>
    <definedName name="GAIN_SALE_ASSETS" hidden="1">"GAIN_SALE_ASSETS"</definedName>
    <definedName name="GOODWILL_NET" hidden="1">"GOODWILL_NET"</definedName>
    <definedName name="GROSS_DIVID" hidden="1">"GROSS_DIVID"</definedName>
    <definedName name="GROSS_MARGIN" hidden="1">"GROSS_MARGIN"</definedName>
    <definedName name="GROSS_PROFIT" hidden="1">"GROSS_PROFIT"</definedName>
    <definedName name="HIGHPRICE" hidden="1">"HIGHPRICE"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puts">Inputs!$B$3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VENTORY_TURNS" hidden="1">"INVENTORY_TURNS"</definedName>
    <definedName name="IQ_ADDIN" hidden="1">"AUTO"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ACT_FFO_REUT" hidden="1">"c3843"</definedName>
    <definedName name="IQ_EST_FFO_DIFF_REUT" hidden="1">"c3890"</definedName>
    <definedName name="IQ_EST_FFO_SURPRISE_PERCENT_REUT" hidden="1">"c3891"</definedName>
    <definedName name="IQ_EV_OVER_REVENUE_EST" hidden="1">"IQ_EV_OVER_REVENUE_EST"</definedName>
    <definedName name="IQ_EV_OVER_REVENUE_EST_1" hidden="1">"IQ_EV_OVER_REVENUE_EST_1"</definedName>
    <definedName name="IQ_EXPENSE_CODE_" hidden="1">1056</definedName>
    <definedName name="IQ_FFO_EST_REUT" hidden="1">"c3837"</definedName>
    <definedName name="IQ_FFO_HIGH_EST_REUT" hidden="1">"c3839"</definedName>
    <definedName name="IQ_FFO_LOW_EST_REUT" hidden="1">"c3840"</definedName>
    <definedName name="IQ_FFO_MEDIAN_EST_REUT" hidden="1">"c3838"</definedName>
    <definedName name="IQ_FFO_NUM_EST_REUT" hidden="1">"c3841"</definedName>
    <definedName name="IQ_FFO_STDDEV_EST_REUT" hidden="1">"c3842"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Y">1000</definedName>
    <definedName name="IQ_FY_DATE" hidden="1">"IQ_FY_DATE"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TM">2000</definedName>
    <definedName name="IQ_LTM_DATE" hidden="1">"IQ_LTM_DATE"</definedName>
    <definedName name="IQ_LTMMONTH" hidden="1">120000</definedName>
    <definedName name="IQ_MONTH">15000</definedName>
    <definedName name="IQ_MTD" hidden="1">800000</definedName>
    <definedName name="IQ_NAMES_REVISION_DATE_" localSheetId="0" hidden="1">43109.7057291667</definedName>
    <definedName name="IQ_NAMES_REVISION_DATE_" localSheetId="7" hidden="1">41449.6173842593</definedName>
    <definedName name="IQ_NAMES_REVISION_DATE_" hidden="1">43109.7057291667</definedName>
    <definedName name="IQ_NAV_ACT_OR_EST" hidden="1">"c2225"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TM">6000</definedName>
    <definedName name="IQ_OG_TOTAL_OIL_PRODUCTON" hidden="1">"c2059"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HAREOUTSTANDING" hidden="1">"c1347"</definedName>
    <definedName name="IQ_TODAY" hidden="1">0</definedName>
    <definedName name="IQ_TOTAL_PENSION_OBLIGATION" hidden="1">"c1292"</definedName>
    <definedName name="IQ_WEEK">50000</definedName>
    <definedName name="IQ_YTD">3000</definedName>
    <definedName name="IQ_YTDMONTH" hidden="1">130000</definedName>
    <definedName name="ISS_DEBT_NET" hidden="1">"ISS_DEBT_NET"</definedName>
    <definedName name="ISS_STOCK_NET" hidden="1">"ISS_STOCK_NET"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OAN_LOSS" hidden="1">"LOAN_LOSS"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WPRICE" hidden="1">"LOWPRICE"</definedName>
    <definedName name="LTM_DATE" hidden="1">"LTM_DATE"</definedName>
    <definedName name="LTM_REVENUE_OVER_EMPLOYEES" hidden="1">"LTM_REVENUE_OVER_EMPLOYEES"</definedName>
    <definedName name="MARKETCAP" hidden="1">"MARKETCAP"</definedName>
    <definedName name="MINORITY_INTEREST" hidden="1">"MINORITY_INTEREST"</definedName>
    <definedName name="MISC_EARN_ADJ" hidden="1">"MISC_EARN_ADJ"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etdebt">'Spread Cover'!$E$42</definedName>
    <definedName name="NON_CASH" hidden="1">"NON_CASH"</definedName>
    <definedName name="NON_INTEREST_EXP" hidden="1">"NON_INTEREST_EXP"</definedName>
    <definedName name="NON_INTEREST_INC" hidden="1">"NON_INTEREST_INC"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OPENPRICE" hidden="1">"OPENPRICE"</definedName>
    <definedName name="OPER_INC" hidden="1">"OPER_INC"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PAY_ACCRUED" hidden="1">"PAY_ACCRUED"</definedName>
    <definedName name="PERIODDATE" hidden="1">"PERIODDATE"</definedName>
    <definedName name="PREF_DIVID" hidden="1">"PREF_DIVID"</definedName>
    <definedName name="PREF_STOCK" hidden="1">"PREF_STOCK"</definedName>
    <definedName name="PREPAID_EXPEN" hidden="1">"PREPAID_EXPEN"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_xlnm.Print_Area" localSheetId="4">'Balance Sheet'!$B$2:$M$36</definedName>
    <definedName name="_xlnm.Print_Area" localSheetId="5">'Cash Flow'!$B$2:$O$37</definedName>
    <definedName name="_xlnm.Print_Area" localSheetId="0">'Cover Page'!$A$1:$P$31</definedName>
    <definedName name="_xlnm.Print_Area" localSheetId="7">DCF!$B$2:$O$51</definedName>
    <definedName name="_xlnm.Print_Area" localSheetId="3">'Income Statement'!$B$2:$Q$63</definedName>
    <definedName name="_xlnm.Print_Area" localSheetId="1">Inputs!$B$2:$H$42</definedName>
    <definedName name="_xlnm.Print_Area" localSheetId="6">Proj!$B$2:$Q$259</definedName>
    <definedName name="_xlnm.Print_Area" localSheetId="2">'Spread Cover'!$B$2:$O$40</definedName>
    <definedName name="_xlnm.Print_Titles" localSheetId="6">Proj!$2:$5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j">Inputs!$B$2</definedName>
    <definedName name="PROPERTY_GROSS" hidden="1">"PROPERTY_GROSS"</definedName>
    <definedName name="PROPERTY_NET" hidden="1">"PROPERTY_NET"</definedName>
    <definedName name="QUICK_RATIO" hidden="1">"QUICK_RATIO"</definedName>
    <definedName name="REDEEM_PREF_STOCK" hidden="1">"REDEEM_PREF_STOCK"</definedName>
    <definedName name="RESEARCH_DEV" hidden="1">"RESEARCH_DEV"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VENUE" hidden="1">"REVENUE"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SGA" hidden="1">"SGA"</definedName>
    <definedName name="SHARESOUTSTANDING" hidden="1">"SHARESOUTSTANDING"</definedName>
    <definedName name="SHORT_TERM_INVEST" hidden="1">"SHORT_TERM_INVEST"</definedName>
    <definedName name="STATE" hidden="1">"STATE"</definedName>
    <definedName name="STOCK_BASED" hidden="1">"STOCK_BASED"</definedName>
    <definedName name="tdate">Inputs!$E$5</definedName>
    <definedName name="TemplateDate">32967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quarter">Inputs!$D$46</definedName>
    <definedName name="TRADE_AR" hidden="1">"TRADE_AR"</definedName>
    <definedName name="TREASURY_STOCK" hidden="1">"TREASURY_STOCK"</definedName>
    <definedName name="UNREALIZED_GAIN" hidden="1">"UNREALIZED_GAIN"</definedName>
    <definedName name="UNUSUAL_EXP" hidden="1">"UNUSUAL_EXP"</definedName>
    <definedName name="US_GAAP" hidden="1">"US_GAAP"</definedName>
    <definedName name="VOLUME" hidden="1">"VOLUME"</definedName>
    <definedName name="xxx" hidden="1">#REF!</definedName>
    <definedName name="xxxx" hidden="1">'[1]op inc as pct t'!$K$11:$K$17</definedName>
    <definedName name="YEARHIGH" hidden="1">"YEARHIGH"</definedName>
    <definedName name="YEARLOW" hidden="1">"YEARLOW"</definedName>
    <definedName name="Z_9AE38660_BF5A_49A3_9FC0_AD5890AFC019_.wvu.PrintArea" localSheetId="4" hidden="1">'Balance Sheet'!$B$2:$M$36</definedName>
    <definedName name="Z_9AE38660_BF5A_49A3_9FC0_AD5890AFC019_.wvu.PrintArea" localSheetId="5" hidden="1">'Cash Flow'!$B$2:$J$37</definedName>
    <definedName name="Z_9AE38660_BF5A_49A3_9FC0_AD5890AFC019_.wvu.PrintArea" localSheetId="7" hidden="1">DCF!$B$2:$O$51</definedName>
    <definedName name="Z_9AE38660_BF5A_49A3_9FC0_AD5890AFC019_.wvu.PrintArea" localSheetId="3" hidden="1">'Income Statement'!$B$2:$P$63</definedName>
    <definedName name="Z_9AE38660_BF5A_49A3_9FC0_AD5890AFC019_.wvu.PrintArea" localSheetId="1" hidden="1">Inputs!$B$2:$H$34</definedName>
    <definedName name="Z_9AE38660_BF5A_49A3_9FC0_AD5890AFC019_.wvu.PrintArea" localSheetId="6" hidden="1">Proj!$B$2:$P$234</definedName>
    <definedName name="Z_9AE38660_BF5A_49A3_9FC0_AD5890AFC019_.wvu.PrintArea" localSheetId="2" hidden="1">'Spread Cover'!$B$2:$O$40</definedName>
    <definedName name="Z_9AE38660_BF5A_49A3_9FC0_AD5890AFC019_.wvu.PrintTitles" localSheetId="6" hidden="1">Proj!$2:$5</definedName>
    <definedName name="Z_9AE38660_BF5A_49A3_9FC0_AD5890AFC019_.wvu.Rows" localSheetId="6" hidden="1">Proj!#REF!</definedName>
  </definedNames>
  <calcPr calcId="144525" calcMode="manual" iterate="1" calcCompleted="0" calcOnSave="0"/>
  <customWorkbookViews>
    <customWorkbookView name="Michael Stack - Personal View" guid="{9AE38660-BF5A-49A3-9FC0-AD5890AFC019}" mergeInterval="0" personalView="1" maximized="1" windowWidth="1276" windowHeight="827" tabRatio="830" activeSheetId="36"/>
  </customWorkbookViews>
</workbook>
</file>

<file path=xl/calcChain.xml><?xml version="1.0" encoding="utf-8"?>
<calcChain xmlns="http://schemas.openxmlformats.org/spreadsheetml/2006/main">
  <c r="I7" i="76" l="1"/>
  <c r="B4" i="76"/>
  <c r="J7" i="76"/>
  <c r="K7" i="76"/>
  <c r="L7" i="76"/>
  <c r="M7" i="76"/>
  <c r="N7" i="76"/>
  <c r="J8" i="76"/>
  <c r="K8" i="76"/>
  <c r="L8" i="76"/>
  <c r="M8" i="76"/>
  <c r="N8" i="76"/>
  <c r="I8" i="76"/>
  <c r="J9" i="76"/>
  <c r="K9" i="76"/>
  <c r="L9" i="76"/>
  <c r="M9" i="76"/>
  <c r="N9" i="76"/>
  <c r="I9" i="76"/>
  <c r="J10" i="76"/>
  <c r="K10" i="76"/>
  <c r="L10" i="76"/>
  <c r="M10" i="76"/>
  <c r="N10" i="76"/>
  <c r="I10" i="76"/>
  <c r="J11" i="76"/>
  <c r="K11" i="76"/>
  <c r="L11" i="76"/>
  <c r="M11" i="76"/>
  <c r="N11" i="76"/>
  <c r="I11" i="76"/>
  <c r="J12" i="76"/>
  <c r="K12" i="76"/>
  <c r="L12" i="76"/>
  <c r="M12" i="76"/>
  <c r="N12" i="76"/>
  <c r="I12" i="76"/>
  <c r="J13" i="76"/>
  <c r="K13" i="76"/>
  <c r="L13" i="76"/>
  <c r="M13" i="76"/>
  <c r="N13" i="76"/>
  <c r="I13" i="76"/>
  <c r="J14" i="76"/>
  <c r="K14" i="76"/>
  <c r="L14" i="76"/>
  <c r="M14" i="76"/>
  <c r="N14" i="76"/>
  <c r="I14" i="76"/>
  <c r="B15" i="76"/>
  <c r="J15" i="76"/>
  <c r="K15" i="76"/>
  <c r="L15" i="76"/>
  <c r="M15" i="76"/>
  <c r="N15" i="76"/>
  <c r="I15" i="76"/>
  <c r="J16" i="76"/>
  <c r="K16" i="76"/>
  <c r="L16" i="76"/>
  <c r="M16" i="76"/>
  <c r="N16" i="76"/>
  <c r="I16" i="76"/>
  <c r="J17" i="76"/>
  <c r="K17" i="76"/>
  <c r="L17" i="76"/>
  <c r="M17" i="76"/>
  <c r="N17" i="76"/>
  <c r="I17" i="76"/>
  <c r="J18" i="76"/>
  <c r="K18" i="76"/>
  <c r="L18" i="76"/>
  <c r="M18" i="76"/>
  <c r="N18" i="76"/>
  <c r="I18" i="76"/>
  <c r="J19" i="76"/>
  <c r="K19" i="76"/>
  <c r="L19" i="76"/>
  <c r="M19" i="76"/>
  <c r="N19" i="76"/>
  <c r="I19" i="76"/>
  <c r="J20" i="76"/>
  <c r="K20" i="76"/>
  <c r="L20" i="76"/>
  <c r="M20" i="76"/>
  <c r="N20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B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B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G46" i="76"/>
  <c r="H46" i="76"/>
  <c r="I46" i="76"/>
  <c r="J46" i="76"/>
  <c r="K46" i="76"/>
  <c r="L46" i="76"/>
  <c r="M46" i="76"/>
  <c r="N46" i="76"/>
  <c r="O46" i="76"/>
  <c r="P46" i="76"/>
  <c r="Q46" i="76"/>
  <c r="R46" i="76"/>
  <c r="G47" i="76"/>
  <c r="H47" i="76"/>
  <c r="I47" i="76"/>
  <c r="J47" i="76"/>
  <c r="K47" i="76"/>
  <c r="L47" i="76"/>
  <c r="M47" i="76"/>
  <c r="N47" i="76"/>
  <c r="O47" i="76"/>
  <c r="P47" i="76"/>
  <c r="Q47" i="76"/>
  <c r="R47" i="76"/>
  <c r="G48" i="76"/>
  <c r="H48" i="76"/>
  <c r="I48" i="76"/>
  <c r="J48" i="76"/>
  <c r="K48" i="76"/>
  <c r="L48" i="76"/>
  <c r="M48" i="76"/>
  <c r="N48" i="76"/>
  <c r="O48" i="76"/>
  <c r="P48" i="76"/>
  <c r="Q48" i="76"/>
  <c r="R48" i="76"/>
  <c r="B50" i="76"/>
  <c r="G53" i="76"/>
  <c r="H53" i="76"/>
  <c r="I53" i="76"/>
  <c r="J53" i="76"/>
  <c r="K53" i="76"/>
  <c r="L53" i="76"/>
  <c r="M53" i="76"/>
  <c r="N53" i="76"/>
  <c r="O53" i="76"/>
  <c r="P53" i="76"/>
  <c r="Q53" i="76"/>
  <c r="R53" i="76"/>
  <c r="G54" i="76"/>
  <c r="H54" i="76"/>
  <c r="I54" i="76"/>
  <c r="J54" i="76"/>
  <c r="K54" i="76"/>
  <c r="L54" i="76"/>
  <c r="M54" i="76"/>
  <c r="N54" i="76"/>
  <c r="O54" i="76"/>
  <c r="P54" i="76"/>
  <c r="Q54" i="76"/>
  <c r="R54" i="76"/>
  <c r="F58" i="76"/>
  <c r="J58" i="76"/>
  <c r="K58" i="76"/>
  <c r="L58" i="76"/>
  <c r="M58" i="76"/>
  <c r="N58" i="76"/>
  <c r="K59" i="76"/>
  <c r="L59" i="76"/>
  <c r="M59" i="76"/>
  <c r="N59" i="76"/>
  <c r="R59" i="76"/>
  <c r="K60" i="76"/>
  <c r="L60" i="76"/>
  <c r="M60" i="76"/>
  <c r="N60" i="76"/>
  <c r="R60" i="76"/>
  <c r="G65" i="76"/>
  <c r="H65" i="76"/>
  <c r="I65" i="76"/>
  <c r="J65" i="76"/>
  <c r="K65" i="76"/>
  <c r="L65" i="76"/>
  <c r="M65" i="76"/>
  <c r="N65" i="76"/>
  <c r="O65" i="76"/>
  <c r="P65" i="76"/>
  <c r="Q65" i="76"/>
  <c r="R65" i="76"/>
  <c r="B66" i="76"/>
  <c r="C66" i="76"/>
  <c r="G66" i="76"/>
  <c r="H66" i="76"/>
  <c r="I66" i="76"/>
  <c r="J66" i="76"/>
  <c r="K66" i="76"/>
  <c r="L66" i="76"/>
  <c r="M66" i="76"/>
  <c r="N66" i="76"/>
  <c r="O66" i="76"/>
  <c r="P66" i="76"/>
  <c r="Q66" i="76"/>
  <c r="R66" i="76"/>
  <c r="G67" i="76"/>
  <c r="H67" i="76"/>
  <c r="I67" i="76"/>
  <c r="J67" i="76"/>
  <c r="K67" i="76"/>
  <c r="L67" i="76"/>
  <c r="M67" i="76"/>
  <c r="N67" i="76"/>
  <c r="O67" i="76"/>
  <c r="P67" i="76"/>
  <c r="Q67" i="76"/>
  <c r="R67" i="76"/>
  <c r="G68" i="76"/>
  <c r="H68" i="76"/>
  <c r="I68" i="76"/>
  <c r="J68" i="76"/>
  <c r="K68" i="76"/>
  <c r="L68" i="76"/>
  <c r="M68" i="76"/>
  <c r="N68" i="76"/>
  <c r="O68" i="76"/>
  <c r="P68" i="76"/>
  <c r="Q68" i="76"/>
  <c r="R68" i="76"/>
  <c r="G69" i="76"/>
  <c r="H69" i="76"/>
  <c r="I69" i="76"/>
  <c r="J69" i="76"/>
  <c r="K69" i="76"/>
  <c r="L69" i="76"/>
  <c r="M69" i="76"/>
  <c r="N69" i="76"/>
  <c r="O69" i="76"/>
  <c r="P69" i="76"/>
  <c r="Q69" i="76"/>
  <c r="R69" i="76"/>
  <c r="G70" i="76"/>
  <c r="H70" i="76"/>
  <c r="I70" i="76"/>
  <c r="J70" i="76"/>
  <c r="K70" i="76"/>
  <c r="L70" i="76"/>
  <c r="M70" i="76"/>
  <c r="N70" i="76"/>
  <c r="O70" i="76"/>
  <c r="P70" i="76"/>
  <c r="Q70" i="76"/>
  <c r="R70" i="76"/>
  <c r="G71" i="76"/>
  <c r="H71" i="76"/>
  <c r="I71" i="76"/>
  <c r="J71" i="76"/>
  <c r="K71" i="76"/>
  <c r="L71" i="76"/>
  <c r="M71" i="76"/>
  <c r="N71" i="76"/>
  <c r="O71" i="76"/>
  <c r="P71" i="76"/>
  <c r="Q71" i="76"/>
  <c r="R71" i="76"/>
  <c r="B72" i="76"/>
  <c r="C72" i="76"/>
  <c r="G72" i="76"/>
  <c r="H72" i="76"/>
  <c r="I72" i="76"/>
  <c r="J72" i="76"/>
  <c r="K72" i="76"/>
  <c r="L72" i="76"/>
  <c r="M72" i="76"/>
  <c r="N72" i="76"/>
  <c r="O72" i="76"/>
  <c r="P72" i="76"/>
  <c r="Q72" i="76"/>
  <c r="R72" i="76"/>
  <c r="G77" i="76"/>
  <c r="H77" i="76"/>
  <c r="I77" i="76"/>
  <c r="J77" i="76"/>
  <c r="K77" i="76"/>
  <c r="L77" i="76"/>
  <c r="M77" i="76"/>
  <c r="N77" i="76"/>
  <c r="O77" i="76"/>
  <c r="P77" i="76"/>
  <c r="Q77" i="76"/>
  <c r="R77" i="76"/>
  <c r="B78" i="76"/>
  <c r="C78" i="76"/>
  <c r="G78" i="76"/>
  <c r="H78" i="76"/>
  <c r="I78" i="76"/>
  <c r="J78" i="76"/>
  <c r="K78" i="76"/>
  <c r="L78" i="76"/>
  <c r="M78" i="76"/>
  <c r="N78" i="76"/>
  <c r="O78" i="76"/>
  <c r="P78" i="76"/>
  <c r="Q78" i="76"/>
  <c r="R78" i="76"/>
  <c r="B79" i="76"/>
  <c r="C79" i="76"/>
  <c r="G79" i="76"/>
  <c r="H79" i="76"/>
  <c r="I79" i="76"/>
  <c r="J79" i="76"/>
  <c r="K79" i="76"/>
  <c r="L79" i="76"/>
  <c r="M79" i="76"/>
  <c r="N79" i="76"/>
  <c r="O79" i="76"/>
  <c r="P79" i="76"/>
  <c r="Q79" i="76"/>
  <c r="R79" i="76"/>
  <c r="B80" i="76"/>
  <c r="C80" i="76"/>
  <c r="G80" i="76"/>
  <c r="H80" i="76"/>
  <c r="I80" i="76"/>
  <c r="J80" i="76"/>
  <c r="K80" i="76"/>
  <c r="L80" i="76"/>
  <c r="M80" i="76"/>
  <c r="N80" i="76"/>
  <c r="O80" i="76"/>
  <c r="P80" i="76"/>
  <c r="Q80" i="76"/>
  <c r="R80" i="76"/>
  <c r="B81" i="76"/>
  <c r="C81" i="76"/>
  <c r="G81" i="76"/>
  <c r="H81" i="76"/>
  <c r="I81" i="76"/>
  <c r="J81" i="76"/>
  <c r="K81" i="76"/>
  <c r="L81" i="76"/>
  <c r="M81" i="76"/>
  <c r="N81" i="76"/>
  <c r="O81" i="76"/>
  <c r="P81" i="76"/>
  <c r="Q81" i="76"/>
  <c r="R81" i="76"/>
  <c r="B82" i="76"/>
  <c r="C82" i="76"/>
  <c r="G82" i="76"/>
  <c r="H82" i="76"/>
  <c r="I82" i="76"/>
  <c r="J82" i="76"/>
  <c r="K82" i="76"/>
  <c r="L82" i="76"/>
  <c r="M82" i="76"/>
  <c r="N82" i="76"/>
  <c r="O82" i="76"/>
  <c r="P82" i="76"/>
  <c r="Q82" i="76"/>
  <c r="R82" i="76"/>
  <c r="B83" i="76"/>
  <c r="C83" i="76"/>
  <c r="G83" i="76"/>
  <c r="H83" i="76"/>
  <c r="I83" i="76"/>
  <c r="J83" i="76"/>
  <c r="K83" i="76"/>
  <c r="L83" i="76"/>
  <c r="M83" i="76"/>
  <c r="N83" i="76"/>
  <c r="O83" i="76"/>
  <c r="P83" i="76"/>
  <c r="Q83" i="76"/>
  <c r="R83" i="76"/>
  <c r="B84" i="76"/>
  <c r="C84" i="76"/>
  <c r="G84" i="76"/>
  <c r="H84" i="76"/>
  <c r="I84" i="76"/>
  <c r="J84" i="76"/>
  <c r="K84" i="76"/>
  <c r="L84" i="76"/>
  <c r="M84" i="76"/>
  <c r="N84" i="76"/>
  <c r="O84" i="76"/>
  <c r="P84" i="76"/>
  <c r="Q84" i="76"/>
  <c r="R84" i="76"/>
  <c r="B2" i="36"/>
  <c r="Q2" i="36"/>
  <c r="B3" i="36"/>
  <c r="Q3" i="36"/>
  <c r="B4" i="36"/>
  <c r="Q4" i="36"/>
  <c r="B7" i="36"/>
  <c r="I7" i="36"/>
  <c r="J7" i="36"/>
  <c r="K7" i="36"/>
  <c r="L7" i="36"/>
  <c r="M7" i="36"/>
  <c r="N7" i="36"/>
  <c r="O7" i="36"/>
  <c r="P7" i="36"/>
  <c r="Q7" i="36"/>
  <c r="B8" i="36"/>
  <c r="I8" i="36"/>
  <c r="J8" i="36"/>
  <c r="K8" i="36"/>
  <c r="L8" i="36"/>
  <c r="M8" i="36"/>
  <c r="N8" i="36"/>
  <c r="O8" i="36"/>
  <c r="P8" i="36"/>
  <c r="Q8" i="36"/>
  <c r="B9" i="36"/>
  <c r="I9" i="36"/>
  <c r="J9" i="36"/>
  <c r="K9" i="36"/>
  <c r="L9" i="36"/>
  <c r="M9" i="36"/>
  <c r="N9" i="36"/>
  <c r="O9" i="36"/>
  <c r="P9" i="36"/>
  <c r="Q9" i="36"/>
  <c r="B10" i="36"/>
  <c r="I10" i="36"/>
  <c r="J10" i="36"/>
  <c r="K10" i="36"/>
  <c r="L10" i="36"/>
  <c r="M10" i="36"/>
  <c r="N10" i="36"/>
  <c r="O10" i="36"/>
  <c r="P10" i="36"/>
  <c r="Q10" i="36"/>
  <c r="B11" i="36"/>
  <c r="I11" i="36"/>
  <c r="J11" i="36"/>
  <c r="K11" i="36"/>
  <c r="L11" i="36"/>
  <c r="M11" i="36"/>
  <c r="N11" i="36"/>
  <c r="O11" i="36"/>
  <c r="P11" i="36"/>
  <c r="Q11" i="36"/>
  <c r="B12" i="36"/>
  <c r="I12" i="36"/>
  <c r="J12" i="36"/>
  <c r="K12" i="36"/>
  <c r="L12" i="36"/>
  <c r="M12" i="36"/>
  <c r="N12" i="36"/>
  <c r="O12" i="36"/>
  <c r="P12" i="36"/>
  <c r="Q12" i="36"/>
  <c r="B13" i="36"/>
  <c r="I13" i="36"/>
  <c r="J13" i="36"/>
  <c r="K13" i="36"/>
  <c r="L13" i="36"/>
  <c r="M13" i="36"/>
  <c r="N13" i="36"/>
  <c r="O13" i="36"/>
  <c r="P13" i="36"/>
  <c r="Q13" i="36"/>
  <c r="I14" i="36"/>
  <c r="J14" i="36"/>
  <c r="K14" i="36"/>
  <c r="L14" i="36"/>
  <c r="M14" i="36"/>
  <c r="N14" i="36"/>
  <c r="O14" i="36"/>
  <c r="P14" i="36"/>
  <c r="Q14" i="36"/>
  <c r="B15" i="36"/>
  <c r="I15" i="36"/>
  <c r="J15" i="36"/>
  <c r="K15" i="36"/>
  <c r="L15" i="36"/>
  <c r="M15" i="36"/>
  <c r="N15" i="36"/>
  <c r="O15" i="36"/>
  <c r="P15" i="36"/>
  <c r="Q15" i="36"/>
  <c r="B16" i="36"/>
  <c r="I16" i="36"/>
  <c r="J16" i="36"/>
  <c r="K16" i="36"/>
  <c r="L16" i="36"/>
  <c r="M16" i="36"/>
  <c r="N16" i="36"/>
  <c r="O16" i="36"/>
  <c r="P16" i="36"/>
  <c r="Q16" i="36"/>
  <c r="B17" i="36"/>
  <c r="I17" i="36"/>
  <c r="J17" i="36"/>
  <c r="K17" i="36"/>
  <c r="L17" i="36"/>
  <c r="M17" i="36"/>
  <c r="N17" i="36"/>
  <c r="O17" i="36"/>
  <c r="P17" i="36"/>
  <c r="Q17" i="36"/>
  <c r="B18" i="36"/>
  <c r="I18" i="36"/>
  <c r="J18" i="36"/>
  <c r="K18" i="36"/>
  <c r="L18" i="36"/>
  <c r="M18" i="36"/>
  <c r="N18" i="36"/>
  <c r="O18" i="36"/>
  <c r="P18" i="36"/>
  <c r="Q18" i="36"/>
  <c r="B19" i="36"/>
  <c r="I19" i="36"/>
  <c r="J19" i="36"/>
  <c r="K19" i="36"/>
  <c r="L19" i="36"/>
  <c r="M19" i="36"/>
  <c r="N19" i="36"/>
  <c r="O19" i="36"/>
  <c r="P19" i="36"/>
  <c r="Q19" i="36"/>
  <c r="B20" i="36"/>
  <c r="I20" i="36"/>
  <c r="J20" i="36"/>
  <c r="K20" i="36"/>
  <c r="L20" i="36"/>
  <c r="M20" i="36"/>
  <c r="N20" i="36"/>
  <c r="O20" i="36"/>
  <c r="P20" i="36"/>
  <c r="Q20" i="36"/>
  <c r="I21" i="36"/>
  <c r="J21" i="36"/>
  <c r="K21" i="36"/>
  <c r="L21" i="36"/>
  <c r="M21" i="36"/>
  <c r="N21" i="36"/>
  <c r="O21" i="36"/>
  <c r="P21" i="36"/>
  <c r="Q21" i="36"/>
  <c r="I22" i="36"/>
  <c r="J22" i="36"/>
  <c r="K22" i="36"/>
  <c r="L22" i="36"/>
  <c r="M22" i="36"/>
  <c r="N22" i="36"/>
  <c r="O22" i="36"/>
  <c r="P22" i="36"/>
  <c r="Q22" i="36"/>
  <c r="B24" i="36"/>
  <c r="B25" i="36"/>
  <c r="I25" i="36"/>
  <c r="J25" i="36"/>
  <c r="K25" i="36"/>
  <c r="L25" i="36"/>
  <c r="M25" i="36"/>
  <c r="N25" i="36"/>
  <c r="O25" i="36"/>
  <c r="P25" i="36"/>
  <c r="Q25" i="36"/>
  <c r="B26" i="36"/>
  <c r="I26" i="36"/>
  <c r="J26" i="36"/>
  <c r="K26" i="36"/>
  <c r="B27" i="36"/>
  <c r="I27" i="36"/>
  <c r="J27" i="36"/>
  <c r="K27" i="36"/>
  <c r="L27" i="36"/>
  <c r="M27" i="36"/>
  <c r="N27" i="36"/>
  <c r="O27" i="36"/>
  <c r="P27" i="36"/>
  <c r="Q27" i="36"/>
  <c r="B28" i="36"/>
  <c r="I28" i="36"/>
  <c r="J28" i="36"/>
  <c r="K28" i="36"/>
  <c r="L28" i="36"/>
  <c r="M28" i="36"/>
  <c r="N28" i="36"/>
  <c r="O28" i="36"/>
  <c r="P28" i="36"/>
  <c r="Q28" i="36"/>
  <c r="B30" i="36"/>
  <c r="I30" i="36"/>
  <c r="J30" i="36"/>
  <c r="K30" i="36"/>
  <c r="L30" i="36"/>
  <c r="M30" i="36"/>
  <c r="N30" i="36"/>
  <c r="O30" i="36"/>
  <c r="P30" i="36"/>
  <c r="Q30" i="36"/>
  <c r="B31" i="36"/>
  <c r="I31" i="36"/>
  <c r="J31" i="36"/>
  <c r="K31" i="36"/>
  <c r="L31" i="36"/>
  <c r="M31" i="36"/>
  <c r="N31" i="36"/>
  <c r="O31" i="36"/>
  <c r="P31" i="36"/>
  <c r="Q31" i="36"/>
  <c r="I34" i="36"/>
  <c r="J34" i="36"/>
  <c r="K34" i="36"/>
  <c r="L34" i="36"/>
  <c r="M34" i="36"/>
  <c r="N34" i="36"/>
  <c r="O34" i="36"/>
  <c r="P34" i="36"/>
  <c r="Q34" i="36"/>
  <c r="I37" i="36"/>
  <c r="J37" i="36"/>
  <c r="K37" i="36"/>
  <c r="L37" i="36"/>
  <c r="M37" i="36"/>
  <c r="N37" i="36"/>
  <c r="O37" i="36"/>
  <c r="P37" i="36"/>
  <c r="Q37" i="36"/>
  <c r="I38" i="36"/>
  <c r="J38" i="36"/>
  <c r="K38" i="36"/>
  <c r="L38" i="36"/>
  <c r="M38" i="36"/>
  <c r="N38" i="36"/>
  <c r="O38" i="36"/>
  <c r="P38" i="36"/>
  <c r="Q38" i="36"/>
  <c r="I39" i="36"/>
  <c r="J39" i="36"/>
  <c r="K39" i="36"/>
  <c r="L39" i="36"/>
  <c r="M39" i="36"/>
  <c r="N39" i="36"/>
  <c r="O39" i="36"/>
  <c r="P39" i="36"/>
  <c r="Q39" i="36"/>
  <c r="I40" i="36"/>
  <c r="J40" i="36"/>
  <c r="K40" i="36"/>
  <c r="L40" i="36"/>
  <c r="M40" i="36"/>
  <c r="N40" i="36"/>
  <c r="O40" i="36"/>
  <c r="P40" i="36"/>
  <c r="Q40" i="36"/>
  <c r="I43" i="36"/>
  <c r="J43" i="36"/>
  <c r="K43" i="36"/>
  <c r="L43" i="36"/>
  <c r="M43" i="36"/>
  <c r="N43" i="36"/>
  <c r="O43" i="36"/>
  <c r="P43" i="36"/>
  <c r="Q43" i="36"/>
  <c r="B44" i="36"/>
  <c r="I44" i="36"/>
  <c r="J44" i="36"/>
  <c r="K44" i="36"/>
  <c r="L44" i="36"/>
  <c r="M44" i="36"/>
  <c r="N44" i="36"/>
  <c r="O44" i="36"/>
  <c r="P44" i="36"/>
  <c r="Q44" i="36"/>
  <c r="I45" i="36"/>
  <c r="J45" i="36"/>
  <c r="K45" i="36"/>
  <c r="L45" i="36"/>
  <c r="M45" i="36"/>
  <c r="N45" i="36"/>
  <c r="O45" i="36"/>
  <c r="P45" i="36"/>
  <c r="Q45" i="36"/>
  <c r="I46" i="36"/>
  <c r="J46" i="36"/>
  <c r="K46" i="36"/>
  <c r="L46" i="36"/>
  <c r="M46" i="36"/>
  <c r="N46" i="36"/>
  <c r="O46" i="36"/>
  <c r="P46" i="36"/>
  <c r="Q46" i="36"/>
  <c r="I47" i="36"/>
  <c r="J47" i="36"/>
  <c r="K47" i="36"/>
  <c r="L47" i="36"/>
  <c r="M47" i="36"/>
  <c r="N47" i="36"/>
  <c r="O47" i="36"/>
  <c r="P47" i="36"/>
  <c r="Q47" i="36"/>
  <c r="J50" i="36"/>
  <c r="K50" i="36"/>
  <c r="L50" i="36"/>
  <c r="M50" i="36"/>
  <c r="N50" i="36"/>
  <c r="O50" i="36"/>
  <c r="P50" i="36"/>
  <c r="Q50" i="36"/>
  <c r="J51" i="36"/>
  <c r="K51" i="36"/>
  <c r="L51" i="36"/>
  <c r="M51" i="36"/>
  <c r="N51" i="36"/>
  <c r="O51" i="36"/>
  <c r="P51" i="36"/>
  <c r="Q51" i="36"/>
  <c r="J52" i="36"/>
  <c r="K52" i="36"/>
  <c r="L52" i="36"/>
  <c r="M52" i="36"/>
  <c r="N52" i="36"/>
  <c r="O52" i="36"/>
  <c r="P52" i="36"/>
  <c r="Q52" i="36"/>
  <c r="J53" i="36"/>
  <c r="K53" i="36"/>
  <c r="L53" i="36"/>
  <c r="M53" i="36"/>
  <c r="N53" i="36"/>
  <c r="O53" i="36"/>
  <c r="P53" i="36"/>
  <c r="Q53" i="36"/>
  <c r="J54" i="36"/>
  <c r="K54" i="36"/>
  <c r="L54" i="36"/>
  <c r="M54" i="36"/>
  <c r="N54" i="36"/>
  <c r="O54" i="36"/>
  <c r="P54" i="36"/>
  <c r="Q54" i="36"/>
  <c r="J55" i="36"/>
  <c r="K55" i="36"/>
  <c r="L55" i="36"/>
  <c r="M55" i="36"/>
  <c r="N55" i="36"/>
  <c r="O55" i="36"/>
  <c r="P55" i="36"/>
  <c r="Q55" i="36"/>
  <c r="B56" i="36"/>
  <c r="J56" i="36"/>
  <c r="K56" i="36"/>
  <c r="L56" i="36"/>
  <c r="M56" i="36"/>
  <c r="N56" i="36"/>
  <c r="O56" i="36"/>
  <c r="P56" i="36"/>
  <c r="Q56" i="36"/>
  <c r="B59" i="36"/>
  <c r="J59" i="36"/>
  <c r="K59" i="36"/>
  <c r="L59" i="36"/>
  <c r="M59" i="36"/>
  <c r="N59" i="36"/>
  <c r="O59" i="36"/>
  <c r="P59" i="36"/>
  <c r="Q59" i="36"/>
  <c r="B61" i="36"/>
  <c r="J61" i="36"/>
  <c r="K61" i="36"/>
  <c r="L61" i="36"/>
  <c r="M61" i="36"/>
  <c r="N61" i="36"/>
  <c r="O61" i="36"/>
  <c r="P61" i="36"/>
  <c r="Q61" i="36"/>
  <c r="B62" i="36"/>
  <c r="J62" i="36"/>
  <c r="K62" i="36"/>
  <c r="L62" i="36"/>
  <c r="M62" i="36"/>
  <c r="N62" i="36"/>
  <c r="O62" i="36"/>
  <c r="P62" i="36"/>
  <c r="Q62" i="36"/>
  <c r="B63" i="36"/>
  <c r="J63" i="36"/>
  <c r="K63" i="36"/>
  <c r="L63" i="36"/>
  <c r="M63" i="36"/>
  <c r="N63" i="36"/>
  <c r="O63" i="36"/>
  <c r="P63" i="36"/>
  <c r="Q63" i="36"/>
  <c r="B64" i="36"/>
  <c r="J64" i="36"/>
  <c r="K64" i="36"/>
  <c r="L64" i="36"/>
  <c r="M64" i="36"/>
  <c r="N64" i="36"/>
  <c r="O64" i="36"/>
  <c r="P64" i="36"/>
  <c r="Q64" i="36"/>
  <c r="B65" i="36"/>
  <c r="J65" i="36"/>
  <c r="K65" i="36"/>
  <c r="L65" i="36"/>
  <c r="M65" i="36"/>
  <c r="N65" i="36"/>
  <c r="O65" i="36"/>
  <c r="P65" i="36"/>
  <c r="Q65" i="36"/>
  <c r="B66" i="36"/>
  <c r="J66" i="36"/>
  <c r="K66" i="36"/>
  <c r="L66" i="36"/>
  <c r="M66" i="36"/>
  <c r="N66" i="36"/>
  <c r="O66" i="36"/>
  <c r="P66" i="36"/>
  <c r="Q66" i="36"/>
  <c r="B67" i="36"/>
  <c r="J67" i="36"/>
  <c r="K67" i="36"/>
  <c r="L67" i="36"/>
  <c r="M67" i="36"/>
  <c r="N67" i="36"/>
  <c r="O67" i="36"/>
  <c r="P67" i="36"/>
  <c r="Q67" i="36"/>
  <c r="B68" i="36"/>
  <c r="J68" i="36"/>
  <c r="K68" i="36"/>
  <c r="L68" i="36"/>
  <c r="M68" i="36"/>
  <c r="N68" i="36"/>
  <c r="O68" i="36"/>
  <c r="P68" i="36"/>
  <c r="Q68" i="36"/>
  <c r="B69" i="36"/>
  <c r="J69" i="36"/>
  <c r="K69" i="36"/>
  <c r="L69" i="36"/>
  <c r="M69" i="36"/>
  <c r="N69" i="36"/>
  <c r="O69" i="36"/>
  <c r="P69" i="36"/>
  <c r="Q69" i="36"/>
  <c r="J70" i="36"/>
  <c r="K70" i="36"/>
  <c r="L70" i="36"/>
  <c r="M70" i="36"/>
  <c r="N70" i="36"/>
  <c r="O70" i="36"/>
  <c r="P70" i="36"/>
  <c r="Q70" i="36"/>
  <c r="B73" i="36"/>
  <c r="J73" i="36"/>
  <c r="K73" i="36"/>
  <c r="L73" i="36"/>
  <c r="M73" i="36"/>
  <c r="N73" i="36"/>
  <c r="O73" i="36"/>
  <c r="P73" i="36"/>
  <c r="Q73" i="36"/>
  <c r="B74" i="36"/>
  <c r="J74" i="36"/>
  <c r="K74" i="36"/>
  <c r="L74" i="36"/>
  <c r="M74" i="36"/>
  <c r="N74" i="36"/>
  <c r="O74" i="36"/>
  <c r="P74" i="36"/>
  <c r="Q74" i="36"/>
  <c r="B75" i="36"/>
  <c r="J75" i="36"/>
  <c r="K75" i="36"/>
  <c r="L75" i="36"/>
  <c r="M75" i="36"/>
  <c r="N75" i="36"/>
  <c r="O75" i="36"/>
  <c r="P75" i="36"/>
  <c r="Q75" i="36"/>
  <c r="B76" i="36"/>
  <c r="J76" i="36"/>
  <c r="K76" i="36"/>
  <c r="L76" i="36"/>
  <c r="M76" i="36"/>
  <c r="N76" i="36"/>
  <c r="O76" i="36"/>
  <c r="P76" i="36"/>
  <c r="Q76" i="36"/>
  <c r="B77" i="36"/>
  <c r="J77" i="36"/>
  <c r="K77" i="36"/>
  <c r="L77" i="36"/>
  <c r="M77" i="36"/>
  <c r="N77" i="36"/>
  <c r="O77" i="36"/>
  <c r="P77" i="36"/>
  <c r="Q77" i="36"/>
  <c r="B78" i="36"/>
  <c r="J78" i="36"/>
  <c r="K78" i="36"/>
  <c r="L78" i="36"/>
  <c r="M78" i="36"/>
  <c r="N78" i="36"/>
  <c r="O78" i="36"/>
  <c r="P78" i="36"/>
  <c r="Q78" i="36"/>
  <c r="B79" i="36"/>
  <c r="J79" i="36"/>
  <c r="K79" i="36"/>
  <c r="L79" i="36"/>
  <c r="M79" i="36"/>
  <c r="N79" i="36"/>
  <c r="O79" i="36"/>
  <c r="P79" i="36"/>
  <c r="Q79" i="36"/>
  <c r="B80" i="36"/>
  <c r="J80" i="36"/>
  <c r="K80" i="36"/>
  <c r="L80" i="36"/>
  <c r="M80" i="36"/>
  <c r="N80" i="36"/>
  <c r="O80" i="36"/>
  <c r="P80" i="36"/>
  <c r="Q80" i="36"/>
  <c r="B81" i="36"/>
  <c r="J81" i="36"/>
  <c r="K81" i="36"/>
  <c r="L81" i="36"/>
  <c r="M81" i="36"/>
  <c r="N81" i="36"/>
  <c r="O81" i="36"/>
  <c r="P81" i="36"/>
  <c r="Q81" i="36"/>
  <c r="B82" i="36"/>
  <c r="J82" i="36"/>
  <c r="K82" i="36"/>
  <c r="L82" i="36"/>
  <c r="M82" i="36"/>
  <c r="N82" i="36"/>
  <c r="O82" i="36"/>
  <c r="P82" i="36"/>
  <c r="Q82" i="36"/>
  <c r="J83" i="36"/>
  <c r="K83" i="36"/>
  <c r="L83" i="36"/>
  <c r="M83" i="36"/>
  <c r="N83" i="36"/>
  <c r="O83" i="36"/>
  <c r="P83" i="36"/>
  <c r="Q83" i="36"/>
  <c r="J85" i="36"/>
  <c r="K85" i="36"/>
  <c r="L85" i="36"/>
  <c r="M85" i="36"/>
  <c r="N85" i="36"/>
  <c r="O85" i="36"/>
  <c r="P85" i="36"/>
  <c r="Q85" i="36"/>
  <c r="J86" i="36"/>
  <c r="K86" i="36"/>
  <c r="L86" i="36"/>
  <c r="M86" i="36"/>
  <c r="N86" i="36"/>
  <c r="O86" i="36"/>
  <c r="P86" i="36"/>
  <c r="Q86" i="36"/>
  <c r="B89" i="36"/>
  <c r="L89" i="36"/>
  <c r="M89" i="36"/>
  <c r="N89" i="36"/>
  <c r="O89" i="36"/>
  <c r="P89" i="36"/>
  <c r="Q89" i="36"/>
  <c r="L90" i="36"/>
  <c r="M90" i="36"/>
  <c r="N90" i="36"/>
  <c r="O90" i="36"/>
  <c r="P90" i="36"/>
  <c r="Q90" i="36"/>
  <c r="L91" i="36"/>
  <c r="M91" i="36"/>
  <c r="N91" i="36"/>
  <c r="O91" i="36"/>
  <c r="P91" i="36"/>
  <c r="Q91" i="36"/>
  <c r="L92" i="36"/>
  <c r="M92" i="36"/>
  <c r="N92" i="36"/>
  <c r="O92" i="36"/>
  <c r="P92" i="36"/>
  <c r="Q92" i="36"/>
  <c r="L94" i="36"/>
  <c r="M94" i="36"/>
  <c r="N94" i="36"/>
  <c r="O94" i="36"/>
  <c r="P94" i="36"/>
  <c r="Q94" i="36"/>
  <c r="L95" i="36"/>
  <c r="M95" i="36"/>
  <c r="N95" i="36"/>
  <c r="O95" i="36"/>
  <c r="P95" i="36"/>
  <c r="Q95" i="36"/>
  <c r="L97" i="36"/>
  <c r="M97" i="36"/>
  <c r="N97" i="36"/>
  <c r="O97" i="36"/>
  <c r="P97" i="36"/>
  <c r="Q97" i="36"/>
  <c r="L99" i="36"/>
  <c r="M99" i="36"/>
  <c r="N99" i="36"/>
  <c r="O99" i="36"/>
  <c r="P99" i="36"/>
  <c r="Q99" i="36"/>
  <c r="L101" i="36"/>
  <c r="M101" i="36"/>
  <c r="N101" i="36"/>
  <c r="O101" i="36"/>
  <c r="P101" i="36"/>
  <c r="Q101" i="36"/>
  <c r="F102" i="36"/>
  <c r="L102" i="36"/>
  <c r="M102" i="36"/>
  <c r="N102" i="36"/>
  <c r="O102" i="36"/>
  <c r="P102" i="36"/>
  <c r="Q102" i="36"/>
  <c r="L103" i="36"/>
  <c r="M103" i="36"/>
  <c r="N103" i="36"/>
  <c r="O103" i="36"/>
  <c r="P103" i="36"/>
  <c r="Q103" i="36"/>
  <c r="L104" i="36"/>
  <c r="M104" i="36"/>
  <c r="N104" i="36"/>
  <c r="O104" i="36"/>
  <c r="P104" i="36"/>
  <c r="Q104" i="36"/>
  <c r="L105" i="36"/>
  <c r="M105" i="36"/>
  <c r="N105" i="36"/>
  <c r="O105" i="36"/>
  <c r="P105" i="36"/>
  <c r="Q105" i="36"/>
  <c r="L107" i="36"/>
  <c r="M107" i="36"/>
  <c r="N107" i="36"/>
  <c r="O107" i="36"/>
  <c r="P107" i="36"/>
  <c r="Q107" i="36"/>
  <c r="L109" i="36"/>
  <c r="M109" i="36"/>
  <c r="N109" i="36"/>
  <c r="O109" i="36"/>
  <c r="P109" i="36"/>
  <c r="Q109" i="36"/>
  <c r="L110" i="36"/>
  <c r="M110" i="36"/>
  <c r="N110" i="36"/>
  <c r="O110" i="36"/>
  <c r="P110" i="36"/>
  <c r="Q110" i="36"/>
  <c r="L112" i="36"/>
  <c r="M112" i="36"/>
  <c r="N112" i="36"/>
  <c r="O112" i="36"/>
  <c r="P112" i="36"/>
  <c r="Q112" i="36"/>
  <c r="L113" i="36"/>
  <c r="M113" i="36"/>
  <c r="N113" i="36"/>
  <c r="O113" i="36"/>
  <c r="P113" i="36"/>
  <c r="Q113" i="36"/>
  <c r="B116" i="36"/>
  <c r="K116" i="36"/>
  <c r="L116" i="36"/>
  <c r="M116" i="36"/>
  <c r="N116" i="36"/>
  <c r="O116" i="36"/>
  <c r="P116" i="36"/>
  <c r="Q116" i="36"/>
  <c r="L118" i="36"/>
  <c r="M118" i="36"/>
  <c r="N118" i="36"/>
  <c r="O118" i="36"/>
  <c r="P118" i="36"/>
  <c r="Q118" i="36"/>
  <c r="L119" i="36"/>
  <c r="M119" i="36"/>
  <c r="N119" i="36"/>
  <c r="O119" i="36"/>
  <c r="P119" i="36"/>
  <c r="Q119" i="36"/>
  <c r="L120" i="36"/>
  <c r="M120" i="36"/>
  <c r="N120" i="36"/>
  <c r="O120" i="36"/>
  <c r="P120" i="36"/>
  <c r="Q120" i="36"/>
  <c r="L121" i="36"/>
  <c r="M121" i="36"/>
  <c r="N121" i="36"/>
  <c r="O121" i="36"/>
  <c r="P121" i="36"/>
  <c r="Q121" i="36"/>
  <c r="L122" i="36"/>
  <c r="M122" i="36"/>
  <c r="N122" i="36"/>
  <c r="O122" i="36"/>
  <c r="P122" i="36"/>
  <c r="Q122" i="36"/>
  <c r="L123" i="36"/>
  <c r="M123" i="36"/>
  <c r="N123" i="36"/>
  <c r="O123" i="36"/>
  <c r="P123" i="36"/>
  <c r="Q123" i="36"/>
  <c r="L126" i="36"/>
  <c r="M126" i="36"/>
  <c r="N126" i="36"/>
  <c r="O126" i="36"/>
  <c r="P126" i="36"/>
  <c r="Q126" i="36"/>
  <c r="L127" i="36"/>
  <c r="M127" i="36"/>
  <c r="N127" i="36"/>
  <c r="O127" i="36"/>
  <c r="P127" i="36"/>
  <c r="Q127" i="36"/>
  <c r="L128" i="36"/>
  <c r="M128" i="36"/>
  <c r="N128" i="36"/>
  <c r="O128" i="36"/>
  <c r="P128" i="36"/>
  <c r="Q128" i="36"/>
  <c r="L129" i="36"/>
  <c r="M129" i="36"/>
  <c r="N129" i="36"/>
  <c r="O129" i="36"/>
  <c r="P129" i="36"/>
  <c r="Q129" i="36"/>
  <c r="L130" i="36"/>
  <c r="M130" i="36"/>
  <c r="N130" i="36"/>
  <c r="O130" i="36"/>
  <c r="P130" i="36"/>
  <c r="Q130" i="36"/>
  <c r="L131" i="36"/>
  <c r="M131" i="36"/>
  <c r="N131" i="36"/>
  <c r="O131" i="36"/>
  <c r="P131" i="36"/>
  <c r="Q131" i="36"/>
  <c r="K132" i="36"/>
  <c r="L132" i="36"/>
  <c r="M132" i="36"/>
  <c r="N132" i="36"/>
  <c r="O132" i="36"/>
  <c r="P132" i="36"/>
  <c r="Q132" i="36"/>
  <c r="K133" i="36"/>
  <c r="K135" i="36"/>
  <c r="L135" i="36"/>
  <c r="M135" i="36"/>
  <c r="N135" i="36"/>
  <c r="O135" i="36"/>
  <c r="P135" i="36"/>
  <c r="Q135" i="36"/>
  <c r="K136" i="36"/>
  <c r="L136" i="36"/>
  <c r="M136" i="36"/>
  <c r="N136" i="36"/>
  <c r="O136" i="36"/>
  <c r="P136" i="36"/>
  <c r="Q136" i="36"/>
  <c r="B139" i="36"/>
  <c r="B140" i="36"/>
  <c r="B141" i="36"/>
  <c r="B142" i="36"/>
  <c r="B143" i="36"/>
  <c r="L144" i="36"/>
  <c r="M144" i="36"/>
  <c r="N144" i="36"/>
  <c r="O144" i="36"/>
  <c r="P144" i="36"/>
  <c r="Q144" i="36"/>
  <c r="B147" i="36"/>
  <c r="L147" i="36"/>
  <c r="M147" i="36"/>
  <c r="N147" i="36"/>
  <c r="O147" i="36"/>
  <c r="P147" i="36"/>
  <c r="Q147" i="36"/>
  <c r="L148" i="36"/>
  <c r="M148" i="36"/>
  <c r="N148" i="36"/>
  <c r="O148" i="36"/>
  <c r="P148" i="36"/>
  <c r="Q148" i="36"/>
  <c r="B149" i="36"/>
  <c r="L149" i="36"/>
  <c r="M149" i="36"/>
  <c r="N149" i="36"/>
  <c r="O149" i="36"/>
  <c r="P149" i="36"/>
  <c r="Q149" i="36"/>
  <c r="B150" i="36"/>
  <c r="L150" i="36"/>
  <c r="M150" i="36"/>
  <c r="N150" i="36"/>
  <c r="O150" i="36"/>
  <c r="P150" i="36"/>
  <c r="Q150" i="36"/>
  <c r="B151" i="36"/>
  <c r="L151" i="36"/>
  <c r="M151" i="36"/>
  <c r="N151" i="36"/>
  <c r="O151" i="36"/>
  <c r="P151" i="36"/>
  <c r="Q151" i="36"/>
  <c r="B152" i="36"/>
  <c r="L152" i="36"/>
  <c r="M152" i="36"/>
  <c r="N152" i="36"/>
  <c r="O152" i="36"/>
  <c r="P152" i="36"/>
  <c r="Q152" i="36"/>
  <c r="B153" i="36"/>
  <c r="L153" i="36"/>
  <c r="M153" i="36"/>
  <c r="N153" i="36"/>
  <c r="O153" i="36"/>
  <c r="P153" i="36"/>
  <c r="Q153" i="36"/>
  <c r="L154" i="36"/>
  <c r="M154" i="36"/>
  <c r="N154" i="36"/>
  <c r="O154" i="36"/>
  <c r="P154" i="36"/>
  <c r="Q154" i="36"/>
  <c r="L155" i="36"/>
  <c r="M155" i="36"/>
  <c r="N155" i="36"/>
  <c r="O155" i="36"/>
  <c r="P155" i="36"/>
  <c r="Q155" i="36"/>
  <c r="L156" i="36"/>
  <c r="M156" i="36"/>
  <c r="N156" i="36"/>
  <c r="O156" i="36"/>
  <c r="P156" i="36"/>
  <c r="Q156" i="36"/>
  <c r="B159" i="36"/>
  <c r="L159" i="36"/>
  <c r="M159" i="36"/>
  <c r="N159" i="36"/>
  <c r="O159" i="36"/>
  <c r="P159" i="36"/>
  <c r="Q159" i="36"/>
  <c r="M161" i="36"/>
  <c r="N161" i="36"/>
  <c r="O161" i="36"/>
  <c r="P161" i="36"/>
  <c r="Q161" i="36"/>
  <c r="L162" i="36"/>
  <c r="M162" i="36"/>
  <c r="N162" i="36"/>
  <c r="O162" i="36"/>
  <c r="P162" i="36"/>
  <c r="Q162" i="36"/>
  <c r="M163" i="36"/>
  <c r="N163" i="36"/>
  <c r="O163" i="36"/>
  <c r="P163" i="36"/>
  <c r="Q163" i="36"/>
  <c r="L164" i="36"/>
  <c r="M164" i="36"/>
  <c r="N164" i="36"/>
  <c r="O164" i="36"/>
  <c r="P164" i="36"/>
  <c r="Q164" i="36"/>
  <c r="B168" i="36"/>
  <c r="L168" i="36"/>
  <c r="M168" i="36"/>
  <c r="N168" i="36"/>
  <c r="O168" i="36"/>
  <c r="P168" i="36"/>
  <c r="Q168" i="36"/>
  <c r="B169" i="36"/>
  <c r="L169" i="36"/>
  <c r="M169" i="36"/>
  <c r="N169" i="36"/>
  <c r="O169" i="36"/>
  <c r="P169" i="36"/>
  <c r="Q169" i="36"/>
  <c r="B170" i="36"/>
  <c r="L170" i="36"/>
  <c r="M170" i="36"/>
  <c r="N170" i="36"/>
  <c r="O170" i="36"/>
  <c r="P170" i="36"/>
  <c r="Q170" i="36"/>
  <c r="B171" i="36"/>
  <c r="L171" i="36"/>
  <c r="M171" i="36"/>
  <c r="N171" i="36"/>
  <c r="O171" i="36"/>
  <c r="P171" i="36"/>
  <c r="Q171" i="36"/>
  <c r="B172" i="36"/>
  <c r="L172" i="36"/>
  <c r="M172" i="36"/>
  <c r="N172" i="36"/>
  <c r="O172" i="36"/>
  <c r="P172" i="36"/>
  <c r="Q172" i="36"/>
  <c r="B173" i="36"/>
  <c r="L173" i="36"/>
  <c r="M173" i="36"/>
  <c r="N173" i="36"/>
  <c r="O173" i="36"/>
  <c r="P173" i="36"/>
  <c r="Q173" i="36"/>
  <c r="B174" i="36"/>
  <c r="L174" i="36"/>
  <c r="M174" i="36"/>
  <c r="N174" i="36"/>
  <c r="O174" i="36"/>
  <c r="P174" i="36"/>
  <c r="Q174" i="36"/>
  <c r="B175" i="36"/>
  <c r="L175" i="36"/>
  <c r="M175" i="36"/>
  <c r="N175" i="36"/>
  <c r="O175" i="36"/>
  <c r="P175" i="36"/>
  <c r="Q175" i="36"/>
  <c r="B178" i="36"/>
  <c r="J178" i="36"/>
  <c r="K178" i="36"/>
  <c r="L178" i="36"/>
  <c r="M178" i="36"/>
  <c r="N178" i="36"/>
  <c r="O178" i="36"/>
  <c r="P178" i="36"/>
  <c r="Q178" i="36"/>
  <c r="J179" i="36"/>
  <c r="K179" i="36"/>
  <c r="L179" i="36"/>
  <c r="M179" i="36"/>
  <c r="N179" i="36"/>
  <c r="O179" i="36"/>
  <c r="P179" i="36"/>
  <c r="Q179" i="36"/>
  <c r="J180" i="36"/>
  <c r="K180" i="36"/>
  <c r="L180" i="36"/>
  <c r="M180" i="36"/>
  <c r="N180" i="36"/>
  <c r="O180" i="36"/>
  <c r="P180" i="36"/>
  <c r="Q180" i="36"/>
  <c r="J181" i="36"/>
  <c r="K181" i="36"/>
  <c r="L181" i="36"/>
  <c r="M181" i="36"/>
  <c r="N181" i="36"/>
  <c r="O181" i="36"/>
  <c r="P181" i="36"/>
  <c r="Q181" i="36"/>
  <c r="J182" i="36"/>
  <c r="K182" i="36"/>
  <c r="L182" i="36"/>
  <c r="M182" i="36"/>
  <c r="N182" i="36"/>
  <c r="O182" i="36"/>
  <c r="P182" i="36"/>
  <c r="Q182" i="36"/>
  <c r="J183" i="36"/>
  <c r="K183" i="36"/>
  <c r="L183" i="36"/>
  <c r="M183" i="36"/>
  <c r="N183" i="36"/>
  <c r="O183" i="36"/>
  <c r="P183" i="36"/>
  <c r="Q183" i="36"/>
  <c r="J184" i="36"/>
  <c r="K184" i="36"/>
  <c r="L184" i="36"/>
  <c r="M184" i="36"/>
  <c r="N184" i="36"/>
  <c r="O184" i="36"/>
  <c r="P184" i="36"/>
  <c r="Q184" i="36"/>
  <c r="J185" i="36"/>
  <c r="K185" i="36"/>
  <c r="L185" i="36"/>
  <c r="M185" i="36"/>
  <c r="N185" i="36"/>
  <c r="O185" i="36"/>
  <c r="P185" i="36"/>
  <c r="Q185" i="36"/>
  <c r="B189" i="36"/>
  <c r="L189" i="36"/>
  <c r="M189" i="36"/>
  <c r="N189" i="36"/>
  <c r="O189" i="36"/>
  <c r="P189" i="36"/>
  <c r="Q189" i="36"/>
  <c r="I190" i="36"/>
  <c r="J190" i="36"/>
  <c r="M190" i="36"/>
  <c r="N190" i="36"/>
  <c r="O190" i="36"/>
  <c r="P190" i="36"/>
  <c r="Q190" i="36"/>
  <c r="R190" i="36"/>
  <c r="I191" i="36"/>
  <c r="J191" i="36"/>
  <c r="M191" i="36"/>
  <c r="N191" i="36"/>
  <c r="O191" i="36"/>
  <c r="P191" i="36"/>
  <c r="Q191" i="36"/>
  <c r="M192" i="36"/>
  <c r="N192" i="36"/>
  <c r="O192" i="36"/>
  <c r="P192" i="36"/>
  <c r="Q192" i="36"/>
  <c r="L193" i="36"/>
  <c r="M193" i="36"/>
  <c r="N193" i="36"/>
  <c r="O193" i="36"/>
  <c r="P193" i="36"/>
  <c r="Q193" i="36"/>
  <c r="M195" i="36"/>
  <c r="N195" i="36"/>
  <c r="O195" i="36"/>
  <c r="P195" i="36"/>
  <c r="Q195" i="36"/>
  <c r="L197" i="36"/>
  <c r="M197" i="36"/>
  <c r="N197" i="36"/>
  <c r="O197" i="36"/>
  <c r="P197" i="36"/>
  <c r="Q197" i="36"/>
  <c r="L198" i="36"/>
  <c r="M198" i="36"/>
  <c r="N198" i="36"/>
  <c r="O198" i="36"/>
  <c r="P198" i="36"/>
  <c r="Q198" i="36"/>
  <c r="L199" i="36"/>
  <c r="M199" i="36"/>
  <c r="N199" i="36"/>
  <c r="O199" i="36"/>
  <c r="P199" i="36"/>
  <c r="Q199" i="36"/>
  <c r="L200" i="36"/>
  <c r="M200" i="36"/>
  <c r="N200" i="36"/>
  <c r="O200" i="36"/>
  <c r="P200" i="36"/>
  <c r="Q200" i="36"/>
  <c r="L201" i="36"/>
  <c r="M201" i="36"/>
  <c r="N201" i="36"/>
  <c r="O201" i="36"/>
  <c r="P201" i="36"/>
  <c r="Q201" i="36"/>
  <c r="L203" i="36"/>
  <c r="M203" i="36"/>
  <c r="N203" i="36"/>
  <c r="O203" i="36"/>
  <c r="P203" i="36"/>
  <c r="Q203" i="36"/>
  <c r="L204" i="36"/>
  <c r="M204" i="36"/>
  <c r="N204" i="36"/>
  <c r="O204" i="36"/>
  <c r="P204" i="36"/>
  <c r="Q204" i="36"/>
  <c r="L205" i="36"/>
  <c r="M205" i="36"/>
  <c r="N205" i="36"/>
  <c r="O205" i="36"/>
  <c r="P205" i="36"/>
  <c r="Q205" i="36"/>
  <c r="L206" i="36"/>
  <c r="M206" i="36"/>
  <c r="N206" i="36"/>
  <c r="O206" i="36"/>
  <c r="P206" i="36"/>
  <c r="Q206" i="36"/>
  <c r="G207" i="36"/>
  <c r="L207" i="36"/>
  <c r="M207" i="36"/>
  <c r="N207" i="36"/>
  <c r="O207" i="36"/>
  <c r="P207" i="36"/>
  <c r="Q207" i="36"/>
  <c r="B210" i="36"/>
  <c r="I210" i="36"/>
  <c r="J210" i="36"/>
  <c r="K210" i="36"/>
  <c r="L210" i="36"/>
  <c r="M210" i="36"/>
  <c r="N210" i="36"/>
  <c r="O210" i="36"/>
  <c r="P210" i="36"/>
  <c r="Q210" i="36"/>
  <c r="I211" i="36"/>
  <c r="J211" i="36"/>
  <c r="K211" i="36"/>
  <c r="L211" i="36"/>
  <c r="M211" i="36"/>
  <c r="N211" i="36"/>
  <c r="O211" i="36"/>
  <c r="P211" i="36"/>
  <c r="Q211" i="36"/>
  <c r="I212" i="36"/>
  <c r="J212" i="36"/>
  <c r="K212" i="36"/>
  <c r="L212" i="36"/>
  <c r="M212" i="36"/>
  <c r="N212" i="36"/>
  <c r="O212" i="36"/>
  <c r="P212" i="36"/>
  <c r="Q212" i="36"/>
  <c r="I214" i="36"/>
  <c r="J214" i="36"/>
  <c r="K214" i="36"/>
  <c r="L214" i="36"/>
  <c r="M214" i="36"/>
  <c r="N214" i="36"/>
  <c r="O214" i="36"/>
  <c r="P214" i="36"/>
  <c r="Q214" i="36"/>
  <c r="I215" i="36"/>
  <c r="J215" i="36"/>
  <c r="K215" i="36"/>
  <c r="L215" i="36"/>
  <c r="M215" i="36"/>
  <c r="N215" i="36"/>
  <c r="O215" i="36"/>
  <c r="P215" i="36"/>
  <c r="Q215" i="36"/>
  <c r="I217" i="36"/>
  <c r="J217" i="36"/>
  <c r="K217" i="36"/>
  <c r="L217" i="36"/>
  <c r="M217" i="36"/>
  <c r="N217" i="36"/>
  <c r="O217" i="36"/>
  <c r="P217" i="36"/>
  <c r="Q217" i="36"/>
  <c r="I218" i="36"/>
  <c r="J218" i="36"/>
  <c r="K218" i="36"/>
  <c r="L218" i="36"/>
  <c r="M218" i="36"/>
  <c r="N218" i="36"/>
  <c r="O218" i="36"/>
  <c r="P218" i="36"/>
  <c r="Q218" i="36"/>
  <c r="J220" i="36"/>
  <c r="K220" i="36"/>
  <c r="L220" i="36"/>
  <c r="M220" i="36"/>
  <c r="N220" i="36"/>
  <c r="O220" i="36"/>
  <c r="P220" i="36"/>
  <c r="Q220" i="36"/>
  <c r="J221" i="36"/>
  <c r="K221" i="36"/>
  <c r="L221" i="36"/>
  <c r="M221" i="36"/>
  <c r="N221" i="36"/>
  <c r="O221" i="36"/>
  <c r="P221" i="36"/>
  <c r="Q221" i="36"/>
  <c r="J223" i="36"/>
  <c r="K223" i="36"/>
  <c r="L223" i="36"/>
  <c r="M223" i="36"/>
  <c r="N223" i="36"/>
  <c r="O223" i="36"/>
  <c r="P223" i="36"/>
  <c r="Q223" i="36"/>
  <c r="J224" i="36"/>
  <c r="K224" i="36"/>
  <c r="L224" i="36"/>
  <c r="M224" i="36"/>
  <c r="N224" i="36"/>
  <c r="O224" i="36"/>
  <c r="P224" i="36"/>
  <c r="Q224" i="36"/>
  <c r="J226" i="36"/>
  <c r="K226" i="36"/>
  <c r="L226" i="36"/>
  <c r="M226" i="36"/>
  <c r="N226" i="36"/>
  <c r="O226" i="36"/>
  <c r="P226" i="36"/>
  <c r="Q226" i="36"/>
  <c r="J227" i="36"/>
  <c r="K227" i="36"/>
  <c r="L227" i="36"/>
  <c r="M227" i="36"/>
  <c r="N227" i="36"/>
  <c r="O227" i="36"/>
  <c r="P227" i="36"/>
  <c r="Q227" i="36"/>
  <c r="J229" i="36"/>
  <c r="K229" i="36"/>
  <c r="L229" i="36"/>
  <c r="M229" i="36"/>
  <c r="N229" i="36"/>
  <c r="O229" i="36"/>
  <c r="P229" i="36"/>
  <c r="Q229" i="36"/>
  <c r="J230" i="36"/>
  <c r="K230" i="36"/>
  <c r="L230" i="36"/>
  <c r="M230" i="36"/>
  <c r="N230" i="36"/>
  <c r="O230" i="36"/>
  <c r="P230" i="36"/>
  <c r="Q230" i="36"/>
  <c r="J232" i="36"/>
  <c r="K232" i="36"/>
  <c r="L232" i="36"/>
  <c r="M232" i="36"/>
  <c r="N232" i="36"/>
  <c r="O232" i="36"/>
  <c r="P232" i="36"/>
  <c r="Q232" i="36"/>
  <c r="J233" i="36"/>
  <c r="K233" i="36"/>
  <c r="L233" i="36"/>
  <c r="M233" i="36"/>
  <c r="N233" i="36"/>
  <c r="O233" i="36"/>
  <c r="P233" i="36"/>
  <c r="Q233" i="36"/>
  <c r="D237" i="36"/>
  <c r="H237" i="36"/>
  <c r="L237" i="36"/>
  <c r="M237" i="36"/>
  <c r="N237" i="36"/>
  <c r="O237" i="36"/>
  <c r="P237" i="36"/>
  <c r="Q237" i="36"/>
  <c r="K239" i="36"/>
  <c r="L239" i="36"/>
  <c r="M239" i="36"/>
  <c r="N239" i="36"/>
  <c r="O239" i="36"/>
  <c r="P239" i="36"/>
  <c r="Q239" i="36"/>
  <c r="L240" i="36"/>
  <c r="M240" i="36"/>
  <c r="N240" i="36"/>
  <c r="O240" i="36"/>
  <c r="P240" i="36"/>
  <c r="Q240" i="36"/>
  <c r="K241" i="36"/>
  <c r="N241" i="36"/>
  <c r="O241" i="36"/>
  <c r="P241" i="36"/>
  <c r="Q241" i="36"/>
  <c r="K242" i="36"/>
  <c r="N242" i="36"/>
  <c r="O242" i="36"/>
  <c r="P242" i="36"/>
  <c r="Q242" i="36"/>
  <c r="K243" i="36"/>
  <c r="N243" i="36"/>
  <c r="O243" i="36"/>
  <c r="P243" i="36"/>
  <c r="Q243" i="36"/>
  <c r="K244" i="36"/>
  <c r="N244" i="36"/>
  <c r="O244" i="36"/>
  <c r="P244" i="36"/>
  <c r="Q244" i="36"/>
  <c r="K246" i="36"/>
  <c r="L246" i="36"/>
  <c r="M246" i="36"/>
  <c r="N246" i="36"/>
  <c r="O246" i="36"/>
  <c r="P246" i="36"/>
  <c r="Q246" i="36"/>
  <c r="K247" i="36"/>
  <c r="K248" i="36"/>
  <c r="N248" i="36"/>
  <c r="O248" i="36"/>
  <c r="P248" i="36"/>
  <c r="Q248" i="36"/>
  <c r="K249" i="36"/>
  <c r="N249" i="36"/>
  <c r="O249" i="36"/>
  <c r="P249" i="36"/>
  <c r="Q249" i="36"/>
  <c r="K250" i="36"/>
  <c r="N250" i="36"/>
  <c r="O250" i="36"/>
  <c r="P250" i="36"/>
  <c r="Q250" i="36"/>
  <c r="K251" i="36"/>
  <c r="N251" i="36"/>
  <c r="O251" i="36"/>
  <c r="P251" i="36"/>
  <c r="Q251" i="36"/>
  <c r="K253" i="36"/>
  <c r="L253" i="36"/>
  <c r="M253" i="36"/>
  <c r="N253" i="36"/>
  <c r="O253" i="36"/>
  <c r="P253" i="36"/>
  <c r="Q253" i="36"/>
  <c r="K254" i="36"/>
  <c r="K255" i="36"/>
  <c r="N255" i="36"/>
  <c r="O255" i="36"/>
  <c r="P255" i="36"/>
  <c r="Q255" i="36"/>
  <c r="K256" i="36"/>
  <c r="N256" i="36"/>
  <c r="O256" i="36"/>
  <c r="P256" i="36"/>
  <c r="Q256" i="36"/>
  <c r="K257" i="36"/>
  <c r="N257" i="36"/>
  <c r="O257" i="36"/>
  <c r="P257" i="36"/>
  <c r="Q257" i="36"/>
  <c r="K258" i="36"/>
  <c r="N258" i="36"/>
  <c r="O258" i="36"/>
  <c r="P258" i="36"/>
  <c r="Q258" i="36"/>
  <c r="B2" i="8"/>
  <c r="B3" i="8"/>
  <c r="B4" i="8"/>
  <c r="G5" i="8"/>
  <c r="K5" i="8"/>
  <c r="N5" i="8"/>
  <c r="G6" i="8"/>
  <c r="H6" i="8"/>
  <c r="I6" i="8"/>
  <c r="K6" i="8"/>
  <c r="L6" i="8"/>
  <c r="N6" i="8"/>
  <c r="G8" i="8"/>
  <c r="H8" i="8"/>
  <c r="I8" i="8"/>
  <c r="K8" i="8"/>
  <c r="L8" i="8"/>
  <c r="N8" i="8"/>
  <c r="G9" i="8"/>
  <c r="H9" i="8"/>
  <c r="I9" i="8"/>
  <c r="K9" i="8"/>
  <c r="L9" i="8"/>
  <c r="N9" i="8"/>
  <c r="N10" i="8"/>
  <c r="N11" i="8"/>
  <c r="G12" i="8"/>
  <c r="H12" i="8"/>
  <c r="I12" i="8"/>
  <c r="K12" i="8"/>
  <c r="L12" i="8"/>
  <c r="N12" i="8"/>
  <c r="G13" i="8"/>
  <c r="H13" i="8"/>
  <c r="I13" i="8"/>
  <c r="K13" i="8"/>
  <c r="L13" i="8"/>
  <c r="N13" i="8"/>
  <c r="G14" i="8"/>
  <c r="H14" i="8"/>
  <c r="I14" i="8"/>
  <c r="K14" i="8"/>
  <c r="L14" i="8"/>
  <c r="N14" i="8"/>
  <c r="N17" i="8"/>
  <c r="G18" i="8"/>
  <c r="H18" i="8"/>
  <c r="I18" i="8"/>
  <c r="K18" i="8"/>
  <c r="N18" i="8"/>
  <c r="N19" i="8"/>
  <c r="G20" i="8"/>
  <c r="H20" i="8"/>
  <c r="I20" i="8"/>
  <c r="K20" i="8"/>
  <c r="L20" i="8"/>
  <c r="N20" i="8"/>
  <c r="N23" i="8"/>
  <c r="N24" i="8"/>
  <c r="N25" i="8"/>
  <c r="N26" i="8"/>
  <c r="N27" i="8"/>
  <c r="G28" i="8"/>
  <c r="H28" i="8"/>
  <c r="I28" i="8"/>
  <c r="K28" i="8"/>
  <c r="L28" i="8"/>
  <c r="N28" i="8"/>
  <c r="N30" i="8"/>
  <c r="G32" i="8"/>
  <c r="H32" i="8"/>
  <c r="I32" i="8"/>
  <c r="K32" i="8"/>
  <c r="L32" i="8"/>
  <c r="N32" i="8"/>
  <c r="H34" i="8"/>
  <c r="I34" i="8"/>
  <c r="K34" i="8"/>
  <c r="L34" i="8"/>
  <c r="N34" i="8"/>
  <c r="G35" i="8"/>
  <c r="H35" i="8"/>
  <c r="I35" i="8"/>
  <c r="K35" i="8"/>
  <c r="L35" i="8"/>
  <c r="N35" i="8"/>
  <c r="B37" i="8"/>
  <c r="H39" i="8"/>
  <c r="I39" i="8"/>
  <c r="K39" i="8"/>
  <c r="L39" i="8"/>
  <c r="H40" i="8"/>
  <c r="K40" i="8"/>
  <c r="H41" i="8"/>
  <c r="I41" i="8"/>
  <c r="K41" i="8"/>
  <c r="L41" i="8"/>
  <c r="H42" i="8"/>
  <c r="I42" i="8"/>
  <c r="K42" i="8"/>
  <c r="L42" i="8"/>
  <c r="H43" i="8"/>
  <c r="I43" i="8"/>
  <c r="K43" i="8"/>
  <c r="L43" i="8"/>
  <c r="N46" i="8"/>
  <c r="N47" i="8"/>
  <c r="G48" i="8"/>
  <c r="H48" i="8"/>
  <c r="I48" i="8"/>
  <c r="K48" i="8"/>
  <c r="L48" i="8"/>
  <c r="N48" i="8"/>
  <c r="N49" i="8"/>
  <c r="G50" i="8"/>
  <c r="H50" i="8"/>
  <c r="I50" i="8"/>
  <c r="K50" i="8"/>
  <c r="L50" i="8"/>
  <c r="N50" i="8"/>
  <c r="G51" i="8"/>
  <c r="H51" i="8"/>
  <c r="I51" i="8"/>
  <c r="K51" i="8"/>
  <c r="L51" i="8"/>
  <c r="N51" i="8"/>
  <c r="B2" i="6"/>
  <c r="B3" i="6"/>
  <c r="H5" i="6"/>
  <c r="H6" i="6"/>
  <c r="I6" i="6"/>
  <c r="K6" i="6"/>
  <c r="L6" i="6"/>
  <c r="H8" i="6"/>
  <c r="I8" i="6"/>
  <c r="K8" i="6"/>
  <c r="L8" i="6"/>
  <c r="O8" i="6"/>
  <c r="H11" i="6"/>
  <c r="I11" i="6"/>
  <c r="K11" i="6"/>
  <c r="L11" i="6"/>
  <c r="H12" i="6"/>
  <c r="I12" i="6"/>
  <c r="K12" i="6"/>
  <c r="L12" i="6"/>
  <c r="H16" i="6"/>
  <c r="I16" i="6"/>
  <c r="K16" i="6"/>
  <c r="L16" i="6"/>
  <c r="H17" i="6"/>
  <c r="I17" i="6"/>
  <c r="K17" i="6"/>
  <c r="L17" i="6"/>
  <c r="O20" i="6"/>
  <c r="H21" i="6"/>
  <c r="I21" i="6"/>
  <c r="K21" i="6"/>
  <c r="L21" i="6"/>
  <c r="H22" i="6"/>
  <c r="I22" i="6"/>
  <c r="K22" i="6"/>
  <c r="L22" i="6"/>
  <c r="H23" i="6"/>
  <c r="K23" i="6"/>
  <c r="H24" i="6"/>
  <c r="I24" i="6"/>
  <c r="K24" i="6"/>
  <c r="L24" i="6"/>
  <c r="O25" i="6"/>
  <c r="H26" i="6"/>
  <c r="I26" i="6"/>
  <c r="K26" i="6"/>
  <c r="L26" i="6"/>
  <c r="H27" i="6"/>
  <c r="I27" i="6"/>
  <c r="K27" i="6"/>
  <c r="L27" i="6"/>
  <c r="O27" i="6"/>
  <c r="O28" i="6"/>
  <c r="O29" i="6"/>
  <c r="H30" i="6"/>
  <c r="I30" i="6"/>
  <c r="K30" i="6"/>
  <c r="L30" i="6"/>
  <c r="H33" i="6"/>
  <c r="I33" i="6"/>
  <c r="K33" i="6"/>
  <c r="L33" i="6"/>
  <c r="O33" i="6"/>
  <c r="H34" i="6"/>
  <c r="I34" i="6"/>
  <c r="K34" i="6"/>
  <c r="L34" i="6"/>
  <c r="O34" i="6"/>
  <c r="B36" i="6"/>
  <c r="H38" i="6"/>
  <c r="I38" i="6"/>
  <c r="K38" i="6"/>
  <c r="L38" i="6"/>
  <c r="H41" i="6"/>
  <c r="I41" i="6"/>
  <c r="K41" i="6"/>
  <c r="L41" i="6"/>
  <c r="H42" i="6"/>
  <c r="I42" i="6"/>
  <c r="K42" i="6"/>
  <c r="L42" i="6"/>
  <c r="H44" i="6"/>
  <c r="I44" i="6"/>
  <c r="K44" i="6"/>
  <c r="L44" i="6"/>
  <c r="O44" i="6"/>
  <c r="H45" i="6"/>
  <c r="I45" i="6"/>
  <c r="K45" i="6"/>
  <c r="L45" i="6"/>
  <c r="O45" i="6"/>
  <c r="H47" i="6"/>
  <c r="I47" i="6"/>
  <c r="K47" i="6"/>
  <c r="L47" i="6"/>
  <c r="O47" i="6"/>
  <c r="H48" i="6"/>
  <c r="I48" i="6"/>
  <c r="K48" i="6"/>
  <c r="L48" i="6"/>
  <c r="O48" i="6"/>
  <c r="H49" i="6"/>
  <c r="I49" i="6"/>
  <c r="K49" i="6"/>
  <c r="L49" i="6"/>
  <c r="O49" i="6"/>
  <c r="B2" i="4"/>
  <c r="B3" i="4"/>
  <c r="B4" i="4"/>
  <c r="G5" i="4"/>
  <c r="K5" i="4"/>
  <c r="G6" i="4"/>
  <c r="H6" i="4"/>
  <c r="I6" i="4"/>
  <c r="K6" i="4"/>
  <c r="L6" i="4"/>
  <c r="N6" i="4"/>
  <c r="P6" i="4"/>
  <c r="N7" i="4"/>
  <c r="P7" i="4"/>
  <c r="N8" i="4"/>
  <c r="P8" i="4"/>
  <c r="G9" i="4"/>
  <c r="H9" i="4"/>
  <c r="I9" i="4"/>
  <c r="K9" i="4"/>
  <c r="L9" i="4"/>
  <c r="N9" i="4"/>
  <c r="P9" i="4"/>
  <c r="G10" i="4"/>
  <c r="H10" i="4"/>
  <c r="I10" i="4"/>
  <c r="K10" i="4"/>
  <c r="L10" i="4"/>
  <c r="N10" i="4"/>
  <c r="P10" i="4"/>
  <c r="G11" i="4"/>
  <c r="H11" i="4"/>
  <c r="I11" i="4"/>
  <c r="K11" i="4"/>
  <c r="L11" i="4"/>
  <c r="N11" i="4"/>
  <c r="P11" i="4"/>
  <c r="G12" i="4"/>
  <c r="H12" i="4"/>
  <c r="I12" i="4"/>
  <c r="K12" i="4"/>
  <c r="L12" i="4"/>
  <c r="N12" i="4"/>
  <c r="P12" i="4"/>
  <c r="G13" i="4"/>
  <c r="H13" i="4"/>
  <c r="I13" i="4"/>
  <c r="K13" i="4"/>
  <c r="L13" i="4"/>
  <c r="N13" i="4"/>
  <c r="N14" i="4"/>
  <c r="P14" i="4"/>
  <c r="G15" i="4"/>
  <c r="H15" i="4"/>
  <c r="I15" i="4"/>
  <c r="K15" i="4"/>
  <c r="L15" i="4"/>
  <c r="N15" i="4"/>
  <c r="P15" i="4"/>
  <c r="N16" i="4"/>
  <c r="P16" i="4"/>
  <c r="G17" i="4"/>
  <c r="H17" i="4"/>
  <c r="I17" i="4"/>
  <c r="K17" i="4"/>
  <c r="L17" i="4"/>
  <c r="N17" i="4"/>
  <c r="P17" i="4"/>
  <c r="N18" i="4"/>
  <c r="G19" i="4"/>
  <c r="H19" i="4"/>
  <c r="I19" i="4"/>
  <c r="K19" i="4"/>
  <c r="L19" i="4"/>
  <c r="N19" i="4"/>
  <c r="N20" i="4"/>
  <c r="P20" i="4"/>
  <c r="G21" i="4"/>
  <c r="H21" i="4"/>
  <c r="I21" i="4"/>
  <c r="K21" i="4"/>
  <c r="L21" i="4"/>
  <c r="N21" i="4"/>
  <c r="P21" i="4"/>
  <c r="H24" i="4"/>
  <c r="I24" i="4"/>
  <c r="K24" i="4"/>
  <c r="L24" i="4"/>
  <c r="N24" i="4"/>
  <c r="N25" i="4"/>
  <c r="P25" i="4"/>
  <c r="G26" i="4"/>
  <c r="H26" i="4"/>
  <c r="I26" i="4"/>
  <c r="K26" i="4"/>
  <c r="L26" i="4"/>
  <c r="N26" i="4"/>
  <c r="P26" i="4"/>
  <c r="N27" i="4"/>
  <c r="P27" i="4"/>
  <c r="G29" i="4"/>
  <c r="H29" i="4"/>
  <c r="I29" i="4"/>
  <c r="K29" i="4"/>
  <c r="L29" i="4"/>
  <c r="N29" i="4"/>
  <c r="G30" i="4"/>
  <c r="H30" i="4"/>
  <c r="I30" i="4"/>
  <c r="K30" i="4"/>
  <c r="L30" i="4"/>
  <c r="N30" i="4"/>
  <c r="G33" i="4"/>
  <c r="H33" i="4"/>
  <c r="I33" i="4"/>
  <c r="K33" i="4"/>
  <c r="L33" i="4"/>
  <c r="N33" i="4"/>
  <c r="P33" i="4"/>
  <c r="G34" i="4"/>
  <c r="H34" i="4"/>
  <c r="I34" i="4"/>
  <c r="K34" i="4"/>
  <c r="L34" i="4"/>
  <c r="N34" i="4"/>
  <c r="P34" i="4"/>
  <c r="G35" i="4"/>
  <c r="H35" i="4"/>
  <c r="I35" i="4"/>
  <c r="K35" i="4"/>
  <c r="L35" i="4"/>
  <c r="N35" i="4"/>
  <c r="P35" i="4"/>
  <c r="G36" i="4"/>
  <c r="H36" i="4"/>
  <c r="I36" i="4"/>
  <c r="K36" i="4"/>
  <c r="L36" i="4"/>
  <c r="N36" i="4"/>
  <c r="P36" i="4"/>
  <c r="B39" i="4"/>
  <c r="G39" i="4"/>
  <c r="H39" i="4"/>
  <c r="I39" i="4"/>
  <c r="K39" i="4"/>
  <c r="L39" i="4"/>
  <c r="N39" i="4"/>
  <c r="P39" i="4"/>
  <c r="G40" i="4"/>
  <c r="H40" i="4"/>
  <c r="I40" i="4"/>
  <c r="K40" i="4"/>
  <c r="L40" i="4"/>
  <c r="N40" i="4"/>
  <c r="P40" i="4"/>
  <c r="G41" i="4"/>
  <c r="H41" i="4"/>
  <c r="I41" i="4"/>
  <c r="K41" i="4"/>
  <c r="L41" i="4"/>
  <c r="N41" i="4"/>
  <c r="P41" i="4"/>
  <c r="B42" i="4"/>
  <c r="G42" i="4"/>
  <c r="H42" i="4"/>
  <c r="I42" i="4"/>
  <c r="K42" i="4"/>
  <c r="L42" i="4"/>
  <c r="N42" i="4"/>
  <c r="P42" i="4"/>
  <c r="B43" i="4"/>
  <c r="G43" i="4"/>
  <c r="H43" i="4"/>
  <c r="I43" i="4"/>
  <c r="K43" i="4"/>
  <c r="L43" i="4"/>
  <c r="N43" i="4"/>
  <c r="P43" i="4"/>
  <c r="G44" i="4"/>
  <c r="H44" i="4"/>
  <c r="I44" i="4"/>
  <c r="K44" i="4"/>
  <c r="L44" i="4"/>
  <c r="N44" i="4"/>
  <c r="P44" i="4"/>
  <c r="B45" i="4"/>
  <c r="G45" i="4"/>
  <c r="H45" i="4"/>
  <c r="I45" i="4"/>
  <c r="K45" i="4"/>
  <c r="L45" i="4"/>
  <c r="N45" i="4"/>
  <c r="P45" i="4"/>
  <c r="B46" i="4"/>
  <c r="G46" i="4"/>
  <c r="H46" i="4"/>
  <c r="I46" i="4"/>
  <c r="K46" i="4"/>
  <c r="L46" i="4"/>
  <c r="N46" i="4"/>
  <c r="P46" i="4"/>
  <c r="B49" i="4"/>
  <c r="G49" i="4"/>
  <c r="H49" i="4"/>
  <c r="I49" i="4"/>
  <c r="K49" i="4"/>
  <c r="L49" i="4"/>
  <c r="N49" i="4"/>
  <c r="B50" i="4"/>
  <c r="G50" i="4"/>
  <c r="H50" i="4"/>
  <c r="I50" i="4"/>
  <c r="K50" i="4"/>
  <c r="L50" i="4"/>
  <c r="N50" i="4"/>
  <c r="B51" i="4"/>
  <c r="G51" i="4"/>
  <c r="H51" i="4"/>
  <c r="I51" i="4"/>
  <c r="K51" i="4"/>
  <c r="L51" i="4"/>
  <c r="N51" i="4"/>
  <c r="B52" i="4"/>
  <c r="G52" i="4"/>
  <c r="H52" i="4"/>
  <c r="I52" i="4"/>
  <c r="K52" i="4"/>
  <c r="L52" i="4"/>
  <c r="N52" i="4"/>
  <c r="G53" i="4"/>
  <c r="H53" i="4"/>
  <c r="I53" i="4"/>
  <c r="K53" i="4"/>
  <c r="L53" i="4"/>
  <c r="N53" i="4"/>
  <c r="B56" i="4"/>
  <c r="H56" i="4"/>
  <c r="I56" i="4"/>
  <c r="L56" i="4"/>
  <c r="B57" i="4"/>
  <c r="H57" i="4"/>
  <c r="I57" i="4"/>
  <c r="L57" i="4"/>
  <c r="B58" i="4"/>
  <c r="H58" i="4"/>
  <c r="I58" i="4"/>
  <c r="L58" i="4"/>
  <c r="B59" i="4"/>
  <c r="H59" i="4"/>
  <c r="I59" i="4"/>
  <c r="L59" i="4"/>
  <c r="B60" i="4"/>
  <c r="H60" i="4"/>
  <c r="I60" i="4"/>
  <c r="L60" i="4"/>
  <c r="B62" i="4"/>
  <c r="K68" i="4"/>
  <c r="G69" i="4"/>
  <c r="H69" i="4"/>
  <c r="I69" i="4"/>
  <c r="K69" i="4"/>
  <c r="L69" i="4"/>
  <c r="G75" i="4"/>
  <c r="H75" i="4"/>
  <c r="I75" i="4"/>
  <c r="K75" i="4"/>
  <c r="L75" i="4"/>
  <c r="G81" i="4"/>
  <c r="H81" i="4"/>
  <c r="I81" i="4"/>
  <c r="K81" i="4"/>
  <c r="L81" i="4"/>
  <c r="I84" i="4"/>
  <c r="G87" i="4"/>
  <c r="H87" i="4"/>
  <c r="I87" i="4"/>
  <c r="K87" i="4"/>
  <c r="L87" i="4"/>
  <c r="G89" i="4"/>
  <c r="H89" i="4"/>
  <c r="I89" i="4"/>
  <c r="K89" i="4"/>
  <c r="L89" i="4"/>
  <c r="G95" i="4"/>
  <c r="H95" i="4"/>
  <c r="I95" i="4"/>
  <c r="K95" i="4"/>
  <c r="L95" i="4"/>
  <c r="G97" i="4"/>
  <c r="H97" i="4"/>
  <c r="I97" i="4"/>
  <c r="K97" i="4"/>
  <c r="L97" i="4"/>
  <c r="G100" i="4"/>
  <c r="H100" i="4"/>
  <c r="I100" i="4"/>
  <c r="K100" i="4"/>
  <c r="L100" i="4"/>
  <c r="G102" i="4"/>
  <c r="H102" i="4"/>
  <c r="I102" i="4"/>
  <c r="K102" i="4"/>
  <c r="L102" i="4"/>
  <c r="B2" i="3"/>
  <c r="B3" i="3"/>
  <c r="E7" i="3"/>
  <c r="J7" i="3"/>
  <c r="E8" i="3"/>
  <c r="J8" i="3"/>
  <c r="O8" i="3"/>
  <c r="B9" i="3"/>
  <c r="E9" i="3"/>
  <c r="O9" i="3"/>
  <c r="J10" i="3"/>
  <c r="O10" i="3"/>
  <c r="J11" i="3"/>
  <c r="J12" i="3"/>
  <c r="O12" i="3"/>
  <c r="O13" i="3"/>
  <c r="J14" i="3"/>
  <c r="O14" i="3"/>
  <c r="G15" i="3"/>
  <c r="J15" i="3"/>
  <c r="G16" i="3"/>
  <c r="J16" i="3"/>
  <c r="J17" i="3"/>
  <c r="J19" i="3"/>
  <c r="J20" i="3"/>
  <c r="E21" i="3"/>
  <c r="J21" i="3"/>
  <c r="B24" i="3"/>
  <c r="E24" i="3"/>
  <c r="E25" i="3"/>
  <c r="G25" i="3"/>
  <c r="J25" i="3"/>
  <c r="E26" i="3"/>
  <c r="O26" i="3"/>
  <c r="E27" i="3"/>
  <c r="G27" i="3"/>
  <c r="J27" i="3"/>
  <c r="O27" i="3"/>
  <c r="E28" i="3"/>
  <c r="G28" i="3"/>
  <c r="J28" i="3"/>
  <c r="O28" i="3"/>
  <c r="E29" i="3"/>
  <c r="N29" i="3"/>
  <c r="O29" i="3"/>
  <c r="E30" i="3"/>
  <c r="G30" i="3"/>
  <c r="J30" i="3"/>
  <c r="O30" i="3"/>
  <c r="E31" i="3"/>
  <c r="J31" i="3"/>
  <c r="E32" i="3"/>
  <c r="G33" i="3"/>
  <c r="J33" i="3"/>
  <c r="G34" i="3"/>
  <c r="J34" i="3"/>
  <c r="B37" i="3"/>
  <c r="B38" i="3"/>
  <c r="B39" i="3"/>
  <c r="B40" i="3"/>
  <c r="B42" i="3"/>
  <c r="E42" i="3"/>
  <c r="B44" i="3"/>
  <c r="G12" i="1"/>
  <c r="H12" i="1"/>
  <c r="H13" i="1"/>
  <c r="G14" i="1"/>
  <c r="G15" i="1"/>
  <c r="G16" i="1"/>
  <c r="G17" i="1"/>
  <c r="C21" i="1"/>
  <c r="D25" i="1"/>
  <c r="E25" i="1"/>
  <c r="D26" i="1"/>
  <c r="E26" i="1"/>
  <c r="D27" i="1"/>
  <c r="E27" i="1"/>
  <c r="D28" i="1"/>
  <c r="E28" i="1"/>
  <c r="D29" i="1"/>
  <c r="E29" i="1"/>
  <c r="D30" i="1"/>
  <c r="E30" i="1"/>
  <c r="B31" i="1"/>
  <c r="C31" i="1"/>
  <c r="D31" i="1"/>
  <c r="E31" i="1"/>
  <c r="B34" i="1"/>
  <c r="D34" i="1"/>
  <c r="E34" i="1"/>
  <c r="F34" i="1"/>
  <c r="G34" i="1"/>
  <c r="D39" i="1"/>
  <c r="E39" i="1"/>
  <c r="F39" i="1"/>
  <c r="G39" i="1"/>
  <c r="B45" i="1"/>
  <c r="D4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B23" authorId="0" shapeId="0" xr:uid="{00000000-0006-0000-0100-000001000000}">
      <text>
        <r>
          <rPr>
            <sz val="9"/>
            <color indexed="81"/>
            <rFont val="Tahoma"/>
            <family val="2"/>
          </rPr>
          <t>Note: Default methodology is to use Options Outstanding in all analyses; however, in some cases, Options Exercisable may be used for trading valuations</t>
        </r>
      </text>
    </comment>
    <comment ref="D33" authorId="0" shapeId="0" xr:uid="{00000000-0006-0000-0100-000002000000}">
      <text>
        <r>
          <rPr>
            <sz val="9"/>
            <color indexed="81"/>
            <rFont val="Tahoma"/>
            <family val="2"/>
          </rPr>
          <t>Enter street estimates from rseearch provider to reference when making street projections.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B29" authorId="0" shapeId="0" xr:uid="{00000000-0006-0000-0200-000001000000}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  <comment ref="B30" authorId="0" shapeId="0" xr:uid="{00000000-0006-0000-0200-000002000000}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  <author>James</author>
    <author>Michael Stack</author>
  </authors>
  <commentList>
    <comment ref="B6" authorId="0" shapeId="0" xr:uid="{00000000-0006-0000-0600-000001000000}">
      <text>
        <r>
          <rPr>
            <sz val="9"/>
            <color indexed="81"/>
            <rFont val="Tahoma"/>
            <family val="2"/>
          </rPr>
          <t>Historical Income Statement line items linked to values adjusted for non-recurrings</t>
        </r>
      </text>
    </comment>
    <comment ref="L93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exhibit to 10-K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3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exhibit to 10-K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3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>exhibit to 10-K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exhibit to 10-K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3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exhibit to 10-K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93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exhibit to 10-K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7" authorId="0" shapeId="0" xr:uid="{00000000-0006-0000-0600-000008000000}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I191" authorId="0" shapeId="0" xr:uid="{00000000-0006-0000-0600-000009000000}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J191" authorId="0" shapeId="0" xr:uid="{00000000-0006-0000-0600-00000A000000}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G201" authorId="2" shapeId="0" xr:uid="{00000000-0006-0000-0600-00000B000000}">
      <text>
        <r>
          <rPr>
            <sz val="8"/>
            <color indexed="81"/>
            <rFont val="Tahoma"/>
            <family val="2"/>
          </rPr>
          <t>ie - 0.25 = repo end Q1
      0.50 = repo end Q2
      0.75 = repo end Q3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B16" authorId="0" shapeId="0" xr:uid="{00000000-0006-0000-0700-000001000000}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B17" authorId="0" shapeId="0" xr:uid="{00000000-0006-0000-0700-000002000000}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J60" authorId="0" shapeId="0" xr:uid="{00000000-0006-0000-0700-000003000000}">
      <text>
        <r>
          <rPr>
            <sz val="9"/>
            <color indexed="81"/>
            <rFont val="Tahoma"/>
            <family val="2"/>
          </rPr>
          <t>Check date formulas - may have to edit depending on fiscal year end date</t>
        </r>
      </text>
    </comment>
  </commentList>
</comments>
</file>

<file path=xl/sharedStrings.xml><?xml version="1.0" encoding="utf-8"?>
<sst xmlns="http://schemas.openxmlformats.org/spreadsheetml/2006/main" count="486" uniqueCount="360">
  <si>
    <t>Enterprise Value</t>
  </si>
  <si>
    <t>Balance</t>
  </si>
  <si>
    <t>Assets</t>
  </si>
  <si>
    <t>Property, Plant &amp; Equipment</t>
  </si>
  <si>
    <t>TOTAL ASSETS</t>
  </si>
  <si>
    <t>Liabilities and Shareholders' Equity</t>
  </si>
  <si>
    <t>Minority Interest</t>
  </si>
  <si>
    <t>Preferred Stock</t>
  </si>
  <si>
    <t>Total Debt / Total Capitalization</t>
  </si>
  <si>
    <t>Net Debt / Net Capitalization</t>
  </si>
  <si>
    <t>EBITDA</t>
  </si>
  <si>
    <t>Net Income</t>
  </si>
  <si>
    <t>Total</t>
  </si>
  <si>
    <t>Interest Expense, Net</t>
  </si>
  <si>
    <t>Pre-Tax Income</t>
  </si>
  <si>
    <t>Calculation of EBITDA</t>
  </si>
  <si>
    <t>Depreciation and Amortization</t>
  </si>
  <si>
    <t>Growth Rates</t>
  </si>
  <si>
    <t>Stock Issues/(Repurchases)</t>
  </si>
  <si>
    <t>Cash at End of Period</t>
  </si>
  <si>
    <t>Revolver - Beginning Balance</t>
  </si>
  <si>
    <t>Revolver - Ending Balance</t>
  </si>
  <si>
    <t>Revolver</t>
  </si>
  <si>
    <t>Total Debt</t>
  </si>
  <si>
    <t>Total Capitalization</t>
  </si>
  <si>
    <t>Scheduled Principal Repayments</t>
  </si>
  <si>
    <t>Total Principal Repayments</t>
  </si>
  <si>
    <t>Total Interest Expense</t>
  </si>
  <si>
    <t>Ownership</t>
  </si>
  <si>
    <t>Selected Inputs</t>
  </si>
  <si>
    <t>Stock Price</t>
  </si>
  <si>
    <t>Options Outstanding</t>
  </si>
  <si>
    <t>Option Equivalent Shares</t>
  </si>
  <si>
    <t>LTM EPS</t>
  </si>
  <si>
    <t>LTM</t>
  </si>
  <si>
    <t>Shares Outstanding</t>
  </si>
  <si>
    <t>Long-Term Debt</t>
  </si>
  <si>
    <t>Interest Expense</t>
  </si>
  <si>
    <t>Capital Expenditures</t>
  </si>
  <si>
    <t>Income Statement</t>
  </si>
  <si>
    <t>Balance Sheet</t>
  </si>
  <si>
    <t>Cash Flow Statement</t>
  </si>
  <si>
    <t>Selected Balance Sheet Assumptions</t>
  </si>
  <si>
    <t>(Amounts in Millions, Except Per Share Data)</t>
  </si>
  <si>
    <t>Today's Date</t>
  </si>
  <si>
    <t>Income Taxes</t>
  </si>
  <si>
    <t>Capitalization</t>
  </si>
  <si>
    <t>Equity Value</t>
  </si>
  <si>
    <t xml:space="preserve">    TOTAL ASSETS</t>
  </si>
  <si>
    <t>Shareholders' Equity</t>
  </si>
  <si>
    <t>Cash at Beginning of Period</t>
  </si>
  <si>
    <t>Enterprise Value as a Multiple of:</t>
  </si>
  <si>
    <t>%</t>
  </si>
  <si>
    <t>Tax Rate</t>
  </si>
  <si>
    <t>Total Debt / EBITDA</t>
  </si>
  <si>
    <t>Shares</t>
  </si>
  <si>
    <t>Min. Cash</t>
  </si>
  <si>
    <t>per share</t>
  </si>
  <si>
    <t>Scheduled Debt Repayments</t>
  </si>
  <si>
    <t>Low</t>
  </si>
  <si>
    <t>High</t>
  </si>
  <si>
    <t>Diluted Shares Outstanding</t>
  </si>
  <si>
    <t>Selected Income Statement Assumptions</t>
  </si>
  <si>
    <t>Case</t>
  </si>
  <si>
    <t>CAGR</t>
  </si>
  <si>
    <t>Margins</t>
  </si>
  <si>
    <t>As of</t>
  </si>
  <si>
    <t>Operating Activities</t>
  </si>
  <si>
    <t>Investing Activities</t>
  </si>
  <si>
    <t>Financing Activities</t>
  </si>
  <si>
    <t>Diluted Weighted Average Shares</t>
  </si>
  <si>
    <t>Other Expense, Net</t>
  </si>
  <si>
    <t>Diluted Weighted Average Shares Outstanding</t>
  </si>
  <si>
    <t xml:space="preserve">    TOTAL LIABILITIES AND EQUITY</t>
  </si>
  <si>
    <t>Net Cash Provided By (Used In) Operating Activities</t>
  </si>
  <si>
    <t>Net Cash Provided By (Used In) Investing Activities</t>
  </si>
  <si>
    <t>Net Cash Provided By (Used In) Financing Activities</t>
  </si>
  <si>
    <t>Net Increase/(Decrease) in Cash &amp; Cash Equivalents</t>
  </si>
  <si>
    <t>Stock Information</t>
  </si>
  <si>
    <t>Ticker Symbol</t>
  </si>
  <si>
    <t xml:space="preserve">As of </t>
  </si>
  <si>
    <t>Stock Exchange</t>
  </si>
  <si>
    <t>52-Week Stock Price</t>
  </si>
  <si>
    <t>Annual Dividend</t>
  </si>
  <si>
    <t>Dividend Yield</t>
  </si>
  <si>
    <t>Dividend Payout Ratio</t>
  </si>
  <si>
    <t>Market Capitalization and Firm Value</t>
  </si>
  <si>
    <t>Valuation</t>
  </si>
  <si>
    <t>Percent of</t>
  </si>
  <si>
    <t>Public and Other</t>
  </si>
  <si>
    <t>Fiscal Year End</t>
  </si>
  <si>
    <t>P/E Ratios:</t>
  </si>
  <si>
    <t>Beneficial</t>
  </si>
  <si>
    <t>Other Insiders</t>
  </si>
  <si>
    <t>Transaction Effective Date</t>
  </si>
  <si>
    <t>Capitalization Summary and Calculation of Net Interest Expense</t>
  </si>
  <si>
    <t>Weighted Average Shares</t>
  </si>
  <si>
    <t>Other Long-Term Assets</t>
  </si>
  <si>
    <t>Other Long-Term Liabilities</t>
  </si>
  <si>
    <t>LTM Date</t>
  </si>
  <si>
    <t>Proxy Date</t>
  </si>
  <si>
    <t>Plus:  Total Debt</t>
  </si>
  <si>
    <t>Plus:  Minority Interest</t>
  </si>
  <si>
    <t>Plus:  Preferred Stock</t>
  </si>
  <si>
    <t>Less:  Cash &amp; Cash Equivalents</t>
  </si>
  <si>
    <t>Strike</t>
  </si>
  <si>
    <t>Net Sales</t>
  </si>
  <si>
    <t>LTM Net Sales</t>
  </si>
  <si>
    <t>Credit Statistics</t>
  </si>
  <si>
    <t>Net Debt / EBITDA</t>
  </si>
  <si>
    <t>(Amounts in Millions)</t>
  </si>
  <si>
    <t>Total Non-Recurring Items After Tax</t>
  </si>
  <si>
    <t>Check</t>
  </si>
  <si>
    <t>% of Sales</t>
  </si>
  <si>
    <t>Diluted EPS</t>
  </si>
  <si>
    <t>Calculation of Shares Outstanding</t>
  </si>
  <si>
    <t>Projected Stock Price Repurchase at Premium</t>
  </si>
  <si>
    <t>Net Debt</t>
  </si>
  <si>
    <t>Avg. Exercise Price</t>
  </si>
  <si>
    <t>Source</t>
  </si>
  <si>
    <t>Case Name</t>
  </si>
  <si>
    <t>Cash Flow from Operating Activities</t>
  </si>
  <si>
    <t>Cash Flow from Investing Activities</t>
  </si>
  <si>
    <t>Cash Flow from Financing Activities</t>
  </si>
  <si>
    <t>Amortization</t>
  </si>
  <si>
    <t>Goodwill</t>
  </si>
  <si>
    <t>Top 10 Institutions</t>
  </si>
  <si>
    <t>Revolver Beginning Balance</t>
  </si>
  <si>
    <t>Beginning Cash</t>
  </si>
  <si>
    <t>Free Cash Flow before Revolver</t>
  </si>
  <si>
    <t>Minimum Cash</t>
  </si>
  <si>
    <t>Revolver Ending Balance</t>
  </si>
  <si>
    <t>Borrowings / (Repayments)</t>
  </si>
  <si>
    <t>Borrowings / (Repayments) Under Revolver</t>
  </si>
  <si>
    <t>Interest Income</t>
  </si>
  <si>
    <t>Other Intangible Assets</t>
  </si>
  <si>
    <t>5-Year Stock Price</t>
  </si>
  <si>
    <t>Depreciation &amp; Amortization</t>
  </si>
  <si>
    <t>Credit Rating</t>
  </si>
  <si>
    <t>S&amp;P</t>
  </si>
  <si>
    <t>Moody's</t>
  </si>
  <si>
    <t>[ ]</t>
  </si>
  <si>
    <t>Revolver Size</t>
  </si>
  <si>
    <t>Balance Sheet Cash</t>
  </si>
  <si>
    <t>Net Capitalization</t>
  </si>
  <si>
    <t>Date &amp; Calendarization Adjustments</t>
  </si>
  <si>
    <t>[ Source ]</t>
  </si>
  <si>
    <t>FYE Date</t>
  </si>
  <si>
    <t>LTG Rate</t>
  </si>
  <si>
    <t>Restricted Stock Units</t>
  </si>
  <si>
    <t>Last FY</t>
  </si>
  <si>
    <t>Co. Name</t>
  </si>
  <si>
    <t>Effect of Exchange Rates on Cash &amp; Cash Equivalents</t>
  </si>
  <si>
    <t xml:space="preserve">Non-Recurring Items </t>
  </si>
  <si>
    <t>Enter Charges as Positive</t>
  </si>
  <si>
    <t>Repurchased Shares</t>
  </si>
  <si>
    <t>Ending Shares</t>
  </si>
  <si>
    <t>Timing</t>
  </si>
  <si>
    <t>CAGR = Compounded Annual Growth Rate.</t>
  </si>
  <si>
    <t>Repurchase Premium</t>
  </si>
  <si>
    <t>[ a Case 2 ]</t>
  </si>
  <si>
    <t>[ a Case 3 ]</t>
  </si>
  <si>
    <t>[ a Case 4 ]</t>
  </si>
  <si>
    <t>[ a Case 5 ]</t>
  </si>
  <si>
    <t>Net Change in Cash</t>
  </si>
  <si>
    <t>Adjusted for Non-Recurring Items</t>
  </si>
  <si>
    <t>Adjusted EBITDA</t>
  </si>
  <si>
    <t>Total Non-Recurrings Before Tax</t>
  </si>
  <si>
    <t>Short-Term Debt and Curr. Portion of Long-Term Debt</t>
  </si>
  <si>
    <t>Capitalization and Leverage Statistics</t>
  </si>
  <si>
    <t>Undrawn Revolver Fee</t>
  </si>
  <si>
    <t>LIBOR Curve</t>
  </si>
  <si>
    <t>Beginning</t>
  </si>
  <si>
    <t>Middle</t>
  </si>
  <si>
    <t>End</t>
  </si>
  <si>
    <t>Average</t>
  </si>
  <si>
    <t>Effective Interest Rates</t>
  </si>
  <si>
    <t>LIBOR Rates</t>
  </si>
  <si>
    <t>Margin</t>
  </si>
  <si>
    <t>Floor</t>
  </si>
  <si>
    <t>LIBOR</t>
  </si>
  <si>
    <t>L</t>
  </si>
  <si>
    <t>F</t>
  </si>
  <si>
    <t>Fixed /</t>
  </si>
  <si>
    <t>Fixed Rate</t>
  </si>
  <si>
    <t>Interest Rate Calculation</t>
  </si>
  <si>
    <t>Total Share Repurchases (Enter as Positive)</t>
  </si>
  <si>
    <t>Shares Issued</t>
  </si>
  <si>
    <t>Beginning Basic Shares Outstanding</t>
  </si>
  <si>
    <t>Beginning Diluted Shares Outstanding</t>
  </si>
  <si>
    <t>Basic Weighted Average Shares</t>
  </si>
  <si>
    <t>Inputs</t>
  </si>
  <si>
    <t>Consensus Street Estimates</t>
  </si>
  <si>
    <t>Shares Sold Short</t>
  </si>
  <si>
    <t>Short Int. as % of Shares Out.</t>
  </si>
  <si>
    <t>Taxes</t>
  </si>
  <si>
    <t>Income Tax Rate</t>
  </si>
  <si>
    <t>Dividends</t>
  </si>
  <si>
    <t>Projected Stock Price at Forward P/E Multiple:</t>
  </si>
  <si>
    <t>Other Investing Activities</t>
  </si>
  <si>
    <t xml:space="preserve">Depreciation </t>
  </si>
  <si>
    <t>Ticker</t>
  </si>
  <si>
    <t>Exchange</t>
  </si>
  <si>
    <t>Financial Information</t>
  </si>
  <si>
    <t>Average Daily Volume (3 Mo.)</t>
  </si>
  <si>
    <t>GAAP Financials</t>
  </si>
  <si>
    <t>(Adjusted) Margins</t>
  </si>
  <si>
    <t>(Adjusted) Growth Rates</t>
  </si>
  <si>
    <t>Tax Effect of Non-Recurrings</t>
  </si>
  <si>
    <t>&lt;-- Includes Min. Int. and Pref. Stock -- For EV calculations only -- Not for leverage calculations</t>
  </si>
  <si>
    <t>Long-Term EPS Growth (a)</t>
  </si>
  <si>
    <t xml:space="preserve">  Shares Date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</si>
  <si>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</si>
  <si>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</si>
  <si>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</si>
  <si>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</si>
  <si>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</si>
  <si>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</si>
  <si>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</si>
  <si>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</si>
  <si>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</si>
  <si>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</si>
  <si>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COLE</t>
  </si>
  <si>
    <t>NASDAQ</t>
  </si>
  <si>
    <t>BBB</t>
  </si>
  <si>
    <t>Baa2</t>
  </si>
  <si>
    <t>Stock Based Compensation</t>
  </si>
  <si>
    <t>Shareholder A</t>
  </si>
  <si>
    <t>Wall street consensus</t>
  </si>
  <si>
    <t>Research Provider</t>
  </si>
  <si>
    <t>% Growth</t>
  </si>
  <si>
    <t>LTM Net Income</t>
  </si>
  <si>
    <t>Debt / EBITDA</t>
  </si>
  <si>
    <t>Other Income</t>
  </si>
  <si>
    <t>Dividends Paid</t>
  </si>
  <si>
    <t>Other Financing Activities</t>
  </si>
  <si>
    <t>Equity / Total Assets</t>
  </si>
  <si>
    <t>Debt / Equity Ratio</t>
  </si>
  <si>
    <t>Shares Outstanding (b)</t>
  </si>
  <si>
    <t>Option Equivalent Shares (c)</t>
  </si>
  <si>
    <t>Beneficial Ownership by Category (d)</t>
  </si>
  <si>
    <t>Operating Income</t>
  </si>
  <si>
    <t>Non-Recurrings Affecting Other Above Operating Income</t>
  </si>
  <si>
    <t>Non-Recurrings Affecting Other Below Operating Income</t>
  </si>
  <si>
    <r>
      <t xml:space="preserve">Total Non-Recurrings </t>
    </r>
    <r>
      <rPr>
        <u/>
        <sz val="10"/>
        <rFont val="Arial Narrow"/>
        <family val="2"/>
      </rPr>
      <t>Below</t>
    </r>
    <r>
      <rPr>
        <sz val="10"/>
        <rFont val="Arial Narrow"/>
        <family val="2"/>
      </rPr>
      <t xml:space="preserve"> Operating Income</t>
    </r>
  </si>
  <si>
    <r>
      <t xml:space="preserve">Total Non-Recurrings </t>
    </r>
    <r>
      <rPr>
        <u/>
        <sz val="10"/>
        <rFont val="Arial Narrow"/>
        <family val="2"/>
      </rPr>
      <t>Above</t>
    </r>
    <r>
      <rPr>
        <sz val="10"/>
        <rFont val="Arial Narrow"/>
        <family val="2"/>
      </rPr>
      <t xml:space="preserve"> Operating Income</t>
    </r>
  </si>
  <si>
    <t>COLEMAN MEDIA</t>
  </si>
  <si>
    <t>EV / EBITDA Ratio</t>
  </si>
  <si>
    <t>LTM EBITDA</t>
  </si>
  <si>
    <t>FY 2019 EBITDA estimate (a)</t>
  </si>
  <si>
    <t>EBITDA / Interest, Net</t>
  </si>
  <si>
    <t>PEG Ratios:</t>
  </si>
  <si>
    <t>EBIT</t>
  </si>
  <si>
    <t>Revenue</t>
  </si>
  <si>
    <t>Cost of Revenue</t>
  </si>
  <si>
    <t>Gross Profit</t>
  </si>
  <si>
    <t>SG&amp;A</t>
  </si>
  <si>
    <t>Users</t>
  </si>
  <si>
    <t>Beginning of Period</t>
  </si>
  <si>
    <t>New Users</t>
  </si>
  <si>
    <t>End of Period</t>
  </si>
  <si>
    <t xml:space="preserve">Churn </t>
  </si>
  <si>
    <t>Average Revenue per User</t>
  </si>
  <si>
    <t>Cancellations</t>
  </si>
  <si>
    <t>Non-Recurrings Affecting Revenue</t>
  </si>
  <si>
    <t>Non-Recurrings Affecting SG&amp;A</t>
  </si>
  <si>
    <t>Non-Controlling Interest</t>
  </si>
  <si>
    <t>Net Income Attributable to Common</t>
  </si>
  <si>
    <t>Spread Cover</t>
  </si>
  <si>
    <t>Cash Flow</t>
  </si>
  <si>
    <t>Projection Model</t>
  </si>
  <si>
    <t>Discounted Cash Flow Analysis</t>
  </si>
  <si>
    <t>TMT Model</t>
  </si>
  <si>
    <t>Legal reserves and other</t>
  </si>
  <si>
    <t>Restructuring charges</t>
  </si>
  <si>
    <t>Impairments</t>
  </si>
  <si>
    <t>Other Expenses, Net</t>
  </si>
  <si>
    <t>Restricted Cash</t>
  </si>
  <si>
    <t>Cash, Cash Equivalents and Short Term Investments</t>
  </si>
  <si>
    <t>Accounts Receivable</t>
  </si>
  <si>
    <t>Other Current Assets</t>
  </si>
  <si>
    <t>Total Current Assets</t>
  </si>
  <si>
    <t>Accounts Payable</t>
  </si>
  <si>
    <t>Other Current Liabilities</t>
  </si>
  <si>
    <t>Deferred Revenue</t>
  </si>
  <si>
    <t>Change in Working Capital Accounts</t>
  </si>
  <si>
    <t>Total Change in Working Capital Accounts</t>
  </si>
  <si>
    <t>Deferred Income Taxes</t>
  </si>
  <si>
    <t>Other</t>
  </si>
  <si>
    <t>Prepaid Expenses</t>
  </si>
  <si>
    <t>Tax Payable, Net</t>
  </si>
  <si>
    <t>Investments, Net</t>
  </si>
  <si>
    <t>Purchases of treasury stock</t>
  </si>
  <si>
    <t>Proceeds from exercise of equity awards</t>
  </si>
  <si>
    <t>Revenue Growth</t>
  </si>
  <si>
    <t>Gross Margin</t>
  </si>
  <si>
    <t>SG&amp;A Margin</t>
  </si>
  <si>
    <t>ARPU</t>
  </si>
  <si>
    <t>2020 Senior Notes</t>
  </si>
  <si>
    <t>2022 Senior Notes</t>
  </si>
  <si>
    <t>2024 Senior Notes</t>
  </si>
  <si>
    <t>2026 Senior Notes</t>
  </si>
  <si>
    <t>2028 Senior Notes</t>
  </si>
  <si>
    <t>Stock Based Compensation Expense</t>
  </si>
  <si>
    <t>A/R Days</t>
  </si>
  <si>
    <t>A/P Days</t>
  </si>
  <si>
    <t>% of COGS</t>
  </si>
  <si>
    <t>Long Term Debt Issuance (Repayment)</t>
  </si>
  <si>
    <t>Less: Short Term Investments</t>
  </si>
  <si>
    <t>Plus: Restricted Cash</t>
  </si>
  <si>
    <t>Total Balance Sheet Cash &amp; Restricted Cash</t>
  </si>
  <si>
    <t>Cash &amp; Restricted Cash at Beginning of Period</t>
  </si>
  <si>
    <t>Cash &amp; Restricted Cash at End of Period</t>
  </si>
  <si>
    <t>Treasury Stock Method</t>
  </si>
  <si>
    <t>Options</t>
  </si>
  <si>
    <t>PV of TV</t>
  </si>
  <si>
    <t>Mid-Year Convention</t>
  </si>
  <si>
    <t>PV of FCF</t>
  </si>
  <si>
    <t>End-of-Year Convention</t>
  </si>
  <si>
    <t># Periods for:</t>
  </si>
  <si>
    <t>Discount to:</t>
  </si>
  <si>
    <t>Discounting Methodology</t>
  </si>
  <si>
    <t>Shares for Perpetuity Growth Rate</t>
  </si>
  <si>
    <t>Shares for Exit Multiples</t>
  </si>
  <si>
    <t>Implied Terminal Value / EBITDA</t>
  </si>
  <si>
    <t>X</t>
  </si>
  <si>
    <t>Terminal Value as a % of Total Value</t>
  </si>
  <si>
    <t>Total Equity Value Per Share</t>
  </si>
  <si>
    <t>Total Equity Value</t>
  </si>
  <si>
    <t>Total Enterprise Value</t>
  </si>
  <si>
    <t>Present Value of Terminal Value</t>
  </si>
  <si>
    <t>Present Value of Free Cash Flow</t>
  </si>
  <si>
    <t>Discount Rate</t>
  </si>
  <si>
    <t>Perpetuity Growth Rate</t>
  </si>
  <si>
    <t>Implied Perpetuity Growth Rate</t>
  </si>
  <si>
    <t>Terminal Value / EBITDA Multiple</t>
  </si>
  <si>
    <t>Growth in Free Cash Flow</t>
  </si>
  <si>
    <t>Free Cash Flow</t>
  </si>
  <si>
    <t xml:space="preserve">Change in Net Working Capital </t>
  </si>
  <si>
    <t xml:space="preserve">Capital Expenditures </t>
  </si>
  <si>
    <t xml:space="preserve">Depreciation &amp; Amortization </t>
  </si>
  <si>
    <t>Taxes @</t>
  </si>
  <si>
    <t>% of Net Sales</t>
  </si>
  <si>
    <t>Perp Rate</t>
  </si>
  <si>
    <t>Disc. Rate</t>
  </si>
  <si>
    <t>Multiple</t>
  </si>
  <si>
    <t>Increment</t>
  </si>
  <si>
    <t>Base</t>
  </si>
  <si>
    <t>Net Operating Working Capital</t>
  </si>
  <si>
    <t>Change in Working Capital</t>
  </si>
  <si>
    <t>(a) Net cash represents total cash less debt, minority interest and preferred stock as of March 31, 2019.</t>
  </si>
  <si>
    <t>COLEMAN MEDIA - Discounted Cash Flow Analysis</t>
  </si>
  <si>
    <t>Technology, Media and Telecom (TMT) Financial Model Template</t>
  </si>
  <si>
    <t>Company Info</t>
  </si>
  <si>
    <t>Wall Street Consensus</t>
  </si>
  <si>
    <t>Free Cash Flow Calculation</t>
  </si>
  <si>
    <t>Equity Value Calculation</t>
  </si>
  <si>
    <t>Note: Dates are fiscal year ended December 31</t>
  </si>
  <si>
    <t>Calculation for Treasury Stock Method - Exit Multiples</t>
  </si>
  <si>
    <t>Calculation for Treasury Stock Method - Perpetuity Growth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</si>
</sst>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0">
    <numFmt numFmtId="43" formatCode="_-* #,##0.00_-;\-* #,##0.00_-;_-* &quot;-&quot;??_-;_-@_-"/>
    <numFmt numFmtId="164" formatCode="&quot;$&quot;#,##0.00_);\(&quot;$&quot;#,##0.00\)"/>
    <numFmt numFmtId="165" formatCode="&quot;$&quot;#,##0.00_);[Red]\(&quot;$&quot;#,##0.00\)"/>
    <numFmt numFmtId="166" formatCode="_(* #,##0_);_(* \(#,##0\);_(* &quot;-&quot;_);_(@_)"/>
    <numFmt numFmtId="167" formatCode="_(* #,##0.00_);_(* \(#,##0.00\);_(* &quot;-&quot;??_);_(@_)"/>
    <numFmt numFmtId="168" formatCode="0.0%_);[Red]\(0.0%\)"/>
    <numFmt numFmtId="169" formatCode="0.0%"/>
    <numFmt numFmtId="170" formatCode="0.000\ \x"/>
    <numFmt numFmtId="171" formatCode="&quot;$&quot;#,##0.0_);[Red]\(&quot;$&quot;#,##0.0\)"/>
    <numFmt numFmtId="172" formatCode="#,##0.0_);[Red]\(#,##0.0\)"/>
    <numFmt numFmtId="173" formatCode="0.0\ \x"/>
    <numFmt numFmtId="174" formatCode="0_);[Red]\(0\)"/>
    <numFmt numFmtId="175" formatCode="0.0%\ ;\(0.0%\)"/>
    <numFmt numFmtId="176" formatCode="#,##0.0;[Red]\(#,##0.0\)"/>
    <numFmt numFmtId="177" formatCode="0.00_);\(0.00\)"/>
    <numFmt numFmtId="178" formatCode="&quot;$&quot;#,##0.0_);\(&quot;$&quot;#,##0.0\)"/>
    <numFmt numFmtId="179" formatCode="#,##0.0_);\(#,##0.0\)"/>
    <numFmt numFmtId="180" formatCode="0.0%_);\(0.0%\)"/>
    <numFmt numFmtId="181" formatCode="#,##0.000\ ;\(#,##0.000\)"/>
    <numFmt numFmtId="182" formatCode="0.0%;\(0.0%\)"/>
    <numFmt numFmtId="183" formatCode="_(* #,##0.0\ \ _);_(* \(#,##0.0\ \ \ ;_(* &quot;-&quot;??_);_(@_)"/>
    <numFmt numFmtId="184" formatCode="#,##0.0\ "/>
    <numFmt numFmtId="185" formatCode="_$&quot;$&quot;#,##0.00_);[Red]_$\(&quot;$&quot;#,##0.00\);_$&quot;$&quot;0.00_);_$@_)"/>
    <numFmt numFmtId="186" formatCode="_(&quot;$&quot;* #,##0.0_);_(&quot;$&quot;* \(#,##0.0\);_(&quot;$&quot;* &quot;-&quot;?_);_(@_)"/>
    <numFmt numFmtId="187" formatCode="mmmm\ d\,\ yyyy"/>
    <numFmt numFmtId="188" formatCode="_(* #,##0.0_%_);_(* \(#,##0.0_%\);_(* &quot; - &quot;_%_);_(@_)"/>
    <numFmt numFmtId="189" formatCode="_(* #,##0.0%_);_(* \(#,##0.0%\);_(* &quot; - &quot;\%_);_(@_)"/>
    <numFmt numFmtId="190" formatCode="_(* #,##0_);_(* \(#,##0\);_(* &quot; - &quot;_);_(@_)"/>
    <numFmt numFmtId="191" formatCode="_(* #,##0.0_);_(* \(#,##0.0\);_(* &quot; - &quot;_);_(@_)"/>
    <numFmt numFmtId="192" formatCode="_(* #,##0.00_);_(* \(#,##0.00\);_(* &quot; - &quot;_);_(@_)"/>
    <numFmt numFmtId="193" formatCode="_(* #,##0.000_);_(* \(#,##0.000\);_(* &quot; - &quot;_);_(@_)"/>
    <numFmt numFmtId="194" formatCode="#,##0;\(#,##0\);&quot;-&quot;"/>
    <numFmt numFmtId="195" formatCode="mmmm\ d\,"/>
    <numFmt numFmtId="196" formatCode="0.0\ \x;\(0.0\ \x\)"/>
    <numFmt numFmtId="197" formatCode="[White]General;[White]General;[White]General;[White]General"/>
    <numFmt numFmtId="198" formatCode="&quot;x&quot;;&quot;x&quot;;&quot;x&quot;;&quot;x&quot;"/>
    <numFmt numFmtId="199" formatCode="0.00_)"/>
    <numFmt numFmtId="200" formatCode="0000"/>
    <numFmt numFmtId="201" formatCode="000000"/>
    <numFmt numFmtId="202" formatCode="hh:mm:ss"/>
    <numFmt numFmtId="203" formatCode="&quot;$&quot;#,##0;&quot;$&quot;\(#,##0"/>
    <numFmt numFmtId="204" formatCode="0.000_);\(0.000\)"/>
    <numFmt numFmtId="205" formatCode="#,##0;\(#,##0"/>
    <numFmt numFmtId="206" formatCode="&quot;$&quot;#,##0.00;&quot;$&quot;\(#,##0.00"/>
    <numFmt numFmtId="207" formatCode="#,##0.0_);\(#,##0.0\);&quot;-&quot;_);@_)"/>
    <numFmt numFmtId="208" formatCode="&quot;$&quot;#,##0.00_);\(&quot;$&quot;#,##0.00\);&quot;-&quot;_);@_)"/>
    <numFmt numFmtId="209" formatCode="&quot;$&quot;#,##0.0_);\(&quot;$&quot;#,##0.0\);&quot;--&quot;_);@_)"/>
    <numFmt numFmtId="210" formatCode="&quot;$&quot;#,##0.00_);\(&quot;$&quot;#,##0.00\);&quot;--&quot;_);@_)"/>
    <numFmt numFmtId="211" formatCode="#,##0.0_);\(#,##0.0\);&quot;--&quot;_);@_)"/>
    <numFmt numFmtId="212" formatCode="0.0%_);\(0.0%\);&quot;--&quot;_%_)"/>
    <numFmt numFmtId="213" formatCode="#,##0.00_);\(#,##0.00\);&quot;--&quot;_);@_)"/>
    <numFmt numFmtId="214" formatCode="#,##0.0%_);\(#,##0.0%\);&quot;-&quot;_%_);@_%_)"/>
    <numFmt numFmtId="215" formatCode="m/d/yy;@"/>
    <numFmt numFmtId="216" formatCode="#,##0_);\(#,##0\);&quot;--&quot;_);@_)"/>
    <numFmt numFmtId="217" formatCode="[$-409]mmm\-yy;@"/>
    <numFmt numFmtId="218" formatCode="#,##0.0%_);\(#,##0.0%\);&quot;--&quot;_%_);@_%_)"/>
    <numFmt numFmtId="219" formatCode="m/d/yy\ h:mm;@"/>
    <numFmt numFmtId="220" formatCode="0000&quot;A&quot;_)"/>
    <numFmt numFmtId="221" formatCode="0000&quot;E&quot;_)"/>
    <numFmt numFmtId="222" formatCode="0000&quot;P&quot;_)"/>
    <numFmt numFmtId="223" formatCode="#,##0.00%_);\(#,##0.00%\);&quot;--&quot;_%_);@_%_)"/>
    <numFmt numFmtId="224" formatCode="0000&quot;E&quot;"/>
    <numFmt numFmtId="225" formatCode="0000&quot;P&quot;"/>
    <numFmt numFmtId="226" formatCode="0.0\ \x_);\(0.0\ \x\);&quot;--&quot;_ _x_);@_ _x_)"/>
    <numFmt numFmtId="227" formatCode="0.000"/>
    <numFmt numFmtId="228" formatCode="0000&quot;A&quot;"/>
    <numFmt numFmtId="229" formatCode="mmm\-yy_)"/>
    <numFmt numFmtId="230" formatCode="#,##0.00000000000000"/>
    <numFmt numFmtId="231" formatCode="0.00000000000000"/>
    <numFmt numFmtId="232" formatCode="0&quot; bps&quot;"/>
  </numFmts>
  <fonts count="99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6"/>
      <name val="Arial"/>
      <family val="2"/>
    </font>
    <font>
      <sz val="10"/>
      <name val="Times New Roman"/>
      <family val="1"/>
    </font>
    <font>
      <sz val="11"/>
      <name val="Times New Roman"/>
      <family val="1"/>
    </font>
    <font>
      <i/>
      <sz val="9"/>
      <name val="Times New Roman"/>
      <family val="1"/>
    </font>
    <font>
      <sz val="9"/>
      <name val="Times New Roman"/>
      <family val="1"/>
    </font>
    <font>
      <b/>
      <u val="singleAccounting"/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u val="double"/>
      <sz val="8"/>
      <color indexed="8"/>
      <name val="Arial"/>
      <family val="2"/>
    </font>
    <font>
      <sz val="8"/>
      <color indexed="8"/>
      <name val="Arial"/>
      <family val="2"/>
    </font>
    <font>
      <b/>
      <sz val="9"/>
      <color indexed="10"/>
      <name val="Wingdings"/>
      <charset val="2"/>
    </font>
    <font>
      <sz val="8"/>
      <color indexed="9"/>
      <name val="Arial"/>
      <family val="2"/>
    </font>
    <font>
      <sz val="8"/>
      <color indexed="9"/>
      <name val="Geneva"/>
      <family val="2"/>
    </font>
    <font>
      <sz val="12"/>
      <color indexed="9"/>
      <name val="Arial"/>
      <family val="2"/>
    </font>
    <font>
      <sz val="8"/>
      <name val="Helv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i/>
      <sz val="16"/>
      <color indexed="9"/>
      <name val="Helvetica"/>
      <family val="2"/>
    </font>
    <font>
      <b/>
      <sz val="10"/>
      <color indexed="9"/>
      <name val="MS Sans Serif"/>
      <family val="2"/>
    </font>
    <font>
      <sz val="11"/>
      <name val="Times New Roman"/>
      <family val="1"/>
    </font>
    <font>
      <b/>
      <sz val="8"/>
      <color indexed="9"/>
      <name val="Times"/>
      <family val="1"/>
    </font>
    <font>
      <sz val="8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10"/>
      <color indexed="12"/>
      <name val="Arial Narrow"/>
      <family val="2"/>
    </font>
    <font>
      <sz val="10"/>
      <color indexed="11"/>
      <name val="Arial Narrow"/>
      <family val="2"/>
    </font>
    <font>
      <sz val="10"/>
      <name val="Arial Narrow"/>
      <family val="2"/>
    </font>
    <font>
      <b/>
      <sz val="10"/>
      <color indexed="12"/>
      <name val="Arial Narrow"/>
      <family val="2"/>
    </font>
    <font>
      <b/>
      <sz val="12"/>
      <color indexed="9"/>
      <name val="Arial Narrow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i/>
      <sz val="10"/>
      <name val="Arial Narrow"/>
      <family val="2"/>
    </font>
    <font>
      <u/>
      <sz val="10"/>
      <name val="Arial Narrow"/>
      <family val="2"/>
    </font>
    <font>
      <sz val="10"/>
      <color rgb="FF00B050"/>
      <name val="Arial Narrow"/>
      <family val="2"/>
    </font>
    <font>
      <sz val="10"/>
      <color indexed="8"/>
      <name val="Arial Narrow"/>
      <family val="2"/>
    </font>
    <font>
      <sz val="8"/>
      <name val="Arial Narrow"/>
      <family val="2"/>
    </font>
    <font>
      <sz val="8.25"/>
      <name val="Arial Narrow"/>
      <family val="2"/>
    </font>
    <font>
      <sz val="8.25"/>
      <color indexed="12"/>
      <name val="Arial Narrow"/>
      <family val="2"/>
    </font>
    <font>
      <sz val="18"/>
      <color rgb="FF00B050"/>
      <name val="Arial Narrow"/>
      <family val="2"/>
    </font>
    <font>
      <b/>
      <sz val="14"/>
      <color theme="0"/>
      <name val="Arial Narrow"/>
      <family val="2"/>
    </font>
    <font>
      <sz val="10"/>
      <color theme="0"/>
      <name val="Arial Narrow"/>
      <family val="2"/>
    </font>
    <font>
      <sz val="7"/>
      <color theme="0"/>
      <name val="Arial Narrow"/>
      <family val="2"/>
    </font>
    <font>
      <i/>
      <sz val="10"/>
      <color indexed="12"/>
      <name val="Arial Narrow"/>
      <family val="2"/>
    </font>
    <font>
      <sz val="10"/>
      <color indexed="14"/>
      <name val="Arial Narrow"/>
      <family val="2"/>
    </font>
    <font>
      <sz val="8"/>
      <color rgb="FF00B050"/>
      <name val="Arial Narrow"/>
      <family val="2"/>
    </font>
    <font>
      <sz val="8"/>
      <color indexed="12"/>
      <name val="Arial Narrow"/>
      <family val="2"/>
    </font>
    <font>
      <b/>
      <sz val="10"/>
      <color rgb="FFC00000"/>
      <name val="Arial Narrow"/>
      <family val="2"/>
    </font>
    <font>
      <i/>
      <sz val="8"/>
      <name val="Arial Narrow"/>
      <family val="2"/>
    </font>
    <font>
      <b/>
      <sz val="10"/>
      <color theme="1"/>
      <name val="Arial Narrow"/>
      <family val="2"/>
    </font>
    <font>
      <b/>
      <sz val="16"/>
      <color theme="0"/>
      <name val="Arial Narrow"/>
      <family val="2"/>
    </font>
    <font>
      <i/>
      <sz val="10"/>
      <color rgb="FF00B050"/>
      <name val="Arial Narrow"/>
      <family val="2"/>
    </font>
    <font>
      <b/>
      <sz val="10"/>
      <color indexed="8"/>
      <name val="Arial Narrow"/>
      <family val="2"/>
    </font>
    <font>
      <sz val="10"/>
      <color indexed="9"/>
      <name val="Arial Narrow"/>
      <family val="2"/>
    </font>
    <font>
      <b/>
      <sz val="12"/>
      <name val="Arial Narrow"/>
      <family val="2"/>
    </font>
    <font>
      <b/>
      <i/>
      <sz val="10"/>
      <name val="Arial Narrow"/>
      <family val="2"/>
    </font>
    <font>
      <sz val="14"/>
      <name val="Arial Narrow"/>
      <family val="2"/>
    </font>
    <font>
      <sz val="14"/>
      <color theme="0"/>
      <name val="Arial Narrow"/>
      <family val="2"/>
    </font>
    <font>
      <b/>
      <u/>
      <sz val="10"/>
      <name val="Arial Narrow"/>
      <family val="2"/>
    </font>
    <font>
      <u/>
      <sz val="10"/>
      <color indexed="14"/>
      <name val="Arial Narrow"/>
      <family val="2"/>
    </font>
    <font>
      <b/>
      <sz val="12"/>
      <color theme="0"/>
      <name val="Arial Narrow"/>
      <family val="2"/>
    </font>
    <font>
      <sz val="18"/>
      <color indexed="14"/>
      <name val="Arial Narrow"/>
      <family val="2"/>
    </font>
    <font>
      <b/>
      <sz val="11"/>
      <color theme="1"/>
      <name val="Arial Narrow"/>
      <family val="2"/>
    </font>
    <font>
      <sz val="10"/>
      <color indexed="13"/>
      <name val="Arial Narrow"/>
      <family val="2"/>
    </font>
    <font>
      <b/>
      <i/>
      <sz val="18"/>
      <color rgb="FFFF0000"/>
      <name val="Arial Narrow"/>
      <family val="2"/>
    </font>
    <font>
      <b/>
      <sz val="10"/>
      <color indexed="17"/>
      <name val="Arial Narrow"/>
      <family val="2"/>
    </font>
    <font>
      <sz val="16"/>
      <color rgb="FF00B050"/>
      <name val="Arial Narrow"/>
      <family val="2"/>
    </font>
    <font>
      <sz val="7"/>
      <color rgb="FF00B050"/>
      <name val="Arial Narrow"/>
      <family val="2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u/>
      <sz val="10"/>
      <color theme="10"/>
      <name val="Arial"/>
      <family val="2"/>
    </font>
    <font>
      <u/>
      <sz val="10"/>
      <color rgb="FF132E57"/>
      <name val="Arial"/>
      <family val="2"/>
    </font>
    <font>
      <u/>
      <sz val="10"/>
      <color theme="1"/>
      <name val="Arial"/>
      <family val="2"/>
    </font>
    <font>
      <sz val="11"/>
      <color theme="0"/>
      <name val="Arial Narrow"/>
      <family val="2"/>
    </font>
    <font>
      <sz val="10"/>
      <color indexed="8"/>
      <name val="Arial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9"/>
      <color indexed="81"/>
      <name val="Tahoma"/>
      <family val="2"/>
    </font>
    <font>
      <sz val="12"/>
      <name val="Arial Narrow"/>
      <family val="2"/>
    </font>
    <font>
      <b/>
      <sz val="10"/>
      <color theme="0"/>
      <name val="Arial Narrow"/>
      <family val="2"/>
    </font>
    <font>
      <u/>
      <sz val="10"/>
      <color rgb="FF00B050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B050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ED9423"/>
        <bgColor indexed="64"/>
      </patternFill>
    </fill>
    <fill>
      <patternFill patternType="solid">
        <fgColor rgb="FFED942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/>
      <right style="thin">
        <color indexed="18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thick">
        <color theme="0"/>
      </right>
      <top style="thin">
        <color indexed="64"/>
      </top>
      <bottom/>
      <diagonal/>
    </border>
    <border>
      <left style="thick">
        <color theme="0"/>
      </left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ck">
        <color theme="0"/>
      </left>
      <right style="thick">
        <color theme="0"/>
      </right>
      <top style="thin">
        <color auto="1"/>
      </top>
      <bottom/>
      <diagonal/>
    </border>
    <border>
      <left style="thick">
        <color theme="0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 style="thin">
        <color indexed="64"/>
      </top>
      <bottom/>
      <diagonal/>
    </border>
    <border>
      <left style="thick">
        <color indexed="9"/>
      </left>
      <right/>
      <top style="thin">
        <color indexed="64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theme="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9"/>
      </left>
      <right/>
      <top/>
      <bottom/>
      <diagonal/>
    </border>
  </borders>
  <cellStyleXfs count="89">
    <xf numFmtId="0" fontId="0" fillId="0" borderId="0" applyNumberFormat="0" applyFont="0" applyFill="0" applyBorder="0" applyAlignment="0" applyProtection="0"/>
    <xf numFmtId="178" fontId="6" fillId="0" borderId="0">
      <alignment horizontal="right"/>
    </xf>
    <xf numFmtId="164" fontId="6" fillId="0" borderId="0">
      <alignment horizontal="right"/>
    </xf>
    <xf numFmtId="0" fontId="3" fillId="0" borderId="0" applyNumberFormat="0" applyFont="0" applyFill="0" applyBorder="0" applyAlignment="0" applyProtection="0"/>
    <xf numFmtId="200" fontId="17" fillId="0" borderId="0">
      <alignment horizontal="left"/>
    </xf>
    <xf numFmtId="201" fontId="18" fillId="0" borderId="0">
      <alignment horizontal="left"/>
    </xf>
    <xf numFmtId="183" fontId="3" fillId="0" borderId="1" applyFont="0" applyFill="0" applyBorder="0" applyAlignment="0" applyProtection="0"/>
    <xf numFmtId="184" fontId="3" fillId="0" borderId="0" applyFont="0" applyFill="0" applyBorder="0" applyAlignment="0" applyProtection="0">
      <alignment horizontal="center"/>
    </xf>
    <xf numFmtId="202" fontId="19" fillId="0" borderId="0"/>
    <xf numFmtId="185" fontId="3" fillId="0" borderId="0"/>
    <xf numFmtId="0" fontId="6" fillId="0" borderId="2" applyBorder="0">
      <alignment horizontal="centerContinuous"/>
    </xf>
    <xf numFmtId="167" fontId="2" fillId="0" borderId="0" applyFont="0" applyFill="0" applyBorder="0" applyAlignment="0" applyProtection="0"/>
    <xf numFmtId="172" fontId="3" fillId="0" borderId="0" applyFill="0" applyBorder="0" applyAlignment="0" applyProtection="0"/>
    <xf numFmtId="174" fontId="3" fillId="0" borderId="0" applyFont="0" applyFill="0" applyBorder="0" applyAlignment="0" applyProtection="0">
      <protection locked="0"/>
    </xf>
    <xf numFmtId="186" fontId="7" fillId="0" borderId="0"/>
    <xf numFmtId="203" fontId="20" fillId="0" borderId="0" applyFill="0" applyBorder="0">
      <alignment horizontal="right"/>
    </xf>
    <xf numFmtId="177" fontId="20" fillId="0" borderId="0" applyFill="0" applyBorder="0">
      <alignment horizontal="right"/>
    </xf>
    <xf numFmtId="206" fontId="20" fillId="0" borderId="2" applyFill="0" applyBorder="0">
      <alignment horizontal="right"/>
    </xf>
    <xf numFmtId="187" fontId="6" fillId="0" borderId="3">
      <alignment horizontal="centerContinuous"/>
    </xf>
    <xf numFmtId="171" fontId="7" fillId="0" borderId="0"/>
    <xf numFmtId="164" fontId="3" fillId="0" borderId="4" applyFont="0" applyFill="0" applyBorder="0" applyAlignment="0" applyProtection="0"/>
    <xf numFmtId="170" fontId="6" fillId="0" borderId="5"/>
    <xf numFmtId="188" fontId="8" fillId="0" borderId="0">
      <alignment horizontal="right" vertical="top"/>
    </xf>
    <xf numFmtId="189" fontId="9" fillId="0" borderId="0">
      <alignment horizontal="right" vertical="top"/>
    </xf>
    <xf numFmtId="189" fontId="8" fillId="0" borderId="0">
      <alignment horizontal="right" vertical="top"/>
    </xf>
    <xf numFmtId="190" fontId="3" fillId="0" borderId="0" applyFill="0" applyBorder="0">
      <alignment horizontal="right" vertical="top"/>
    </xf>
    <xf numFmtId="191" fontId="3" fillId="0" borderId="0" applyFill="0" applyBorder="0">
      <alignment horizontal="right" vertical="top"/>
    </xf>
    <xf numFmtId="192" fontId="3" fillId="0" borderId="0" applyFill="0" applyBorder="0">
      <alignment horizontal="right" vertical="top"/>
    </xf>
    <xf numFmtId="193" fontId="3" fillId="0" borderId="0" applyFill="0" applyBorder="0">
      <alignment horizontal="right" vertical="top"/>
    </xf>
    <xf numFmtId="0" fontId="10" fillId="0" borderId="0">
      <alignment horizontal="center" wrapText="1"/>
    </xf>
    <xf numFmtId="194" fontId="11" fillId="0" borderId="0" applyFill="0" applyBorder="0">
      <alignment vertical="top"/>
    </xf>
    <xf numFmtId="194" fontId="12" fillId="0" borderId="0" applyFill="0" applyBorder="0" applyProtection="0">
      <alignment vertical="top"/>
    </xf>
    <xf numFmtId="194" fontId="13" fillId="0" borderId="0">
      <alignment vertical="top"/>
    </xf>
    <xf numFmtId="166" fontId="3" fillId="0" borderId="0" applyFill="0" applyBorder="0" applyAlignment="0" applyProtection="0">
      <alignment horizontal="right" vertical="top"/>
    </xf>
    <xf numFmtId="194" fontId="5" fillId="0" borderId="0"/>
    <xf numFmtId="0" fontId="3" fillId="0" borderId="0" applyFill="0" applyBorder="0">
      <alignment horizontal="left" vertical="top"/>
    </xf>
    <xf numFmtId="0" fontId="17" fillId="2" borderId="0"/>
    <xf numFmtId="0" fontId="21" fillId="0" borderId="0">
      <alignment horizontal="right"/>
    </xf>
    <xf numFmtId="0" fontId="22" fillId="0" borderId="6"/>
    <xf numFmtId="0" fontId="22" fillId="0" borderId="4">
      <alignment horizontal="left" vertical="center"/>
    </xf>
    <xf numFmtId="179" fontId="4" fillId="0" borderId="0" applyFill="0" applyBorder="0" applyAlignment="0" applyProtection="0"/>
    <xf numFmtId="0" fontId="17" fillId="3" borderId="0"/>
    <xf numFmtId="37" fontId="4" fillId="0" borderId="0"/>
    <xf numFmtId="195" fontId="6" fillId="0" borderId="0"/>
    <xf numFmtId="196" fontId="6" fillId="0" borderId="0"/>
    <xf numFmtId="199" fontId="23" fillId="0" borderId="0"/>
    <xf numFmtId="205" fontId="20" fillId="0" borderId="0" applyFill="0" applyBorder="0">
      <alignment horizontal="right"/>
    </xf>
    <xf numFmtId="204" fontId="20" fillId="0" borderId="0" applyFill="0">
      <alignment horizontal="right"/>
    </xf>
    <xf numFmtId="177" fontId="20" fillId="0" borderId="0" applyFill="0" applyBorder="0">
      <alignment horizontal="right"/>
    </xf>
    <xf numFmtId="169" fontId="19" fillId="0" borderId="0"/>
    <xf numFmtId="10" fontId="19" fillId="0" borderId="0"/>
    <xf numFmtId="0" fontId="19" fillId="0" borderId="0"/>
    <xf numFmtId="15" fontId="19" fillId="0" borderId="0"/>
    <xf numFmtId="4" fontId="19" fillId="0" borderId="0"/>
    <xf numFmtId="0" fontId="24" fillId="0" borderId="7">
      <alignment horizontal="center"/>
    </xf>
    <xf numFmtId="3" fontId="19" fillId="0" borderId="0"/>
    <xf numFmtId="0" fontId="19" fillId="0" borderId="0"/>
    <xf numFmtId="179" fontId="6" fillId="0" borderId="0">
      <alignment horizontal="right"/>
    </xf>
    <xf numFmtId="14" fontId="6" fillId="0" borderId="3">
      <alignment horizontal="centerContinuous"/>
    </xf>
    <xf numFmtId="0" fontId="25" fillId="0" borderId="0">
      <alignment horizontal="left"/>
    </xf>
    <xf numFmtId="0" fontId="12" fillId="0" borderId="0">
      <alignment horizontal="centerContinuous"/>
    </xf>
    <xf numFmtId="0" fontId="26" fillId="0" borderId="0"/>
    <xf numFmtId="0" fontId="14" fillId="0" borderId="0">
      <alignment horizontal="fill"/>
    </xf>
    <xf numFmtId="0" fontId="15" fillId="0" borderId="0"/>
    <xf numFmtId="197" fontId="15" fillId="0" borderId="0"/>
    <xf numFmtId="198" fontId="16" fillId="4" borderId="0">
      <alignment horizontal="center"/>
    </xf>
    <xf numFmtId="0" fontId="29" fillId="0" borderId="0"/>
    <xf numFmtId="0" fontId="1" fillId="0" borderId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9" fillId="0" borderId="0" applyAlignment="0"/>
    <xf numFmtId="0" fontId="80" fillId="0" borderId="0" applyAlignment="0"/>
    <xf numFmtId="0" fontId="81" fillId="12" borderId="0" applyAlignment="0"/>
    <xf numFmtId="43" fontId="1" fillId="0" borderId="0" applyFont="0" applyFill="0" applyBorder="0" applyAlignment="0" applyProtection="0"/>
    <xf numFmtId="167" fontId="73" fillId="0" borderId="0" applyFont="0" applyFill="0" applyBorder="0" applyAlignment="0" applyProtection="0"/>
    <xf numFmtId="0" fontId="82" fillId="0" borderId="0" applyAlignment="0"/>
    <xf numFmtId="0" fontId="83" fillId="13" borderId="0" applyAlignment="0"/>
    <xf numFmtId="0" fontId="84" fillId="14" borderId="0" applyAlignment="0"/>
    <xf numFmtId="0" fontId="85" fillId="0" borderId="0" applyAlignment="0"/>
    <xf numFmtId="0" fontId="73" fillId="0" borderId="0"/>
    <xf numFmtId="9" fontId="1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86" fillId="6" borderId="0" applyAlignment="0"/>
    <xf numFmtId="0" fontId="87" fillId="0" borderId="0" applyAlignment="0"/>
    <xf numFmtId="0" fontId="88" fillId="0" borderId="0" applyAlignment="0"/>
    <xf numFmtId="0" fontId="89" fillId="0" borderId="0" applyAlignment="0"/>
    <xf numFmtId="0" fontId="90" fillId="0" borderId="0" applyAlignment="0"/>
    <xf numFmtId="0" fontId="15" fillId="0" borderId="0" applyAlignment="0"/>
    <xf numFmtId="0" fontId="91" fillId="0" borderId="0" applyAlignment="0"/>
  </cellStyleXfs>
  <cellXfs count="575">
    <xf numFmtId="0" fontId="0" fillId="0" borderId="0" xfId="0"/>
    <xf numFmtId="0" fontId="30" fillId="0" borderId="0" xfId="3" applyFont="1"/>
    <xf numFmtId="0" fontId="31" fillId="0" borderId="0" xfId="3" applyFont="1" applyBorder="1"/>
    <xf numFmtId="0" fontId="32" fillId="0" borderId="0" xfId="3" applyFont="1"/>
    <xf numFmtId="0" fontId="32" fillId="0" borderId="0" xfId="3" applyFont="1" applyBorder="1"/>
    <xf numFmtId="0" fontId="32" fillId="0" borderId="7" xfId="3" applyFont="1" applyBorder="1" applyAlignment="1">
      <alignment horizontal="centerContinuous"/>
    </xf>
    <xf numFmtId="0" fontId="32" fillId="0" borderId="0" xfId="3" applyFont="1" applyBorder="1" applyAlignment="1">
      <alignment horizontal="centerContinuous"/>
    </xf>
    <xf numFmtId="0" fontId="32" fillId="0" borderId="0" xfId="3" applyFont="1" applyAlignment="1">
      <alignment horizontal="centerContinuous"/>
    </xf>
    <xf numFmtId="0" fontId="31" fillId="0" borderId="0" xfId="3" applyFont="1" applyFill="1"/>
    <xf numFmtId="0" fontId="32" fillId="0" borderId="0" xfId="3" applyFont="1" applyFill="1"/>
    <xf numFmtId="0" fontId="32" fillId="0" borderId="0" xfId="3" applyFont="1" applyFill="1" applyAlignment="1"/>
    <xf numFmtId="215" fontId="30" fillId="0" borderId="0" xfId="3" applyNumberFormat="1" applyFont="1" applyFill="1" applyBorder="1" applyAlignment="1">
      <alignment horizontal="right"/>
    </xf>
    <xf numFmtId="4" fontId="30" fillId="0" borderId="0" xfId="3" applyNumberFormat="1" applyFont="1" applyFill="1" applyAlignment="1">
      <alignment horizontal="right"/>
    </xf>
    <xf numFmtId="211" fontId="32" fillId="0" borderId="0" xfId="3" quotePrefix="1" applyNumberFormat="1" applyFont="1" applyFill="1"/>
    <xf numFmtId="0" fontId="32" fillId="0" borderId="0" xfId="3" applyFont="1" applyFill="1" applyBorder="1"/>
    <xf numFmtId="211" fontId="32" fillId="0" borderId="0" xfId="3" applyNumberFormat="1" applyFont="1" applyFill="1" applyBorder="1"/>
    <xf numFmtId="0" fontId="30" fillId="0" borderId="0" xfId="3" applyFont="1" applyFill="1" applyBorder="1"/>
    <xf numFmtId="210" fontId="33" fillId="0" borderId="0" xfId="3" applyNumberFormat="1" applyFont="1" applyFill="1" applyBorder="1" applyAlignment="1">
      <alignment horizontal="right"/>
    </xf>
    <xf numFmtId="0" fontId="32" fillId="0" borderId="2" xfId="3" applyFont="1" applyFill="1" applyBorder="1" applyAlignment="1">
      <alignment horizontal="centerContinuous"/>
    </xf>
    <xf numFmtId="0" fontId="32" fillId="0" borderId="0" xfId="3" applyFont="1" applyFill="1" applyBorder="1" applyAlignment="1">
      <alignment horizontal="center"/>
    </xf>
    <xf numFmtId="200" fontId="30" fillId="0" borderId="0" xfId="3" applyNumberFormat="1" applyFont="1" applyFill="1" applyBorder="1" applyAlignment="1">
      <alignment horizontal="right"/>
    </xf>
    <xf numFmtId="211" fontId="30" fillId="0" borderId="26" xfId="3" applyNumberFormat="1" applyFont="1" applyFill="1" applyBorder="1" applyAlignment="1">
      <alignment horizontal="right"/>
    </xf>
    <xf numFmtId="211" fontId="32" fillId="0" borderId="0" xfId="3" applyNumberFormat="1" applyFont="1" applyFill="1" applyBorder="1" applyAlignment="1">
      <alignment horizontal="right"/>
    </xf>
    <xf numFmtId="210" fontId="32" fillId="0" borderId="0" xfId="3" applyNumberFormat="1" applyFont="1" applyFill="1" applyBorder="1" applyAlignment="1">
      <alignment horizontal="right"/>
    </xf>
    <xf numFmtId="211" fontId="32" fillId="0" borderId="8" xfId="3" applyNumberFormat="1" applyFont="1" applyFill="1" applyBorder="1" applyAlignment="1">
      <alignment horizontal="right"/>
    </xf>
    <xf numFmtId="211" fontId="30" fillId="0" borderId="0" xfId="3" applyNumberFormat="1" applyFont="1" applyFill="1" applyBorder="1" applyAlignment="1">
      <alignment horizontal="right"/>
    </xf>
    <xf numFmtId="218" fontId="30" fillId="0" borderId="0" xfId="3" applyNumberFormat="1" applyFont="1" applyFill="1" applyBorder="1" applyAlignment="1">
      <alignment horizontal="right"/>
    </xf>
    <xf numFmtId="211" fontId="30" fillId="0" borderId="0" xfId="3" applyNumberFormat="1" applyFont="1" applyFill="1" applyBorder="1"/>
    <xf numFmtId="0" fontId="33" fillId="0" borderId="0" xfId="3" applyFont="1" applyFill="1" applyBorder="1"/>
    <xf numFmtId="212" fontId="33" fillId="0" borderId="0" xfId="3" applyNumberFormat="1" applyFont="1" applyFill="1" applyBorder="1" applyAlignment="1">
      <alignment horizontal="right"/>
    </xf>
    <xf numFmtId="211" fontId="32" fillId="0" borderId="0" xfId="3" applyNumberFormat="1" applyFont="1" applyFill="1"/>
    <xf numFmtId="0" fontId="32" fillId="0" borderId="8" xfId="3" applyFont="1" applyFill="1" applyBorder="1" applyAlignment="1">
      <alignment horizontal="center"/>
    </xf>
    <xf numFmtId="211" fontId="30" fillId="0" borderId="14" xfId="3" applyNumberFormat="1" applyFont="1" applyFill="1" applyBorder="1" applyAlignment="1" applyProtection="1">
      <alignment horizontal="right" indent="2"/>
      <protection locked="0"/>
    </xf>
    <xf numFmtId="210" fontId="30" fillId="0" borderId="13" xfId="3" applyNumberFormat="1" applyFont="1" applyFill="1" applyBorder="1" applyAlignment="1" applyProtection="1">
      <alignment horizontal="right" indent="1"/>
      <protection locked="0"/>
    </xf>
    <xf numFmtId="213" fontId="32" fillId="0" borderId="13" xfId="11" applyNumberFormat="1" applyFont="1" applyFill="1" applyBorder="1" applyAlignment="1" applyProtection="1">
      <alignment horizontal="right" indent="1"/>
      <protection locked="0"/>
    </xf>
    <xf numFmtId="210" fontId="32" fillId="0" borderId="12" xfId="11" applyNumberFormat="1" applyFont="1" applyFill="1" applyBorder="1" applyAlignment="1" applyProtection="1">
      <alignment horizontal="right" indent="1"/>
      <protection locked="0"/>
    </xf>
    <xf numFmtId="211" fontId="30" fillId="0" borderId="0" xfId="3" applyNumberFormat="1" applyFont="1" applyFill="1" applyBorder="1" applyAlignment="1" applyProtection="1">
      <alignment horizontal="right" indent="2"/>
      <protection locked="0"/>
    </xf>
    <xf numFmtId="213" fontId="30" fillId="0" borderId="0" xfId="3" applyNumberFormat="1" applyFont="1" applyFill="1" applyBorder="1" applyAlignment="1" applyProtection="1">
      <alignment horizontal="right" indent="1"/>
      <protection locked="0"/>
    </xf>
    <xf numFmtId="213" fontId="32" fillId="0" borderId="0" xfId="11" applyNumberFormat="1" applyFont="1" applyFill="1" applyBorder="1" applyAlignment="1" applyProtection="1">
      <alignment horizontal="right" indent="1"/>
      <protection locked="0"/>
    </xf>
    <xf numFmtId="211" fontId="32" fillId="0" borderId="14" xfId="3" applyNumberFormat="1" applyFont="1" applyFill="1" applyBorder="1" applyAlignment="1" applyProtection="1">
      <alignment horizontal="right" indent="2"/>
      <protection locked="0"/>
    </xf>
    <xf numFmtId="210" fontId="32" fillId="0" borderId="13" xfId="3" applyNumberFormat="1" applyFont="1" applyFill="1" applyBorder="1" applyAlignment="1" applyProtection="1">
      <alignment horizontal="right" indent="1"/>
      <protection locked="0"/>
    </xf>
    <xf numFmtId="0" fontId="32" fillId="0" borderId="0" xfId="3" applyFont="1" applyFill="1" applyBorder="1" applyAlignment="1">
      <alignment horizontal="left"/>
    </xf>
    <xf numFmtId="0" fontId="32" fillId="0" borderId="0" xfId="3" applyFont="1" applyFill="1" applyBorder="1" applyAlignment="1">
      <alignment horizontal="centerContinuous"/>
    </xf>
    <xf numFmtId="0" fontId="38" fillId="0" borderId="0" xfId="3" applyFont="1" applyFill="1" applyBorder="1" applyAlignment="1">
      <alignment horizontal="left"/>
    </xf>
    <xf numFmtId="217" fontId="32" fillId="0" borderId="4" xfId="3" applyNumberFormat="1" applyFont="1" applyFill="1" applyBorder="1" applyAlignment="1">
      <alignment horizontal="center"/>
    </xf>
    <xf numFmtId="217" fontId="32" fillId="0" borderId="0" xfId="3" applyNumberFormat="1" applyFont="1" applyFill="1" applyBorder="1" applyAlignment="1">
      <alignment horizontal="center"/>
    </xf>
    <xf numFmtId="209" fontId="30" fillId="0" borderId="0" xfId="3" applyNumberFormat="1" applyFont="1" applyFill="1" applyBorder="1"/>
    <xf numFmtId="209" fontId="30" fillId="0" borderId="0" xfId="3" applyNumberFormat="1" applyFont="1" applyFill="1" applyBorder="1" applyAlignment="1"/>
    <xf numFmtId="179" fontId="32" fillId="0" borderId="0" xfId="3" applyNumberFormat="1" applyFont="1" applyFill="1" applyBorder="1"/>
    <xf numFmtId="211" fontId="30" fillId="0" borderId="0" xfId="3" applyNumberFormat="1" applyFont="1" applyFill="1" applyBorder="1" applyAlignment="1"/>
    <xf numFmtId="209" fontId="32" fillId="0" borderId="0" xfId="3" applyNumberFormat="1" applyFont="1" applyFill="1" applyBorder="1"/>
    <xf numFmtId="210" fontId="30" fillId="0" borderId="0" xfId="3" applyNumberFormat="1" applyFont="1" applyFill="1" applyBorder="1"/>
    <xf numFmtId="210" fontId="32" fillId="0" borderId="0" xfId="3" applyNumberFormat="1" applyFont="1" applyFill="1" applyBorder="1"/>
    <xf numFmtId="211" fontId="32" fillId="0" borderId="0" xfId="3" applyNumberFormat="1" applyFont="1" applyBorder="1"/>
    <xf numFmtId="209" fontId="30" fillId="0" borderId="0" xfId="3" applyNumberFormat="1" applyFont="1" applyBorder="1" applyAlignment="1">
      <alignment horizontal="right"/>
    </xf>
    <xf numFmtId="207" fontId="41" fillId="0" borderId="0" xfId="3" applyNumberFormat="1" applyFont="1" applyFill="1" applyBorder="1"/>
    <xf numFmtId="208" fontId="42" fillId="0" borderId="0" xfId="3" applyNumberFormat="1" applyFont="1" applyFill="1" applyBorder="1"/>
    <xf numFmtId="181" fontId="43" fillId="0" borderId="0" xfId="3" applyNumberFormat="1" applyFont="1" applyFill="1" applyBorder="1"/>
    <xf numFmtId="229" fontId="39" fillId="0" borderId="0" xfId="3" applyNumberFormat="1" applyFont="1" applyAlignment="1">
      <alignment horizontal="right"/>
    </xf>
    <xf numFmtId="0" fontId="32" fillId="0" borderId="0" xfId="0" applyFont="1"/>
    <xf numFmtId="0" fontId="44" fillId="0" borderId="0" xfId="3" applyFont="1" applyFill="1" applyBorder="1"/>
    <xf numFmtId="0" fontId="48" fillId="0" borderId="0" xfId="3" applyFont="1" applyAlignment="1">
      <alignment horizontal="left"/>
    </xf>
    <xf numFmtId="0" fontId="32" fillId="0" borderId="0" xfId="3" applyFont="1" applyAlignment="1">
      <alignment vertical="center"/>
    </xf>
    <xf numFmtId="0" fontId="32" fillId="0" borderId="0" xfId="3" quotePrefix="1" applyFont="1" applyAlignment="1">
      <alignment horizontal="left"/>
    </xf>
    <xf numFmtId="211" fontId="39" fillId="0" borderId="0" xfId="3" applyNumberFormat="1" applyFont="1" applyAlignment="1">
      <alignment horizontal="right"/>
    </xf>
    <xf numFmtId="0" fontId="32" fillId="0" borderId="0" xfId="3" applyFont="1" applyAlignment="1">
      <alignment horizontal="center"/>
    </xf>
    <xf numFmtId="217" fontId="32" fillId="0" borderId="0" xfId="3" applyNumberFormat="1" applyFont="1" applyBorder="1" applyAlignment="1">
      <alignment horizontal="center"/>
    </xf>
    <xf numFmtId="217" fontId="39" fillId="0" borderId="2" xfId="3" applyNumberFormat="1" applyFont="1" applyBorder="1" applyAlignment="1">
      <alignment horizontal="centerContinuous"/>
    </xf>
    <xf numFmtId="14" fontId="39" fillId="0" borderId="0" xfId="3" applyNumberFormat="1" applyFont="1" applyAlignment="1">
      <alignment horizontal="left"/>
    </xf>
    <xf numFmtId="210" fontId="39" fillId="0" borderId="0" xfId="3" applyNumberFormat="1" applyFont="1"/>
    <xf numFmtId="0" fontId="39" fillId="0" borderId="0" xfId="3" applyFont="1"/>
    <xf numFmtId="173" fontId="32" fillId="0" borderId="0" xfId="3" applyNumberFormat="1" applyFont="1" applyBorder="1" applyAlignment="1">
      <alignment horizontal="right"/>
    </xf>
    <xf numFmtId="226" fontId="32" fillId="0" borderId="0" xfId="3" applyNumberFormat="1" applyFont="1" applyBorder="1" applyAlignment="1">
      <alignment horizontal="right"/>
    </xf>
    <xf numFmtId="209" fontId="39" fillId="0" borderId="0" xfId="3" applyNumberFormat="1" applyFont="1"/>
    <xf numFmtId="226" fontId="39" fillId="0" borderId="0" xfId="3" applyNumberFormat="1" applyFont="1" applyBorder="1" applyAlignment="1">
      <alignment horizontal="right"/>
    </xf>
    <xf numFmtId="211" fontId="39" fillId="0" borderId="0" xfId="3" applyNumberFormat="1" applyFont="1"/>
    <xf numFmtId="215" fontId="30" fillId="0" borderId="0" xfId="3" applyNumberFormat="1" applyFont="1" applyAlignment="1">
      <alignment horizontal="left"/>
    </xf>
    <xf numFmtId="210" fontId="30" fillId="0" borderId="0" xfId="3" applyNumberFormat="1" applyFont="1"/>
    <xf numFmtId="0" fontId="32" fillId="0" borderId="0" xfId="3" applyFont="1" applyAlignment="1">
      <alignment vertical="top"/>
    </xf>
    <xf numFmtId="215" fontId="30" fillId="0" borderId="0" xfId="3" applyNumberFormat="1" applyFont="1" applyAlignment="1">
      <alignment horizontal="left" vertical="top"/>
    </xf>
    <xf numFmtId="213" fontId="30" fillId="0" borderId="0" xfId="3" applyNumberFormat="1" applyFont="1" applyAlignment="1">
      <alignment vertical="top"/>
    </xf>
    <xf numFmtId="172" fontId="39" fillId="0" borderId="0" xfId="3" applyNumberFormat="1" applyFont="1"/>
    <xf numFmtId="215" fontId="30" fillId="0" borderId="0" xfId="3" applyNumberFormat="1" applyFont="1"/>
    <xf numFmtId="165" fontId="32" fillId="0" borderId="0" xfId="3" applyNumberFormat="1" applyFont="1"/>
    <xf numFmtId="210" fontId="39" fillId="0" borderId="0" xfId="3" applyNumberFormat="1" applyFont="1" applyAlignment="1">
      <alignment horizontal="right"/>
    </xf>
    <xf numFmtId="218" fontId="39" fillId="0" borderId="0" xfId="3" applyNumberFormat="1" applyFont="1" applyFill="1" applyAlignment="1">
      <alignment horizontal="right"/>
    </xf>
    <xf numFmtId="213" fontId="39" fillId="0" borderId="0" xfId="3" applyNumberFormat="1" applyFont="1"/>
    <xf numFmtId="218" fontId="39" fillId="0" borderId="0" xfId="3" applyNumberFormat="1" applyFont="1" applyAlignment="1">
      <alignment vertical="top"/>
    </xf>
    <xf numFmtId="211" fontId="30" fillId="0" borderId="0" xfId="3" applyNumberFormat="1" applyFont="1" applyAlignment="1">
      <alignment horizontal="right"/>
    </xf>
    <xf numFmtId="211" fontId="30" fillId="0" borderId="0" xfId="3" applyNumberFormat="1" applyFont="1" applyAlignment="1">
      <alignment vertical="top"/>
    </xf>
    <xf numFmtId="211" fontId="49" fillId="0" borderId="0" xfId="3" applyNumberFormat="1" applyFont="1" applyAlignment="1">
      <alignment vertical="top"/>
    </xf>
    <xf numFmtId="218" fontId="32" fillId="0" borderId="0" xfId="3" applyNumberFormat="1" applyFont="1" applyAlignment="1">
      <alignment vertical="top"/>
    </xf>
    <xf numFmtId="218" fontId="40" fillId="0" borderId="0" xfId="3" applyNumberFormat="1" applyFont="1" applyAlignment="1">
      <alignment horizontal="right"/>
    </xf>
    <xf numFmtId="211" fontId="40" fillId="0" borderId="0" xfId="3" applyNumberFormat="1" applyFont="1" applyAlignment="1">
      <alignment horizontal="right"/>
    </xf>
    <xf numFmtId="14" fontId="30" fillId="0" borderId="0" xfId="3" applyNumberFormat="1" applyFont="1" applyAlignment="1">
      <alignment horizontal="left"/>
    </xf>
    <xf numFmtId="39" fontId="30" fillId="0" borderId="0" xfId="3" applyNumberFormat="1" applyFont="1" applyAlignment="1">
      <alignment vertical="top"/>
    </xf>
    <xf numFmtId="179" fontId="40" fillId="0" borderId="0" xfId="3" applyNumberFormat="1" applyFont="1" applyAlignment="1">
      <alignment horizontal="right"/>
    </xf>
    <xf numFmtId="14" fontId="39" fillId="0" borderId="0" xfId="3" applyNumberFormat="1" applyFont="1"/>
    <xf numFmtId="210" fontId="32" fillId="0" borderId="0" xfId="3" applyNumberFormat="1" applyFont="1"/>
    <xf numFmtId="0" fontId="38" fillId="0" borderId="0" xfId="3" applyFont="1"/>
    <xf numFmtId="211" fontId="39" fillId="0" borderId="0" xfId="3" applyNumberFormat="1" applyFont="1" applyBorder="1"/>
    <xf numFmtId="218" fontId="32" fillId="0" borderId="0" xfId="3" applyNumberFormat="1" applyFont="1"/>
    <xf numFmtId="0" fontId="32" fillId="0" borderId="0" xfId="3" applyFont="1" applyBorder="1" applyAlignment="1">
      <alignment horizontal="center"/>
    </xf>
    <xf numFmtId="211" fontId="39" fillId="0" borderId="2" xfId="3" applyNumberFormat="1" applyFont="1" applyBorder="1"/>
    <xf numFmtId="226" fontId="32" fillId="0" borderId="0" xfId="3" applyNumberFormat="1" applyFont="1" applyAlignment="1">
      <alignment horizontal="right"/>
    </xf>
    <xf numFmtId="0" fontId="32" fillId="0" borderId="0" xfId="3" quotePrefix="1" applyFont="1" applyAlignment="1">
      <alignment horizontal="left" indent="1"/>
    </xf>
    <xf numFmtId="209" fontId="32" fillId="0" borderId="0" xfId="3" applyNumberFormat="1" applyFont="1" applyBorder="1"/>
    <xf numFmtId="211" fontId="49" fillId="0" borderId="0" xfId="3" applyNumberFormat="1" applyFont="1" applyBorder="1"/>
    <xf numFmtId="226" fontId="32" fillId="0" borderId="0" xfId="3" applyNumberFormat="1" applyFont="1"/>
    <xf numFmtId="0" fontId="36" fillId="0" borderId="0" xfId="3" applyFont="1" applyBorder="1" applyAlignment="1"/>
    <xf numFmtId="0" fontId="32" fillId="0" borderId="0" xfId="3" applyFont="1" applyAlignment="1">
      <alignment horizontal="left" indent="1"/>
    </xf>
    <xf numFmtId="209" fontId="32" fillId="0" borderId="0" xfId="3" applyNumberFormat="1" applyFont="1"/>
    <xf numFmtId="0" fontId="50" fillId="0" borderId="21" xfId="3" applyFont="1" applyBorder="1"/>
    <xf numFmtId="0" fontId="32" fillId="0" borderId="8" xfId="3" applyFont="1" applyBorder="1"/>
    <xf numFmtId="0" fontId="51" fillId="0" borderId="0" xfId="3" applyFont="1"/>
    <xf numFmtId="0" fontId="50" fillId="0" borderId="0" xfId="3" applyFont="1"/>
    <xf numFmtId="0" fontId="50" fillId="0" borderId="0" xfId="3" quotePrefix="1" applyFont="1" applyAlignment="1">
      <alignment horizontal="left"/>
    </xf>
    <xf numFmtId="0" fontId="32" fillId="0" borderId="0" xfId="3" applyFont="1" applyAlignment="1">
      <alignment horizontal="left"/>
    </xf>
    <xf numFmtId="211" fontId="32" fillId="0" borderId="0" xfId="3" applyNumberFormat="1" applyFont="1"/>
    <xf numFmtId="0" fontId="52" fillId="0" borderId="0" xfId="3" applyFont="1"/>
    <xf numFmtId="0" fontId="53" fillId="0" borderId="0" xfId="3" applyFont="1" applyAlignment="1">
      <alignment horizontal="left"/>
    </xf>
    <xf numFmtId="165" fontId="49" fillId="0" borderId="0" xfId="3" applyNumberFormat="1" applyFont="1"/>
    <xf numFmtId="40" fontId="30" fillId="0" borderId="0" xfId="3" applyNumberFormat="1" applyFont="1"/>
    <xf numFmtId="0" fontId="54" fillId="8" borderId="0" xfId="3" applyFont="1" applyFill="1" applyBorder="1" applyAlignment="1">
      <alignment horizontal="left"/>
    </xf>
    <xf numFmtId="0" fontId="37" fillId="8" borderId="0" xfId="3" applyFont="1" applyFill="1"/>
    <xf numFmtId="0" fontId="32" fillId="8" borderId="0" xfId="3" applyFont="1" applyFill="1"/>
    <xf numFmtId="0" fontId="34" fillId="10" borderId="0" xfId="3" applyFont="1" applyFill="1" applyBorder="1" applyAlignment="1">
      <alignment horizontal="left"/>
    </xf>
    <xf numFmtId="0" fontId="35" fillId="10" borderId="0" xfId="3" applyFont="1" applyFill="1" applyBorder="1" applyAlignment="1">
      <alignment horizontal="centerContinuous"/>
    </xf>
    <xf numFmtId="0" fontId="32" fillId="8" borderId="0" xfId="3" applyFont="1" applyFill="1" applyBorder="1" applyAlignment="1">
      <alignment horizontal="centerContinuous"/>
    </xf>
    <xf numFmtId="0" fontId="56" fillId="0" borderId="0" xfId="3" applyFont="1" applyAlignment="1">
      <alignment horizontal="left"/>
    </xf>
    <xf numFmtId="9" fontId="32" fillId="0" borderId="0" xfId="3" applyNumberFormat="1" applyFont="1" applyAlignment="1">
      <alignment horizontal="center"/>
    </xf>
    <xf numFmtId="0" fontId="36" fillId="0" borderId="2" xfId="3" applyFont="1" applyFill="1" applyBorder="1" applyAlignment="1">
      <alignment horizontal="centerContinuous"/>
    </xf>
    <xf numFmtId="0" fontId="32" fillId="0" borderId="0" xfId="3" applyFont="1" applyAlignment="1"/>
    <xf numFmtId="0" fontId="39" fillId="0" borderId="0" xfId="3" applyFont="1" applyBorder="1" applyAlignment="1">
      <alignment horizontal="centerContinuous"/>
    </xf>
    <xf numFmtId="217" fontId="39" fillId="0" borderId="0" xfId="3" applyNumberFormat="1" applyFont="1" applyBorder="1" applyAlignment="1">
      <alignment horizontal="center"/>
    </xf>
    <xf numFmtId="209" fontId="30" fillId="0" borderId="20" xfId="3" applyNumberFormat="1" applyFont="1" applyBorder="1"/>
    <xf numFmtId="209" fontId="30" fillId="0" borderId="24" xfId="3" applyNumberFormat="1" applyFont="1" applyBorder="1"/>
    <xf numFmtId="209" fontId="30" fillId="0" borderId="0" xfId="3" applyNumberFormat="1" applyFont="1"/>
    <xf numFmtId="209" fontId="40" fillId="0" borderId="26" xfId="3" applyNumberFormat="1" applyFont="1" applyBorder="1"/>
    <xf numFmtId="209" fontId="40" fillId="0" borderId="24" xfId="3" applyNumberFormat="1" applyFont="1" applyBorder="1"/>
    <xf numFmtId="171" fontId="30" fillId="0" borderId="0" xfId="3" applyNumberFormat="1" applyFont="1"/>
    <xf numFmtId="218" fontId="32" fillId="0" borderId="8" xfId="3" applyNumberFormat="1" applyFont="1" applyBorder="1" applyAlignment="1">
      <alignment horizontal="right"/>
    </xf>
    <xf numFmtId="211" fontId="30" fillId="0" borderId="0" xfId="3" applyNumberFormat="1" applyFont="1" applyBorder="1"/>
    <xf numFmtId="211" fontId="40" fillId="0" borderId="0" xfId="3" applyNumberFormat="1" applyFont="1" applyBorder="1"/>
    <xf numFmtId="172" fontId="30" fillId="0" borderId="0" xfId="3" applyNumberFormat="1" applyFont="1" applyBorder="1"/>
    <xf numFmtId="218" fontId="32" fillId="0" borderId="0" xfId="3" applyNumberFormat="1" applyFont="1" applyBorder="1" applyAlignment="1">
      <alignment horizontal="right"/>
    </xf>
    <xf numFmtId="211" fontId="40" fillId="0" borderId="18" xfId="3" applyNumberFormat="1" applyFont="1" applyBorder="1"/>
    <xf numFmtId="211" fontId="40" fillId="0" borderId="20" xfId="3" applyNumberFormat="1" applyFont="1" applyBorder="1"/>
    <xf numFmtId="211" fontId="40" fillId="0" borderId="19" xfId="3" applyNumberFormat="1" applyFont="1" applyBorder="1"/>
    <xf numFmtId="211" fontId="40" fillId="0" borderId="0" xfId="3" applyNumberFormat="1" applyFont="1"/>
    <xf numFmtId="172" fontId="40" fillId="0" borderId="0" xfId="3" applyNumberFormat="1" applyFont="1"/>
    <xf numFmtId="218" fontId="32" fillId="0" borderId="0" xfId="3" applyNumberFormat="1" applyFont="1" applyAlignment="1">
      <alignment horizontal="right"/>
    </xf>
    <xf numFmtId="211" fontId="30" fillId="0" borderId="0" xfId="3" applyNumberFormat="1" applyFont="1"/>
    <xf numFmtId="172" fontId="40" fillId="0" borderId="0" xfId="3" applyNumberFormat="1" applyFont="1" applyBorder="1"/>
    <xf numFmtId="0" fontId="40" fillId="0" borderId="0" xfId="3" applyFont="1" applyBorder="1"/>
    <xf numFmtId="0" fontId="36" fillId="0" borderId="0" xfId="3" applyFont="1"/>
    <xf numFmtId="218" fontId="36" fillId="0" borderId="0" xfId="3" applyNumberFormat="1" applyFont="1" applyAlignment="1">
      <alignment horizontal="right"/>
    </xf>
    <xf numFmtId="0" fontId="36" fillId="0" borderId="0" xfId="3" applyFont="1" applyBorder="1"/>
    <xf numFmtId="209" fontId="40" fillId="0" borderId="0" xfId="3" applyNumberFormat="1" applyFont="1"/>
    <xf numFmtId="171" fontId="40" fillId="0" borderId="0" xfId="3" applyNumberFormat="1" applyFont="1"/>
    <xf numFmtId="176" fontId="32" fillId="0" borderId="0" xfId="3" applyNumberFormat="1" applyFont="1" applyAlignment="1">
      <alignment horizontal="left"/>
    </xf>
    <xf numFmtId="176" fontId="32" fillId="0" borderId="0" xfId="3" applyNumberFormat="1" applyFont="1"/>
    <xf numFmtId="172" fontId="32" fillId="0" borderId="0" xfId="3" applyNumberFormat="1" applyFont="1"/>
    <xf numFmtId="176" fontId="32" fillId="0" borderId="0" xfId="3" applyNumberFormat="1" applyFont="1" applyBorder="1"/>
    <xf numFmtId="0" fontId="36" fillId="0" borderId="0" xfId="3" applyFont="1" applyAlignment="1">
      <alignment horizontal="left"/>
    </xf>
    <xf numFmtId="210" fontId="57" fillId="0" borderId="23" xfId="3" applyNumberFormat="1" applyFont="1" applyBorder="1"/>
    <xf numFmtId="210" fontId="57" fillId="0" borderId="0" xfId="3" applyNumberFormat="1" applyFont="1"/>
    <xf numFmtId="165" fontId="57" fillId="0" borderId="0" xfId="3" applyNumberFormat="1" applyFont="1"/>
    <xf numFmtId="210" fontId="40" fillId="0" borderId="0" xfId="3" applyNumberFormat="1" applyFont="1"/>
    <xf numFmtId="165" fontId="40" fillId="0" borderId="0" xfId="3" applyNumberFormat="1" applyFont="1"/>
    <xf numFmtId="216" fontId="30" fillId="0" borderId="0" xfId="3" applyNumberFormat="1" applyFont="1"/>
    <xf numFmtId="216" fontId="40" fillId="0" borderId="0" xfId="3" applyNumberFormat="1" applyFont="1"/>
    <xf numFmtId="180" fontId="32" fillId="0" borderId="0" xfId="3" applyNumberFormat="1" applyFont="1" applyAlignment="1">
      <alignment horizontal="right"/>
    </xf>
    <xf numFmtId="214" fontId="32" fillId="0" borderId="0" xfId="3" applyNumberFormat="1" applyFont="1" applyAlignment="1">
      <alignment horizontal="right"/>
    </xf>
    <xf numFmtId="0" fontId="32" fillId="0" borderId="0" xfId="3" applyFont="1" applyBorder="1" applyAlignment="1">
      <alignment horizontal="left"/>
    </xf>
    <xf numFmtId="0" fontId="39" fillId="0" borderId="0" xfId="3" applyFont="1" applyBorder="1"/>
    <xf numFmtId="172" fontId="32" fillId="0" borderId="0" xfId="3" applyNumberFormat="1" applyFont="1" applyBorder="1"/>
    <xf numFmtId="214" fontId="32" fillId="0" borderId="0" xfId="3" applyNumberFormat="1" applyFont="1" applyBorder="1" applyAlignment="1">
      <alignment horizontal="right"/>
    </xf>
    <xf numFmtId="209" fontId="40" fillId="0" borderId="20" xfId="3" applyNumberFormat="1" applyFont="1" applyBorder="1"/>
    <xf numFmtId="218" fontId="40" fillId="0" borderId="0" xfId="3" applyNumberFormat="1" applyFont="1"/>
    <xf numFmtId="175" fontId="32" fillId="0" borderId="0" xfId="3" applyNumberFormat="1" applyFont="1" applyAlignment="1">
      <alignment horizontal="right"/>
    </xf>
    <xf numFmtId="179" fontId="40" fillId="0" borderId="0" xfId="3" applyNumberFormat="1" applyFont="1"/>
    <xf numFmtId="218" fontId="40" fillId="0" borderId="0" xfId="3" quotePrefix="1" applyNumberFormat="1" applyFont="1" applyAlignment="1">
      <alignment horizontal="right"/>
    </xf>
    <xf numFmtId="177" fontId="58" fillId="0" borderId="0" xfId="3" applyNumberFormat="1" applyFont="1" applyBorder="1"/>
    <xf numFmtId="0" fontId="32" fillId="0" borderId="0" xfId="3" applyFont="1" applyBorder="1" applyAlignment="1">
      <alignment horizontal="right"/>
    </xf>
    <xf numFmtId="0" fontId="50" fillId="0" borderId="8" xfId="3" applyFont="1" applyBorder="1"/>
    <xf numFmtId="0" fontId="32" fillId="0" borderId="21" xfId="3" applyFont="1" applyBorder="1"/>
    <xf numFmtId="0" fontId="32" fillId="0" borderId="8" xfId="3" applyFont="1" applyBorder="1" applyAlignment="1">
      <alignment horizontal="right"/>
    </xf>
    <xf numFmtId="0" fontId="32" fillId="0" borderId="0" xfId="3" applyFont="1" applyAlignment="1">
      <alignment horizontal="right"/>
    </xf>
    <xf numFmtId="0" fontId="59" fillId="0" borderId="7" xfId="3" applyFont="1" applyBorder="1" applyAlignment="1">
      <alignment horizontal="left"/>
    </xf>
    <xf numFmtId="0" fontId="36" fillId="0" borderId="0" xfId="3" applyFont="1" applyFill="1" applyBorder="1" applyAlignment="1">
      <alignment horizontal="centerContinuous"/>
    </xf>
    <xf numFmtId="0" fontId="60" fillId="0" borderId="0" xfId="3" applyFont="1" applyFill="1"/>
    <xf numFmtId="0" fontId="36" fillId="0" borderId="0" xfId="3" applyFont="1" applyFill="1"/>
    <xf numFmtId="217" fontId="36" fillId="0" borderId="2" xfId="3" applyNumberFormat="1" applyFont="1" applyFill="1" applyBorder="1" applyAlignment="1">
      <alignment horizontal="center"/>
    </xf>
    <xf numFmtId="217" fontId="36" fillId="0" borderId="0" xfId="3" applyNumberFormat="1" applyFont="1" applyFill="1" applyBorder="1" applyAlignment="1">
      <alignment horizontal="center"/>
    </xf>
    <xf numFmtId="211" fontId="32" fillId="0" borderId="8" xfId="3" applyNumberFormat="1" applyFont="1" applyBorder="1"/>
    <xf numFmtId="179" fontId="30" fillId="0" borderId="0" xfId="3" applyNumberFormat="1" applyFont="1"/>
    <xf numFmtId="179" fontId="30" fillId="0" borderId="0" xfId="3" applyNumberFormat="1" applyFont="1" applyBorder="1"/>
    <xf numFmtId="0" fontId="37" fillId="0" borderId="0" xfId="3" applyFont="1"/>
    <xf numFmtId="218" fontId="48" fillId="0" borderId="0" xfId="3" applyNumberFormat="1" applyFont="1"/>
    <xf numFmtId="218" fontId="37" fillId="0" borderId="0" xfId="3" applyNumberFormat="1" applyFont="1"/>
    <xf numFmtId="218" fontId="48" fillId="0" borderId="0" xfId="3" applyNumberFormat="1" applyFont="1" applyBorder="1"/>
    <xf numFmtId="0" fontId="37" fillId="0" borderId="0" xfId="3" applyFont="1" applyBorder="1"/>
    <xf numFmtId="211" fontId="32" fillId="0" borderId="2" xfId="3" applyNumberFormat="1" applyFont="1" applyBorder="1"/>
    <xf numFmtId="0" fontId="36" fillId="8" borderId="2" xfId="3" applyFont="1" applyFill="1" applyBorder="1" applyAlignment="1">
      <alignment horizontal="centerContinuous"/>
    </xf>
    <xf numFmtId="0" fontId="46" fillId="7" borderId="0" xfId="3" applyFont="1" applyFill="1" applyBorder="1" applyAlignment="1">
      <alignment horizontal="centerContinuous"/>
    </xf>
    <xf numFmtId="0" fontId="38" fillId="0" borderId="0" xfId="3" applyFont="1" applyFill="1"/>
    <xf numFmtId="0" fontId="61" fillId="0" borderId="0" xfId="3" applyFont="1" applyBorder="1"/>
    <xf numFmtId="0" fontId="61" fillId="0" borderId="0" xfId="3" applyFont="1" applyBorder="1" applyAlignment="1">
      <alignment horizontal="centerContinuous"/>
    </xf>
    <xf numFmtId="0" fontId="32" fillId="0" borderId="0" xfId="3" applyFont="1" applyBorder="1" applyAlignment="1"/>
    <xf numFmtId="0" fontId="54" fillId="8" borderId="2" xfId="3" applyFont="1" applyFill="1" applyBorder="1" applyAlignment="1">
      <alignment horizontal="centerContinuous"/>
    </xf>
    <xf numFmtId="0" fontId="39" fillId="0" borderId="8" xfId="3" applyFont="1" applyFill="1" applyBorder="1" applyAlignment="1">
      <alignment horizontal="centerContinuous"/>
    </xf>
    <xf numFmtId="0" fontId="39" fillId="0" borderId="0" xfId="3" applyFont="1" applyFill="1" applyBorder="1"/>
    <xf numFmtId="217" fontId="39" fillId="0" borderId="0" xfId="3" applyNumberFormat="1" applyFont="1" applyFill="1" applyBorder="1" applyAlignment="1">
      <alignment horizontal="centerContinuous"/>
    </xf>
    <xf numFmtId="0" fontId="63" fillId="0" borderId="0" xfId="3" applyFont="1"/>
    <xf numFmtId="0" fontId="32" fillId="0" borderId="22" xfId="3" applyFont="1" applyBorder="1"/>
    <xf numFmtId="0" fontId="32" fillId="0" borderId="20" xfId="3" applyFont="1" applyBorder="1"/>
    <xf numFmtId="0" fontId="32" fillId="0" borderId="24" xfId="3" applyFont="1" applyBorder="1"/>
    <xf numFmtId="0" fontId="32" fillId="0" borderId="22" xfId="3" applyFont="1" applyBorder="1" applyAlignment="1">
      <alignment horizontal="centerContinuous"/>
    </xf>
    <xf numFmtId="0" fontId="32" fillId="0" borderId="24" xfId="3" applyFont="1" applyBorder="1" applyAlignment="1">
      <alignment horizontal="centerContinuous"/>
    </xf>
    <xf numFmtId="0" fontId="64" fillId="0" borderId="0" xfId="3" applyFont="1" applyBorder="1" applyAlignment="1">
      <alignment horizontal="centerContinuous"/>
    </xf>
    <xf numFmtId="209" fontId="30" fillId="0" borderId="0" xfId="3" applyNumberFormat="1" applyFont="1" applyBorder="1"/>
    <xf numFmtId="171" fontId="49" fillId="0" borderId="0" xfId="3" applyNumberFormat="1" applyFont="1" applyBorder="1"/>
    <xf numFmtId="171" fontId="32" fillId="0" borderId="0" xfId="3" applyNumberFormat="1" applyFont="1" applyBorder="1"/>
    <xf numFmtId="172" fontId="49" fillId="0" borderId="0" xfId="3" applyNumberFormat="1" applyFont="1" applyBorder="1"/>
    <xf numFmtId="211" fontId="30" fillId="0" borderId="2" xfId="3" applyNumberFormat="1" applyFont="1" applyBorder="1"/>
    <xf numFmtId="209" fontId="32" fillId="0" borderId="9" xfId="3" applyNumberFormat="1" applyFont="1" applyBorder="1"/>
    <xf numFmtId="178" fontId="32" fillId="0" borderId="0" xfId="3" applyNumberFormat="1" applyFont="1"/>
    <xf numFmtId="178" fontId="32" fillId="0" borderId="0" xfId="3" applyNumberFormat="1" applyFont="1" applyBorder="1"/>
    <xf numFmtId="0" fontId="53" fillId="0" borderId="8" xfId="3" applyFont="1" applyBorder="1"/>
    <xf numFmtId="0" fontId="53" fillId="0" borderId="21" xfId="3" applyFont="1" applyBorder="1"/>
    <xf numFmtId="168" fontId="53" fillId="0" borderId="8" xfId="3" applyNumberFormat="1" applyFont="1" applyBorder="1"/>
    <xf numFmtId="168" fontId="32" fillId="0" borderId="0" xfId="3" applyNumberFormat="1" applyFont="1" applyBorder="1"/>
    <xf numFmtId="0" fontId="32" fillId="0" borderId="0" xfId="3" applyNumberFormat="1" applyFont="1"/>
    <xf numFmtId="226" fontId="32" fillId="0" borderId="21" xfId="3" applyNumberFormat="1" applyFont="1" applyBorder="1" applyAlignment="1">
      <alignment horizontal="right"/>
    </xf>
    <xf numFmtId="226" fontId="32" fillId="0" borderId="0" xfId="3" applyNumberFormat="1" applyFont="1" applyBorder="1"/>
    <xf numFmtId="179" fontId="32" fillId="0" borderId="0" xfId="3" applyNumberFormat="1" applyFont="1"/>
    <xf numFmtId="0" fontId="32" fillId="0" borderId="0" xfId="3" applyFont="1" applyFill="1" applyAlignment="1">
      <alignment horizontal="left" indent="1"/>
    </xf>
    <xf numFmtId="179" fontId="32" fillId="0" borderId="0" xfId="3" applyNumberFormat="1" applyFont="1" applyBorder="1"/>
    <xf numFmtId="209" fontId="32" fillId="0" borderId="0" xfId="3" applyNumberFormat="1" applyFont="1" applyAlignment="1">
      <alignment horizontal="right"/>
    </xf>
    <xf numFmtId="0" fontId="32" fillId="0" borderId="2" xfId="3" applyFont="1" applyBorder="1" applyAlignment="1">
      <alignment horizontal="centerContinuous"/>
    </xf>
    <xf numFmtId="218" fontId="32" fillId="0" borderId="4" xfId="3" applyNumberFormat="1" applyFont="1" applyFill="1" applyBorder="1"/>
    <xf numFmtId="218" fontId="30" fillId="0" borderId="0" xfId="3" applyNumberFormat="1" applyFont="1"/>
    <xf numFmtId="0" fontId="38" fillId="0" borderId="0" xfId="3" applyFont="1" applyAlignment="1">
      <alignment horizontal="left"/>
    </xf>
    <xf numFmtId="0" fontId="45" fillId="7" borderId="0" xfId="3" applyFont="1" applyFill="1" applyBorder="1" applyAlignment="1">
      <alignment horizontal="left"/>
    </xf>
    <xf numFmtId="0" fontId="55" fillId="7" borderId="0" xfId="3" applyFont="1" applyFill="1" applyBorder="1" applyAlignment="1"/>
    <xf numFmtId="219" fontId="47" fillId="7" borderId="0" xfId="3" applyNumberFormat="1" applyFont="1" applyFill="1" applyBorder="1" applyAlignment="1"/>
    <xf numFmtId="0" fontId="56" fillId="11" borderId="0" xfId="3" applyFont="1" applyFill="1"/>
    <xf numFmtId="0" fontId="46" fillId="7" borderId="0" xfId="0" applyFont="1" applyFill="1" applyBorder="1"/>
    <xf numFmtId="0" fontId="45" fillId="7" borderId="0" xfId="3" applyFont="1" applyFill="1" applyBorder="1" applyAlignment="1">
      <alignment horizontal="centerContinuous"/>
    </xf>
    <xf numFmtId="0" fontId="62" fillId="7" borderId="0" xfId="3" applyFont="1" applyFill="1" applyBorder="1" applyAlignment="1">
      <alignment horizontal="centerContinuous"/>
    </xf>
    <xf numFmtId="0" fontId="65" fillId="7" borderId="0" xfId="3" applyFont="1" applyFill="1" applyBorder="1" applyAlignment="1">
      <alignment horizontal="right"/>
    </xf>
    <xf numFmtId="0" fontId="66" fillId="0" borderId="0" xfId="3" applyFont="1" applyFill="1" applyBorder="1"/>
    <xf numFmtId="211" fontId="36" fillId="0" borderId="12" xfId="3" applyNumberFormat="1" applyFont="1" applyBorder="1"/>
    <xf numFmtId="0" fontId="36" fillId="0" borderId="0" xfId="3" applyFont="1" applyFill="1" applyBorder="1"/>
    <xf numFmtId="211" fontId="30" fillId="0" borderId="0" xfId="3" applyNumberFormat="1" applyFont="1" applyFill="1"/>
    <xf numFmtId="221" fontId="39" fillId="0" borderId="0" xfId="3" applyNumberFormat="1" applyFont="1" applyFill="1" applyBorder="1" applyAlignment="1">
      <alignment horizontal="center"/>
    </xf>
    <xf numFmtId="211" fontId="32" fillId="0" borderId="0" xfId="3" applyNumberFormat="1" applyFont="1" applyFill="1" applyAlignment="1">
      <alignment horizontal="right"/>
    </xf>
    <xf numFmtId="209" fontId="49" fillId="0" borderId="0" xfId="3" applyNumberFormat="1" applyFont="1"/>
    <xf numFmtId="0" fontId="68" fillId="0" borderId="0" xfId="3" applyFont="1" applyBorder="1"/>
    <xf numFmtId="0" fontId="54" fillId="8" borderId="0" xfId="3" applyFont="1" applyFill="1" applyBorder="1"/>
    <xf numFmtId="9" fontId="32" fillId="0" borderId="0" xfId="3" applyNumberFormat="1" applyFont="1" applyBorder="1"/>
    <xf numFmtId="180" fontId="32" fillId="0" borderId="0" xfId="3" applyNumberFormat="1" applyFont="1"/>
    <xf numFmtId="0" fontId="69" fillId="0" borderId="0" xfId="3" applyFont="1" applyBorder="1" applyAlignment="1">
      <alignment horizontal="right" indent="1"/>
    </xf>
    <xf numFmtId="211" fontId="32" fillId="0" borderId="2" xfId="3" applyNumberFormat="1" applyFont="1" applyFill="1" applyBorder="1"/>
    <xf numFmtId="0" fontId="30" fillId="0" borderId="0" xfId="3" applyFont="1" applyAlignment="1">
      <alignment horizontal="left" indent="1"/>
    </xf>
    <xf numFmtId="0" fontId="30" fillId="0" borderId="0" xfId="3" applyFont="1" applyBorder="1" applyAlignment="1">
      <alignment horizontal="center"/>
    </xf>
    <xf numFmtId="223" fontId="30" fillId="0" borderId="0" xfId="3" applyNumberFormat="1" applyFont="1" applyBorder="1"/>
    <xf numFmtId="232" fontId="30" fillId="0" borderId="0" xfId="3" applyNumberFormat="1" applyFont="1" applyBorder="1"/>
    <xf numFmtId="0" fontId="34" fillId="9" borderId="16" xfId="3" applyFont="1" applyFill="1" applyBorder="1" applyAlignment="1">
      <alignment horizontal="left"/>
    </xf>
    <xf numFmtId="0" fontId="58" fillId="9" borderId="16" xfId="3" applyFont="1" applyFill="1" applyBorder="1" applyAlignment="1">
      <alignment horizontal="centerContinuous"/>
    </xf>
    <xf numFmtId="0" fontId="58" fillId="9" borderId="16" xfId="3" applyFont="1" applyFill="1" applyBorder="1"/>
    <xf numFmtId="211" fontId="32" fillId="0" borderId="0" xfId="3" applyNumberFormat="1" applyFont="1" applyBorder="1" applyAlignment="1">
      <alignment horizontal="right"/>
    </xf>
    <xf numFmtId="216" fontId="30" fillId="0" borderId="0" xfId="3" applyNumberFormat="1" applyFont="1" applyBorder="1"/>
    <xf numFmtId="209" fontId="32" fillId="0" borderId="0" xfId="3" applyNumberFormat="1" applyFont="1" applyFill="1"/>
    <xf numFmtId="218" fontId="32" fillId="0" borderId="0" xfId="3" applyNumberFormat="1" applyFont="1" applyFill="1" applyAlignment="1">
      <alignment horizontal="right"/>
    </xf>
    <xf numFmtId="218" fontId="32" fillId="0" borderId="0" xfId="3" applyNumberFormat="1" applyFont="1" applyFill="1"/>
    <xf numFmtId="220" fontId="54" fillId="8" borderId="0" xfId="3" applyNumberFormat="1" applyFont="1" applyFill="1" applyBorder="1" applyAlignment="1">
      <alignment horizontal="left"/>
    </xf>
    <xf numFmtId="218" fontId="39" fillId="0" borderId="0" xfId="3" applyNumberFormat="1" applyFont="1" applyAlignment="1">
      <alignment horizontal="right"/>
    </xf>
    <xf numFmtId="209" fontId="32" fillId="0" borderId="14" xfId="3" applyNumberFormat="1" applyFont="1" applyBorder="1"/>
    <xf numFmtId="209" fontId="32" fillId="0" borderId="13" xfId="3" applyNumberFormat="1" applyFont="1" applyBorder="1"/>
    <xf numFmtId="211" fontId="30" fillId="0" borderId="2" xfId="3" applyNumberFormat="1" applyFont="1" applyFill="1" applyBorder="1"/>
    <xf numFmtId="211" fontId="30" fillId="0" borderId="0" xfId="3" applyNumberFormat="1" applyFont="1" applyBorder="1" applyAlignment="1">
      <alignment horizontal="right"/>
    </xf>
    <xf numFmtId="211" fontId="39" fillId="0" borderId="0" xfId="3" applyNumberFormat="1" applyFont="1" applyFill="1" applyBorder="1" applyAlignment="1">
      <alignment horizontal="right"/>
    </xf>
    <xf numFmtId="0" fontId="30" fillId="0" borderId="0" xfId="3" applyFont="1" applyBorder="1"/>
    <xf numFmtId="0" fontId="36" fillId="0" borderId="0" xfId="3" applyFont="1" applyAlignment="1">
      <alignment horizontal="left" indent="1"/>
    </xf>
    <xf numFmtId="164" fontId="39" fillId="0" borderId="0" xfId="3" applyNumberFormat="1" applyFont="1"/>
    <xf numFmtId="211" fontId="32" fillId="0" borderId="14" xfId="3" applyNumberFormat="1" applyFont="1" applyFill="1" applyBorder="1" applyAlignment="1">
      <alignment horizontal="right"/>
    </xf>
    <xf numFmtId="10" fontId="38" fillId="0" borderId="0" xfId="3" applyNumberFormat="1" applyFont="1" applyBorder="1" applyAlignment="1">
      <alignment horizontal="center"/>
    </xf>
    <xf numFmtId="228" fontId="54" fillId="8" borderId="0" xfId="3" applyNumberFormat="1" applyFont="1" applyFill="1" applyBorder="1" applyAlignment="1">
      <alignment horizontal="center"/>
    </xf>
    <xf numFmtId="225" fontId="54" fillId="8" borderId="0" xfId="3" applyNumberFormat="1" applyFont="1" applyFill="1" applyBorder="1" applyAlignment="1">
      <alignment horizontal="center"/>
    </xf>
    <xf numFmtId="226" fontId="39" fillId="0" borderId="22" xfId="3" applyNumberFormat="1" applyFont="1" applyFill="1" applyBorder="1" applyAlignment="1">
      <alignment horizontal="right"/>
    </xf>
    <xf numFmtId="213" fontId="32" fillId="0" borderId="0" xfId="3" applyNumberFormat="1" applyFont="1" applyFill="1" applyAlignment="1">
      <alignment horizontal="right"/>
    </xf>
    <xf numFmtId="182" fontId="30" fillId="0" borderId="0" xfId="3" applyNumberFormat="1" applyFont="1" applyFill="1" applyBorder="1" applyAlignment="1">
      <alignment horizontal="right"/>
    </xf>
    <xf numFmtId="182" fontId="33" fillId="0" borderId="0" xfId="3" applyNumberFormat="1" applyFont="1" applyFill="1" applyBorder="1" applyAlignment="1">
      <alignment horizontal="right"/>
    </xf>
    <xf numFmtId="213" fontId="32" fillId="0" borderId="14" xfId="3" applyNumberFormat="1" applyFont="1" applyFill="1" applyBorder="1"/>
    <xf numFmtId="213" fontId="32" fillId="0" borderId="0" xfId="3" applyNumberFormat="1" applyFont="1" applyFill="1" applyBorder="1"/>
    <xf numFmtId="178" fontId="32" fillId="0" borderId="0" xfId="3" applyNumberFormat="1" applyFont="1" applyFill="1" applyBorder="1" applyAlignment="1">
      <alignment horizontal="right"/>
    </xf>
    <xf numFmtId="209" fontId="49" fillId="0" borderId="0" xfId="3" applyNumberFormat="1" applyFont="1" applyFill="1"/>
    <xf numFmtId="209" fontId="30" fillId="0" borderId="0" xfId="3" applyNumberFormat="1" applyFont="1" applyFill="1"/>
    <xf numFmtId="213" fontId="32" fillId="0" borderId="0" xfId="3" applyNumberFormat="1" applyFont="1" applyFill="1" applyBorder="1" applyAlignment="1">
      <alignment horizontal="left"/>
    </xf>
    <xf numFmtId="0" fontId="37" fillId="0" borderId="0" xfId="3" applyFont="1" applyFill="1" applyBorder="1" applyAlignment="1">
      <alignment horizontal="right"/>
    </xf>
    <xf numFmtId="223" fontId="32" fillId="0" borderId="0" xfId="3" applyNumberFormat="1" applyFont="1" applyBorder="1"/>
    <xf numFmtId="216" fontId="30" fillId="0" borderId="0" xfId="3" applyNumberFormat="1" applyFont="1" applyFill="1" applyBorder="1"/>
    <xf numFmtId="218" fontId="49" fillId="0" borderId="0" xfId="3" applyNumberFormat="1" applyFont="1"/>
    <xf numFmtId="0" fontId="37" fillId="0" borderId="0" xfId="3" applyFont="1" applyAlignment="1">
      <alignment horizontal="left" indent="1"/>
    </xf>
    <xf numFmtId="0" fontId="32" fillId="0" borderId="0" xfId="3" quotePrefix="1" applyFont="1" applyBorder="1"/>
    <xf numFmtId="168" fontId="32" fillId="0" borderId="0" xfId="3" applyNumberFormat="1" applyFont="1" applyFill="1" applyBorder="1"/>
    <xf numFmtId="168" fontId="32" fillId="0" borderId="0" xfId="3" applyNumberFormat="1" applyFont="1"/>
    <xf numFmtId="211" fontId="32" fillId="0" borderId="14" xfId="3" applyNumberFormat="1" applyFont="1" applyBorder="1"/>
    <xf numFmtId="211" fontId="36" fillId="0" borderId="13" xfId="3" applyNumberFormat="1" applyFont="1" applyBorder="1"/>
    <xf numFmtId="211" fontId="36" fillId="0" borderId="14" xfId="3" applyNumberFormat="1" applyFont="1" applyFill="1" applyBorder="1"/>
    <xf numFmtId="178" fontId="30" fillId="0" borderId="0" xfId="3" applyNumberFormat="1" applyFont="1"/>
    <xf numFmtId="218" fontId="30" fillId="0" borderId="0" xfId="3" applyNumberFormat="1" applyFont="1" applyFill="1"/>
    <xf numFmtId="211" fontId="32" fillId="0" borderId="13" xfId="3" applyNumberFormat="1" applyFont="1" applyBorder="1"/>
    <xf numFmtId="178" fontId="30" fillId="0" borderId="0" xfId="3" applyNumberFormat="1" applyFont="1" applyBorder="1"/>
    <xf numFmtId="210" fontId="36" fillId="0" borderId="14" xfId="3" applyNumberFormat="1" applyFont="1" applyBorder="1"/>
    <xf numFmtId="210" fontId="36" fillId="0" borderId="0" xfId="3" applyNumberFormat="1" applyFont="1" applyBorder="1"/>
    <xf numFmtId="220" fontId="54" fillId="8" borderId="0" xfId="3" applyNumberFormat="1" applyFont="1" applyFill="1" applyBorder="1" applyAlignment="1">
      <alignment horizontal="center"/>
    </xf>
    <xf numFmtId="228" fontId="54" fillId="8" borderId="17" xfId="3" applyNumberFormat="1" applyFont="1" applyFill="1" applyBorder="1" applyAlignment="1">
      <alignment horizontal="center"/>
    </xf>
    <xf numFmtId="224" fontId="54" fillId="8" borderId="0" xfId="3" applyNumberFormat="1" applyFont="1" applyFill="1" applyBorder="1" applyAlignment="1">
      <alignment horizontal="center"/>
    </xf>
    <xf numFmtId="172" fontId="30" fillId="0" borderId="0" xfId="3" applyNumberFormat="1" applyFont="1"/>
    <xf numFmtId="211" fontId="32" fillId="0" borderId="12" xfId="3" applyNumberFormat="1" applyFont="1" applyBorder="1"/>
    <xf numFmtId="0" fontId="36" fillId="0" borderId="0" xfId="3" applyFont="1" applyBorder="1" applyAlignment="1">
      <alignment horizontal="left" indent="1"/>
    </xf>
    <xf numFmtId="211" fontId="32" fillId="0" borderId="0" xfId="3" applyNumberFormat="1" applyFont="1" applyFill="1" applyBorder="1" applyAlignment="1">
      <alignment horizontal="center"/>
    </xf>
    <xf numFmtId="211" fontId="32" fillId="0" borderId="14" xfId="3" applyNumberFormat="1" applyFont="1" applyFill="1" applyBorder="1"/>
    <xf numFmtId="211" fontId="32" fillId="0" borderId="0" xfId="3" applyNumberFormat="1" applyFont="1" applyBorder="1" applyAlignment="1">
      <alignment horizontal="center"/>
    </xf>
    <xf numFmtId="209" fontId="30" fillId="0" borderId="0" xfId="3" applyNumberFormat="1" applyFont="1" applyBorder="1" applyAlignment="1">
      <alignment horizontal="center"/>
    </xf>
    <xf numFmtId="9" fontId="32" fillId="0" borderId="0" xfId="3" applyNumberFormat="1" applyFont="1" applyBorder="1" applyAlignment="1">
      <alignment horizontal="center"/>
    </xf>
    <xf numFmtId="211" fontId="32" fillId="0" borderId="28" xfId="3" applyNumberFormat="1" applyFont="1" applyBorder="1"/>
    <xf numFmtId="211" fontId="32" fillId="0" borderId="29" xfId="3" applyNumberFormat="1" applyFont="1" applyBorder="1"/>
    <xf numFmtId="211" fontId="32" fillId="0" borderId="30" xfId="3" applyNumberFormat="1" applyFont="1" applyBorder="1"/>
    <xf numFmtId="10" fontId="32" fillId="0" borderId="0" xfId="3" applyNumberFormat="1" applyFont="1" applyBorder="1"/>
    <xf numFmtId="232" fontId="32" fillId="0" borderId="22" xfId="3" applyNumberFormat="1" applyFont="1" applyBorder="1"/>
    <xf numFmtId="232" fontId="32" fillId="0" borderId="23" xfId="3" applyNumberFormat="1" applyFont="1" applyBorder="1"/>
    <xf numFmtId="232" fontId="32" fillId="0" borderId="24" xfId="3" applyNumberFormat="1" applyFont="1" applyBorder="1"/>
    <xf numFmtId="0" fontId="30" fillId="0" borderId="22" xfId="3" applyFont="1" applyBorder="1" applyAlignment="1">
      <alignment horizontal="center"/>
    </xf>
    <xf numFmtId="223" fontId="30" fillId="0" borderId="23" xfId="3" applyNumberFormat="1" applyFont="1" applyBorder="1"/>
    <xf numFmtId="232" fontId="30" fillId="0" borderId="23" xfId="3" applyNumberFormat="1" applyFont="1" applyBorder="1"/>
    <xf numFmtId="232" fontId="30" fillId="0" borderId="24" xfId="3" applyNumberFormat="1" applyFont="1" applyBorder="1"/>
    <xf numFmtId="210" fontId="39" fillId="0" borderId="0" xfId="3" applyNumberFormat="1" applyFont="1" applyFill="1" applyBorder="1" applyAlignment="1">
      <alignment horizontal="right"/>
    </xf>
    <xf numFmtId="0" fontId="40" fillId="0" borderId="0" xfId="3" applyNumberFormat="1" applyFont="1" applyFill="1" applyAlignment="1">
      <alignment horizontal="right"/>
    </xf>
    <xf numFmtId="218" fontId="30" fillId="0" borderId="0" xfId="3" applyNumberFormat="1" applyFont="1" applyFill="1" applyAlignment="1">
      <alignment horizontal="right"/>
    </xf>
    <xf numFmtId="213" fontId="39" fillId="0" borderId="14" xfId="3" applyNumberFormat="1" applyFont="1" applyFill="1" applyBorder="1"/>
    <xf numFmtId="213" fontId="30" fillId="0" borderId="0" xfId="3" applyNumberFormat="1" applyFont="1" applyFill="1" applyBorder="1" applyAlignment="1">
      <alignment horizontal="left"/>
    </xf>
    <xf numFmtId="168" fontId="33" fillId="0" borderId="0" xfId="3" applyNumberFormat="1" applyFont="1"/>
    <xf numFmtId="0" fontId="37" fillId="0" borderId="0" xfId="3" applyFont="1" applyAlignment="1">
      <alignment horizontal="left"/>
    </xf>
    <xf numFmtId="37" fontId="33" fillId="5" borderId="5" xfId="3" applyNumberFormat="1" applyFont="1" applyFill="1" applyBorder="1" applyAlignment="1">
      <alignment horizontal="centerContinuous"/>
    </xf>
    <xf numFmtId="224" fontId="36" fillId="0" borderId="0" xfId="3" applyNumberFormat="1" applyFont="1" applyFill="1" applyBorder="1" applyAlignment="1">
      <alignment horizontal="center"/>
    </xf>
    <xf numFmtId="225" fontId="36" fillId="0" borderId="0" xfId="3" applyNumberFormat="1" applyFont="1" applyFill="1" applyBorder="1" applyAlignment="1">
      <alignment horizontal="center"/>
    </xf>
    <xf numFmtId="0" fontId="36" fillId="0" borderId="0" xfId="3" applyFont="1" applyBorder="1" applyAlignment="1">
      <alignment horizontal="center"/>
    </xf>
    <xf numFmtId="0" fontId="60" fillId="0" borderId="0" xfId="3" applyFont="1"/>
    <xf numFmtId="37" fontId="36" fillId="0" borderId="5" xfId="3" applyNumberFormat="1" applyFont="1" applyBorder="1" applyAlignment="1">
      <alignment horizontal="centerContinuous"/>
    </xf>
    <xf numFmtId="218" fontId="32" fillId="0" borderId="11" xfId="3" applyNumberFormat="1" applyFont="1" applyBorder="1"/>
    <xf numFmtId="0" fontId="30" fillId="0" borderId="8" xfId="3" applyFont="1" applyBorder="1" applyAlignment="1">
      <alignment horizontal="center"/>
    </xf>
    <xf numFmtId="0" fontId="30" fillId="0" borderId="8" xfId="3" applyFont="1" applyBorder="1"/>
    <xf numFmtId="216" fontId="51" fillId="0" borderId="0" xfId="3" applyNumberFormat="1" applyFont="1" applyBorder="1" applyAlignment="1">
      <alignment horizontal="center"/>
    </xf>
    <xf numFmtId="216" fontId="41" fillId="0" borderId="0" xfId="3" applyNumberFormat="1" applyFont="1" applyAlignment="1">
      <alignment horizontal="center"/>
    </xf>
    <xf numFmtId="216" fontId="41" fillId="0" borderId="0" xfId="3" applyNumberFormat="1" applyFont="1" applyBorder="1" applyAlignment="1">
      <alignment horizontal="center"/>
    </xf>
    <xf numFmtId="211" fontId="36" fillId="0" borderId="0" xfId="3" applyNumberFormat="1" applyFont="1" applyFill="1" applyBorder="1"/>
    <xf numFmtId="0" fontId="39" fillId="0" borderId="0" xfId="3" applyFont="1" applyFill="1" applyBorder="1" applyAlignment="1">
      <alignment horizontal="centerContinuous"/>
    </xf>
    <xf numFmtId="230" fontId="32" fillId="0" borderId="0" xfId="3" applyNumberFormat="1" applyFont="1" applyBorder="1"/>
    <xf numFmtId="210" fontId="36" fillId="0" borderId="0" xfId="3" applyNumberFormat="1" applyFont="1" applyFill="1" applyBorder="1"/>
    <xf numFmtId="216" fontId="49" fillId="0" borderId="0" xfId="3" applyNumberFormat="1" applyFont="1" applyBorder="1"/>
    <xf numFmtId="221" fontId="36" fillId="0" borderId="0" xfId="3" applyNumberFormat="1" applyFont="1" applyFill="1" applyBorder="1" applyAlignment="1">
      <alignment horizontal="left"/>
    </xf>
    <xf numFmtId="221" fontId="36" fillId="0" borderId="0" xfId="3" applyNumberFormat="1" applyFont="1" applyFill="1" applyBorder="1" applyAlignment="1">
      <alignment horizontal="center"/>
    </xf>
    <xf numFmtId="220" fontId="36" fillId="0" borderId="8" xfId="3" applyNumberFormat="1" applyFont="1" applyFill="1" applyBorder="1" applyAlignment="1">
      <alignment horizontal="center"/>
    </xf>
    <xf numFmtId="220" fontId="36" fillId="0" borderId="4" xfId="3" applyNumberFormat="1" applyFont="1" applyFill="1" applyBorder="1" applyAlignment="1">
      <alignment horizontal="center"/>
    </xf>
    <xf numFmtId="221" fontId="36" fillId="0" borderId="4" xfId="3" applyNumberFormat="1" applyFont="1" applyFill="1" applyBorder="1" applyAlignment="1">
      <alignment horizontal="center"/>
    </xf>
    <xf numFmtId="222" fontId="36" fillId="0" borderId="4" xfId="3" applyNumberFormat="1" applyFont="1" applyFill="1" applyBorder="1" applyAlignment="1">
      <alignment horizontal="center"/>
    </xf>
    <xf numFmtId="0" fontId="60" fillId="0" borderId="0" xfId="3" applyFont="1" applyBorder="1"/>
    <xf numFmtId="37" fontId="36" fillId="0" borderId="5" xfId="3" applyNumberFormat="1" applyFont="1" applyBorder="1" applyAlignment="1">
      <alignment horizontal="center"/>
    </xf>
    <xf numFmtId="218" fontId="32" fillId="0" borderId="10" xfId="3" applyNumberFormat="1" applyFont="1" applyFill="1" applyBorder="1"/>
    <xf numFmtId="180" fontId="30" fillId="0" borderId="0" xfId="3" applyNumberFormat="1" applyFont="1" applyFill="1"/>
    <xf numFmtId="218" fontId="32" fillId="0" borderId="4" xfId="3" applyNumberFormat="1" applyFont="1" applyBorder="1"/>
    <xf numFmtId="0" fontId="70" fillId="0" borderId="0" xfId="3" applyFont="1" applyFill="1"/>
    <xf numFmtId="0" fontId="63" fillId="0" borderId="0" xfId="3" applyFont="1" applyBorder="1" applyAlignment="1">
      <alignment horizontal="left"/>
    </xf>
    <xf numFmtId="217" fontId="39" fillId="0" borderId="4" xfId="3" applyNumberFormat="1" applyFont="1" applyBorder="1" applyAlignment="1">
      <alignment horizontal="center"/>
    </xf>
    <xf numFmtId="209" fontId="30" fillId="0" borderId="2" xfId="3" applyNumberFormat="1" applyFont="1" applyBorder="1"/>
    <xf numFmtId="209" fontId="32" fillId="0" borderId="2" xfId="3" applyNumberFormat="1" applyFont="1" applyBorder="1"/>
    <xf numFmtId="209" fontId="32" fillId="0" borderId="15" xfId="3" applyNumberFormat="1" applyFont="1" applyBorder="1"/>
    <xf numFmtId="211" fontId="37" fillId="0" borderId="0" xfId="3" applyNumberFormat="1" applyFont="1"/>
    <xf numFmtId="227" fontId="32" fillId="0" borderId="0" xfId="3" applyNumberFormat="1" applyFont="1"/>
    <xf numFmtId="231" fontId="32" fillId="0" borderId="0" xfId="3" applyNumberFormat="1" applyFont="1"/>
    <xf numFmtId="0" fontId="71" fillId="0" borderId="0" xfId="3" applyFont="1" applyFill="1" applyBorder="1" applyAlignment="1">
      <alignment horizontal="centerContinuous"/>
    </xf>
    <xf numFmtId="0" fontId="39" fillId="0" borderId="0" xfId="0" applyFont="1" applyFill="1"/>
    <xf numFmtId="217" fontId="39" fillId="0" borderId="0" xfId="3" applyNumberFormat="1" applyFont="1" applyFill="1" applyBorder="1" applyAlignment="1">
      <alignment horizontal="center"/>
    </xf>
    <xf numFmtId="0" fontId="72" fillId="0" borderId="0" xfId="3" applyFont="1" applyFill="1" applyAlignment="1">
      <alignment horizontal="right"/>
    </xf>
    <xf numFmtId="0" fontId="73" fillId="10" borderId="0" xfId="67" applyFont="1" applyFill="1"/>
    <xf numFmtId="0" fontId="73" fillId="0" borderId="0" xfId="67" applyFont="1" applyFill="1" applyBorder="1"/>
    <xf numFmtId="0" fontId="74" fillId="0" borderId="0" xfId="67" applyFont="1" applyFill="1" applyBorder="1" applyProtection="1">
      <protection locked="0"/>
    </xf>
    <xf numFmtId="0" fontId="67" fillId="0" borderId="0" xfId="67" applyFont="1" applyFill="1" applyBorder="1" applyAlignment="1">
      <alignment horizontal="right"/>
    </xf>
    <xf numFmtId="0" fontId="73" fillId="0" borderId="0" xfId="67" applyFont="1" applyFill="1" applyBorder="1" applyProtection="1">
      <protection locked="0"/>
    </xf>
    <xf numFmtId="0" fontId="76" fillId="0" borderId="0" xfId="68" applyFont="1" applyFill="1" applyBorder="1" applyProtection="1">
      <protection locked="0"/>
    </xf>
    <xf numFmtId="0" fontId="73" fillId="0" borderId="21" xfId="67" applyFont="1" applyFill="1" applyBorder="1"/>
    <xf numFmtId="0" fontId="77" fillId="0" borderId="0" xfId="69" applyFont="1" applyFill="1" applyBorder="1"/>
    <xf numFmtId="0" fontId="78" fillId="7" borderId="0" xfId="67" applyFont="1" applyFill="1" applyBorder="1"/>
    <xf numFmtId="0" fontId="73" fillId="7" borderId="0" xfId="67" applyFont="1" applyFill="1" applyBorder="1"/>
    <xf numFmtId="0" fontId="73" fillId="11" borderId="0" xfId="67" applyFont="1" applyFill="1"/>
    <xf numFmtId="0" fontId="78" fillId="7" borderId="0" xfId="67" applyFont="1" applyFill="1"/>
    <xf numFmtId="218" fontId="32" fillId="0" borderId="19" xfId="3" applyNumberFormat="1" applyFont="1" applyBorder="1" applyAlignment="1">
      <alignment horizontal="right"/>
    </xf>
    <xf numFmtId="0" fontId="67" fillId="0" borderId="2" xfId="67" applyFont="1" applyFill="1" applyBorder="1" applyProtection="1">
      <protection locked="0"/>
    </xf>
    <xf numFmtId="211" fontId="30" fillId="0" borderId="18" xfId="3" applyNumberFormat="1" applyFont="1" applyBorder="1" applyAlignment="1">
      <alignment horizontal="right"/>
    </xf>
    <xf numFmtId="209" fontId="39" fillId="0" borderId="0" xfId="3" applyNumberFormat="1" applyFont="1" applyFill="1"/>
    <xf numFmtId="0" fontId="36" fillId="0" borderId="27" xfId="3" applyFont="1" applyFill="1" applyBorder="1"/>
    <xf numFmtId="0" fontId="32" fillId="0" borderId="21" xfId="3" applyFont="1" applyFill="1" applyBorder="1"/>
    <xf numFmtId="0" fontId="32" fillId="0" borderId="25" xfId="3" applyFont="1" applyFill="1" applyBorder="1"/>
    <xf numFmtId="0" fontId="32" fillId="0" borderId="11" xfId="3" applyFont="1" applyFill="1" applyBorder="1"/>
    <xf numFmtId="0" fontId="32" fillId="0" borderId="4" xfId="3" applyFont="1" applyFill="1" applyBorder="1"/>
    <xf numFmtId="216" fontId="32" fillId="0" borderId="10" xfId="3" applyNumberFormat="1" applyFont="1" applyFill="1" applyBorder="1"/>
    <xf numFmtId="211" fontId="32" fillId="0" borderId="26" xfId="3" applyNumberFormat="1" applyFont="1" applyBorder="1"/>
    <xf numFmtId="211" fontId="32" fillId="0" borderId="23" xfId="3" applyNumberFormat="1" applyFont="1" applyBorder="1"/>
    <xf numFmtId="211" fontId="32" fillId="0" borderId="24" xfId="3" applyNumberFormat="1" applyFont="1" applyBorder="1"/>
    <xf numFmtId="209" fontId="40" fillId="0" borderId="23" xfId="3" applyNumberFormat="1" applyFont="1" applyBorder="1"/>
    <xf numFmtId="0" fontId="30" fillId="0" borderId="0" xfId="3" quotePrefix="1" applyFont="1" applyAlignment="1">
      <alignment horizontal="left" indent="1"/>
    </xf>
    <xf numFmtId="211" fontId="32" fillId="0" borderId="31" xfId="3" applyNumberFormat="1" applyFont="1" applyBorder="1"/>
    <xf numFmtId="211" fontId="32" fillId="0" borderId="32" xfId="3" applyNumberFormat="1" applyFont="1" applyBorder="1"/>
    <xf numFmtId="211" fontId="32" fillId="0" borderId="33" xfId="3" applyNumberFormat="1" applyFont="1" applyBorder="1"/>
    <xf numFmtId="211" fontId="39" fillId="0" borderId="33" xfId="3" applyNumberFormat="1" applyFont="1" applyBorder="1"/>
    <xf numFmtId="211" fontId="39" fillId="0" borderId="31" xfId="3" applyNumberFormat="1" applyFont="1" applyBorder="1"/>
    <xf numFmtId="211" fontId="39" fillId="0" borderId="14" xfId="3" applyNumberFormat="1" applyFont="1" applyBorder="1"/>
    <xf numFmtId="209" fontId="32" fillId="0" borderId="26" xfId="3" applyNumberFormat="1" applyFont="1" applyBorder="1"/>
    <xf numFmtId="209" fontId="32" fillId="0" borderId="23" xfId="3" applyNumberFormat="1" applyFont="1" applyBorder="1"/>
    <xf numFmtId="0" fontId="32" fillId="0" borderId="0" xfId="3" applyFont="1" applyBorder="1" applyAlignment="1">
      <alignment horizontal="left" indent="1"/>
    </xf>
    <xf numFmtId="9" fontId="38" fillId="0" borderId="0" xfId="3" applyNumberFormat="1" applyFont="1" applyBorder="1" applyAlignment="1">
      <alignment horizontal="center"/>
    </xf>
    <xf numFmtId="0" fontId="32" fillId="0" borderId="2" xfId="3" applyFont="1" applyBorder="1"/>
    <xf numFmtId="0" fontId="0" fillId="0" borderId="2" xfId="0" applyBorder="1"/>
    <xf numFmtId="216" fontId="30" fillId="0" borderId="26" xfId="3" applyNumberFormat="1" applyFont="1" applyBorder="1"/>
    <xf numFmtId="216" fontId="30" fillId="0" borderId="23" xfId="3" applyNumberFormat="1" applyFont="1" applyBorder="1"/>
    <xf numFmtId="216" fontId="30" fillId="0" borderId="24" xfId="3" applyNumberFormat="1" applyFont="1" applyBorder="1"/>
    <xf numFmtId="211" fontId="40" fillId="0" borderId="26" xfId="3" applyNumberFormat="1" applyFont="1" applyBorder="1"/>
    <xf numFmtId="211" fontId="40" fillId="0" borderId="23" xfId="3" applyNumberFormat="1" applyFont="1" applyBorder="1"/>
    <xf numFmtId="211" fontId="40" fillId="0" borderId="24" xfId="3" applyNumberFormat="1" applyFont="1" applyBorder="1"/>
    <xf numFmtId="211" fontId="40" fillId="0" borderId="2" xfId="3" applyNumberFormat="1" applyFont="1" applyBorder="1"/>
    <xf numFmtId="211" fontId="32" fillId="0" borderId="24" xfId="3" applyNumberFormat="1" applyFont="1" applyFill="1" applyBorder="1" applyAlignment="1">
      <alignment horizontal="right"/>
    </xf>
    <xf numFmtId="209" fontId="32" fillId="0" borderId="24" xfId="3" applyNumberFormat="1" applyFont="1" applyBorder="1"/>
    <xf numFmtId="211" fontId="32" fillId="0" borderId="21" xfId="3" applyNumberFormat="1" applyFont="1" applyBorder="1"/>
    <xf numFmtId="216" fontId="39" fillId="0" borderId="0" xfId="3" applyNumberFormat="1" applyFont="1"/>
    <xf numFmtId="216" fontId="39" fillId="0" borderId="26" xfId="3" applyNumberFormat="1" applyFont="1" applyBorder="1"/>
    <xf numFmtId="216" fontId="39" fillId="0" borderId="23" xfId="3" applyNumberFormat="1" applyFont="1" applyBorder="1"/>
    <xf numFmtId="218" fontId="39" fillId="0" borderId="0" xfId="3" applyNumberFormat="1" applyFont="1"/>
    <xf numFmtId="216" fontId="32" fillId="0" borderId="0" xfId="3" applyNumberFormat="1" applyFont="1" applyFill="1" applyBorder="1"/>
    <xf numFmtId="216" fontId="30" fillId="0" borderId="23" xfId="3" applyNumberFormat="1" applyFont="1" applyFill="1" applyBorder="1"/>
    <xf numFmtId="216" fontId="32" fillId="0" borderId="23" xfId="3" applyNumberFormat="1" applyFont="1" applyFill="1" applyBorder="1"/>
    <xf numFmtId="218" fontId="32" fillId="0" borderId="0" xfId="3" applyNumberFormat="1" applyFont="1" applyFill="1" applyBorder="1"/>
    <xf numFmtId="211" fontId="39" fillId="0" borderId="26" xfId="3" applyNumberFormat="1" applyFont="1" applyBorder="1"/>
    <xf numFmtId="211" fontId="39" fillId="0" borderId="23" xfId="3" applyNumberFormat="1" applyFont="1" applyBorder="1"/>
    <xf numFmtId="209" fontId="39" fillId="0" borderId="0" xfId="3" applyNumberFormat="1" applyFont="1" applyBorder="1"/>
    <xf numFmtId="0" fontId="32" fillId="0" borderId="0" xfId="3" applyFont="1" applyFill="1" applyAlignment="1">
      <alignment horizontal="left"/>
    </xf>
    <xf numFmtId="216" fontId="32" fillId="0" borderId="0" xfId="3" applyNumberFormat="1" applyFont="1"/>
    <xf numFmtId="218" fontId="32" fillId="0" borderId="0" xfId="3" applyNumberFormat="1" applyFont="1" applyFill="1" applyBorder="1" applyAlignment="1">
      <alignment horizontal="right"/>
    </xf>
    <xf numFmtId="0" fontId="61" fillId="0" borderId="0" xfId="3" applyFont="1" applyBorder="1" applyAlignment="1">
      <alignment horizontal="right"/>
    </xf>
    <xf numFmtId="0" fontId="36" fillId="0" borderId="0" xfId="3" applyFont="1" applyFill="1" applyBorder="1" applyAlignment="1">
      <alignment horizontal="right"/>
    </xf>
    <xf numFmtId="209" fontId="32" fillId="0" borderId="0" xfId="3" applyNumberFormat="1" applyFont="1" applyBorder="1" applyAlignment="1">
      <alignment horizontal="right"/>
    </xf>
    <xf numFmtId="211" fontId="32" fillId="0" borderId="0" xfId="3" applyNumberFormat="1" applyFont="1" applyAlignment="1">
      <alignment horizontal="right"/>
    </xf>
    <xf numFmtId="178" fontId="32" fillId="0" borderId="0" xfId="3" applyNumberFormat="1" applyFont="1" applyAlignment="1">
      <alignment horizontal="right"/>
    </xf>
    <xf numFmtId="171" fontId="32" fillId="0" borderId="0" xfId="3" applyNumberFormat="1" applyFont="1" applyBorder="1" applyAlignment="1">
      <alignment horizontal="right"/>
    </xf>
    <xf numFmtId="168" fontId="53" fillId="0" borderId="0" xfId="3" applyNumberFormat="1" applyFont="1" applyBorder="1" applyAlignment="1">
      <alignment horizontal="right"/>
    </xf>
    <xf numFmtId="217" fontId="32" fillId="0" borderId="2" xfId="3" applyNumberFormat="1" applyFont="1" applyFill="1" applyBorder="1" applyAlignment="1">
      <alignment horizontal="center"/>
    </xf>
    <xf numFmtId="209" fontId="39" fillId="0" borderId="2" xfId="3" applyNumberFormat="1" applyFont="1" applyBorder="1"/>
    <xf numFmtId="211" fontId="30" fillId="0" borderId="18" xfId="3" applyNumberFormat="1" applyFont="1" applyBorder="1" applyAlignment="1">
      <alignment horizontal="right" vertical="center"/>
    </xf>
    <xf numFmtId="210" fontId="0" fillId="0" borderId="0" xfId="0" applyNumberFormat="1"/>
    <xf numFmtId="0" fontId="93" fillId="0" borderId="0" xfId="3" applyFont="1"/>
    <xf numFmtId="0" fontId="93" fillId="0" borderId="0" xfId="3" applyFont="1" applyBorder="1"/>
    <xf numFmtId="226" fontId="30" fillId="0" borderId="21" xfId="3" applyNumberFormat="1" applyFont="1" applyBorder="1"/>
    <xf numFmtId="218" fontId="30" fillId="0" borderId="0" xfId="3" applyNumberFormat="1" applyFont="1" applyBorder="1"/>
    <xf numFmtId="218" fontId="56" fillId="0" borderId="0" xfId="3" quotePrefix="1" applyNumberFormat="1" applyFont="1" applyAlignment="1">
      <alignment horizontal="right"/>
    </xf>
    <xf numFmtId="218" fontId="56" fillId="0" borderId="0" xfId="3" quotePrefix="1" applyNumberFormat="1" applyFont="1" applyBorder="1" applyAlignment="1">
      <alignment horizontal="right"/>
    </xf>
    <xf numFmtId="218" fontId="37" fillId="0" borderId="0" xfId="3" applyNumberFormat="1" applyFont="1" applyBorder="1"/>
    <xf numFmtId="168" fontId="39" fillId="0" borderId="0" xfId="3" applyNumberFormat="1" applyFont="1"/>
    <xf numFmtId="168" fontId="49" fillId="0" borderId="0" xfId="3" applyNumberFormat="1" applyFont="1"/>
    <xf numFmtId="209" fontId="32" fillId="0" borderId="28" xfId="3" applyNumberFormat="1" applyFont="1" applyBorder="1"/>
    <xf numFmtId="209" fontId="32" fillId="0" borderId="21" xfId="3" applyNumberFormat="1" applyFont="1" applyBorder="1"/>
    <xf numFmtId="211" fontId="48" fillId="0" borderId="0" xfId="3" quotePrefix="1" applyNumberFormat="1" applyFont="1" applyAlignment="1">
      <alignment horizontal="right"/>
    </xf>
    <xf numFmtId="218" fontId="37" fillId="0" borderId="0" xfId="3" applyNumberFormat="1" applyFont="1" applyAlignment="1">
      <alignment horizontal="right"/>
    </xf>
    <xf numFmtId="218" fontId="32" fillId="0" borderId="11" xfId="3" applyNumberFormat="1" applyFont="1" applyBorder="1" applyAlignment="1">
      <alignment horizontal="center"/>
    </xf>
    <xf numFmtId="218" fontId="32" fillId="0" borderId="4" xfId="3" applyNumberFormat="1" applyFont="1" applyBorder="1" applyAlignment="1">
      <alignment horizontal="center"/>
    </xf>
    <xf numFmtId="218" fontId="32" fillId="0" borderId="10" xfId="3" applyNumberFormat="1" applyFont="1" applyBorder="1" applyAlignment="1">
      <alignment horizontal="center"/>
    </xf>
    <xf numFmtId="209" fontId="32" fillId="0" borderId="36" xfId="3" applyNumberFormat="1" applyFont="1" applyBorder="1"/>
    <xf numFmtId="209" fontId="32" fillId="0" borderId="35" xfId="3" applyNumberFormat="1" applyFont="1" applyBorder="1"/>
    <xf numFmtId="211" fontId="38" fillId="0" borderId="36" xfId="3" applyNumberFormat="1" applyFont="1" applyBorder="1"/>
    <xf numFmtId="211" fontId="38" fillId="0" borderId="0" xfId="3" applyNumberFormat="1" applyFont="1" applyBorder="1"/>
    <xf numFmtId="211" fontId="38" fillId="0" borderId="35" xfId="3" applyNumberFormat="1" applyFont="1" applyBorder="1"/>
    <xf numFmtId="211" fontId="95" fillId="0" borderId="36" xfId="3" applyNumberFormat="1" applyFont="1" applyBorder="1"/>
    <xf numFmtId="210" fontId="36" fillId="0" borderId="36" xfId="3" applyNumberFormat="1" applyFont="1" applyBorder="1"/>
    <xf numFmtId="210" fontId="36" fillId="0" borderId="35" xfId="3" applyNumberFormat="1" applyFont="1" applyBorder="1"/>
    <xf numFmtId="218" fontId="32" fillId="0" borderId="36" xfId="3" applyNumberFormat="1" applyFont="1" applyBorder="1"/>
    <xf numFmtId="218" fontId="32" fillId="0" borderId="0" xfId="3" applyNumberFormat="1" applyFont="1" applyBorder="1"/>
    <xf numFmtId="218" fontId="32" fillId="0" borderId="35" xfId="3" applyNumberFormat="1" applyFont="1" applyBorder="1"/>
    <xf numFmtId="218" fontId="32" fillId="0" borderId="3" xfId="3" applyNumberFormat="1" applyFont="1" applyBorder="1"/>
    <xf numFmtId="218" fontId="32" fillId="0" borderId="2" xfId="3" applyNumberFormat="1" applyFont="1" applyBorder="1"/>
    <xf numFmtId="218" fontId="32" fillId="0" borderId="34" xfId="3" applyNumberFormat="1" applyFont="1" applyBorder="1"/>
    <xf numFmtId="0" fontId="32" fillId="0" borderId="0" xfId="3" applyNumberFormat="1" applyFont="1" applyBorder="1"/>
    <xf numFmtId="182" fontId="94" fillId="0" borderId="0" xfId="3" applyNumberFormat="1" applyFont="1" applyAlignment="1">
      <alignment horizontal="center"/>
    </xf>
    <xf numFmtId="182" fontId="36" fillId="0" borderId="0" xfId="3" applyNumberFormat="1" applyFont="1" applyAlignment="1">
      <alignment horizontal="center"/>
    </xf>
    <xf numFmtId="226" fontId="32" fillId="0" borderId="3" xfId="3" applyNumberFormat="1" applyFont="1" applyFill="1" applyBorder="1"/>
    <xf numFmtId="226" fontId="32" fillId="0" borderId="2" xfId="3" applyNumberFormat="1" applyFont="1" applyFill="1" applyBorder="1"/>
    <xf numFmtId="226" fontId="32" fillId="0" borderId="34" xfId="3" applyNumberFormat="1" applyFont="1" applyFill="1" applyBorder="1"/>
    <xf numFmtId="0" fontId="41" fillId="0" borderId="21" xfId="3" applyFont="1" applyBorder="1"/>
    <xf numFmtId="0" fontId="50" fillId="0" borderId="0" xfId="3" applyFont="1" applyBorder="1"/>
    <xf numFmtId="0" fontId="53" fillId="0" borderId="0" xfId="3" applyFont="1" applyBorder="1"/>
    <xf numFmtId="0" fontId="32" fillId="0" borderId="11" xfId="3" applyFont="1" applyBorder="1"/>
    <xf numFmtId="215" fontId="39" fillId="0" borderId="10" xfId="3" applyNumberFormat="1" applyFont="1" applyFill="1" applyBorder="1" applyAlignment="1">
      <alignment horizontal="right"/>
    </xf>
    <xf numFmtId="0" fontId="33" fillId="0" borderId="5" xfId="3" applyFont="1" applyBorder="1" applyAlignment="1">
      <alignment horizontal="center"/>
    </xf>
    <xf numFmtId="0" fontId="32" fillId="0" borderId="4" xfId="3" applyFont="1" applyBorder="1"/>
    <xf numFmtId="0" fontId="32" fillId="0" borderId="10" xfId="3" applyFont="1" applyBorder="1"/>
    <xf numFmtId="215" fontId="32" fillId="0" borderId="11" xfId="3" applyNumberFormat="1" applyFont="1" applyFill="1" applyBorder="1" applyAlignment="1">
      <alignment horizontal="right"/>
    </xf>
    <xf numFmtId="215" fontId="32" fillId="0" borderId="4" xfId="3" applyNumberFormat="1" applyFont="1" applyFill="1" applyBorder="1" applyAlignment="1">
      <alignment horizontal="right"/>
    </xf>
    <xf numFmtId="215" fontId="32" fillId="0" borderId="10" xfId="3" applyNumberFormat="1" applyFont="1" applyFill="1" applyBorder="1" applyAlignment="1">
      <alignment horizontal="right"/>
    </xf>
    <xf numFmtId="0" fontId="38" fillId="0" borderId="27" xfId="3" applyFont="1" applyBorder="1"/>
    <xf numFmtId="211" fontId="32" fillId="0" borderId="25" xfId="3" applyNumberFormat="1" applyFont="1" applyBorder="1"/>
    <xf numFmtId="215" fontId="39" fillId="0" borderId="0" xfId="3" applyNumberFormat="1" applyFont="1" applyFill="1" applyBorder="1" applyAlignment="1">
      <alignment horizontal="right"/>
    </xf>
    <xf numFmtId="215" fontId="32" fillId="0" borderId="0" xfId="3" applyNumberFormat="1" applyFont="1" applyFill="1" applyBorder="1" applyAlignment="1">
      <alignment horizontal="right"/>
    </xf>
    <xf numFmtId="0" fontId="32" fillId="0" borderId="36" xfId="3" applyFont="1" applyBorder="1" applyAlignment="1">
      <alignment horizontal="left" indent="1"/>
    </xf>
    <xf numFmtId="211" fontId="32" fillId="0" borderId="35" xfId="3" applyNumberFormat="1" applyFont="1" applyBorder="1"/>
    <xf numFmtId="0" fontId="32" fillId="0" borderId="3" xfId="3" applyFont="1" applyBorder="1" applyAlignment="1">
      <alignment horizontal="left" indent="1"/>
    </xf>
    <xf numFmtId="211" fontId="32" fillId="0" borderId="34" xfId="3" applyNumberFormat="1" applyFont="1" applyBorder="1"/>
    <xf numFmtId="0" fontId="41" fillId="0" borderId="0" xfId="3" applyFont="1" applyBorder="1"/>
    <xf numFmtId="217" fontId="49" fillId="0" borderId="0" xfId="3" applyNumberFormat="1" applyFont="1" applyAlignment="1">
      <alignment horizontal="right"/>
    </xf>
    <xf numFmtId="0" fontId="41" fillId="0" borderId="2" xfId="3" applyFont="1" applyBorder="1"/>
    <xf numFmtId="171" fontId="32" fillId="0" borderId="2" xfId="3" applyNumberFormat="1" applyFont="1" applyBorder="1"/>
    <xf numFmtId="211" fontId="41" fillId="0" borderId="0" xfId="3" applyNumberFormat="1" applyFont="1" applyBorder="1" applyAlignment="1">
      <alignment horizontal="right" indent="1"/>
    </xf>
    <xf numFmtId="0" fontId="38" fillId="0" borderId="0" xfId="3" quotePrefix="1" applyFont="1" applyAlignment="1">
      <alignment horizontal="left"/>
    </xf>
    <xf numFmtId="0" fontId="62" fillId="7" borderId="7" xfId="3" applyFont="1" applyFill="1" applyBorder="1" applyAlignment="1">
      <alignment horizontal="centerContinuous"/>
    </xf>
    <xf numFmtId="0" fontId="65" fillId="7" borderId="7" xfId="3" applyFont="1" applyFill="1" applyBorder="1" applyAlignment="1">
      <alignment horizontal="right"/>
    </xf>
    <xf numFmtId="0" fontId="45" fillId="7" borderId="7" xfId="3" applyFont="1" applyFill="1" applyBorder="1" applyAlignment="1">
      <alignment horizontal="left"/>
    </xf>
    <xf numFmtId="0" fontId="32" fillId="10" borderId="0" xfId="3" applyFont="1" applyFill="1" applyBorder="1"/>
    <xf numFmtId="209" fontId="39" fillId="0" borderId="31" xfId="3" applyNumberFormat="1" applyFont="1" applyBorder="1"/>
    <xf numFmtId="209" fontId="39" fillId="0" borderId="32" xfId="3" applyNumberFormat="1" applyFont="1" applyBorder="1"/>
    <xf numFmtId="209" fontId="39" fillId="0" borderId="37" xfId="3" applyNumberFormat="1" applyFont="1" applyBorder="1"/>
    <xf numFmtId="0" fontId="94" fillId="10" borderId="0" xfId="3" applyFont="1" applyFill="1" applyBorder="1" applyAlignment="1">
      <alignment horizontal="centerContinuous"/>
    </xf>
    <xf numFmtId="0" fontId="93" fillId="0" borderId="0" xfId="3" applyFont="1" applyFill="1" applyBorder="1"/>
    <xf numFmtId="0" fontId="62" fillId="0" borderId="0" xfId="3" applyFont="1" applyFill="1" applyBorder="1" applyAlignment="1">
      <alignment horizontal="centerContinuous"/>
    </xf>
    <xf numFmtId="0" fontId="65" fillId="0" borderId="0" xfId="3" applyFont="1" applyFill="1" applyBorder="1" applyAlignment="1">
      <alignment horizontal="right"/>
    </xf>
    <xf numFmtId="211" fontId="48" fillId="0" borderId="0" xfId="3" quotePrefix="1" applyNumberFormat="1" applyFont="1" applyFill="1" applyAlignment="1">
      <alignment horizontal="right"/>
    </xf>
    <xf numFmtId="210" fontId="41" fillId="0" borderId="0" xfId="3" applyNumberFormat="1" applyFont="1" applyFill="1" applyBorder="1" applyAlignment="1">
      <alignment horizontal="center"/>
    </xf>
    <xf numFmtId="211" fontId="41" fillId="0" borderId="0" xfId="3" applyNumberFormat="1" applyFont="1" applyFill="1" applyBorder="1" applyAlignment="1">
      <alignment horizontal="right" indent="1"/>
    </xf>
    <xf numFmtId="173" fontId="94" fillId="0" borderId="3" xfId="3" applyNumberFormat="1" applyFont="1" applyBorder="1" applyAlignment="1">
      <alignment horizontal="centerContinuous"/>
    </xf>
    <xf numFmtId="173" fontId="94" fillId="0" borderId="34" xfId="3" applyNumberFormat="1" applyFont="1" applyBorder="1" applyAlignment="1">
      <alignment horizontal="centerContinuous"/>
    </xf>
    <xf numFmtId="218" fontId="36" fillId="0" borderId="36" xfId="3" applyNumberFormat="1" applyFont="1" applyBorder="1" applyAlignment="1">
      <alignment horizontal="right"/>
    </xf>
    <xf numFmtId="218" fontId="36" fillId="0" borderId="0" xfId="3" applyNumberFormat="1" applyFont="1" applyBorder="1" applyAlignment="1">
      <alignment horizontal="right"/>
    </xf>
    <xf numFmtId="218" fontId="36" fillId="0" borderId="35" xfId="3" applyNumberFormat="1" applyFont="1" applyBorder="1" applyAlignment="1">
      <alignment horizontal="right"/>
    </xf>
    <xf numFmtId="173" fontId="36" fillId="0" borderId="2" xfId="3" applyNumberFormat="1" applyFont="1" applyBorder="1" applyAlignment="1">
      <alignment horizontal="centerContinuous"/>
    </xf>
    <xf numFmtId="173" fontId="94" fillId="0" borderId="2" xfId="3" applyNumberFormat="1" applyFont="1" applyBorder="1" applyAlignment="1">
      <alignment horizontal="centerContinuous"/>
    </xf>
    <xf numFmtId="0" fontId="46" fillId="10" borderId="0" xfId="3" applyFont="1" applyFill="1" applyBorder="1"/>
    <xf numFmtId="0" fontId="65" fillId="10" borderId="0" xfId="3" applyFont="1" applyFill="1" applyBorder="1"/>
    <xf numFmtId="171" fontId="96" fillId="0" borderId="2" xfId="3" applyNumberFormat="1" applyFont="1" applyBorder="1"/>
    <xf numFmtId="0" fontId="96" fillId="0" borderId="2" xfId="3" applyFont="1" applyBorder="1"/>
    <xf numFmtId="0" fontId="97" fillId="0" borderId="2" xfId="3" applyFont="1" applyBorder="1"/>
    <xf numFmtId="171" fontId="97" fillId="0" borderId="2" xfId="3" applyNumberFormat="1" applyFont="1" applyBorder="1"/>
    <xf numFmtId="0" fontId="97" fillId="0" borderId="0" xfId="3" applyFont="1" applyBorder="1"/>
    <xf numFmtId="171" fontId="97" fillId="0" borderId="0" xfId="3" applyNumberFormat="1" applyFont="1" applyBorder="1" applyAlignment="1">
      <alignment horizontal="center"/>
    </xf>
    <xf numFmtId="210" fontId="97" fillId="0" borderId="0" xfId="3" applyNumberFormat="1" applyFont="1" applyBorder="1" applyAlignment="1">
      <alignment horizontal="center"/>
    </xf>
    <xf numFmtId="211" fontId="98" fillId="0" borderId="21" xfId="3" applyNumberFormat="1" applyFont="1" applyBorder="1" applyAlignment="1">
      <alignment horizontal="right" indent="1"/>
    </xf>
    <xf numFmtId="210" fontId="98" fillId="0" borderId="21" xfId="3" applyNumberFormat="1" applyFont="1" applyBorder="1"/>
    <xf numFmtId="216" fontId="97" fillId="0" borderId="0" xfId="3" applyNumberFormat="1" applyFont="1" applyBorder="1"/>
    <xf numFmtId="211" fontId="97" fillId="0" borderId="21" xfId="3" applyNumberFormat="1" applyFont="1" applyBorder="1" applyAlignment="1">
      <alignment horizontal="right" indent="1"/>
    </xf>
    <xf numFmtId="211" fontId="98" fillId="0" borderId="0" xfId="3" applyNumberFormat="1" applyFont="1" applyBorder="1" applyAlignment="1">
      <alignment horizontal="right" indent="1"/>
    </xf>
    <xf numFmtId="213" fontId="98" fillId="0" borderId="0" xfId="3" applyNumberFormat="1" applyFont="1" applyBorder="1"/>
    <xf numFmtId="211" fontId="97" fillId="0" borderId="0" xfId="3" applyNumberFormat="1" applyFont="1" applyBorder="1" applyAlignment="1">
      <alignment horizontal="right" indent="1"/>
    </xf>
    <xf numFmtId="210" fontId="97" fillId="0" borderId="21" xfId="3" applyNumberFormat="1" applyFont="1" applyBorder="1"/>
    <xf numFmtId="213" fontId="97" fillId="0" borderId="0" xfId="3" applyNumberFormat="1" applyFont="1" applyBorder="1"/>
    <xf numFmtId="0" fontId="65" fillId="10" borderId="0" xfId="3" applyFont="1" applyFill="1"/>
    <xf numFmtId="0" fontId="94" fillId="10" borderId="0" xfId="3" applyFont="1" applyFill="1"/>
    <xf numFmtId="0" fontId="32" fillId="10" borderId="0" xfId="3" applyFont="1" applyFill="1"/>
    <xf numFmtId="0" fontId="65" fillId="10" borderId="0" xfId="3" applyFont="1" applyFill="1" applyBorder="1" applyAlignment="1">
      <alignment horizontal="left"/>
    </xf>
    <xf numFmtId="222" fontId="32" fillId="8" borderId="2" xfId="3" applyNumberFormat="1" applyFont="1" applyFill="1" applyBorder="1" applyAlignment="1">
      <alignment horizontal="center"/>
    </xf>
    <xf numFmtId="0" fontId="37" fillId="0" borderId="2" xfId="3" applyFont="1" applyBorder="1" applyAlignment="1">
      <alignment horizontal="left" indent="1"/>
    </xf>
    <xf numFmtId="211" fontId="48" fillId="0" borderId="2" xfId="3" quotePrefix="1" applyNumberFormat="1" applyFont="1" applyBorder="1" applyAlignment="1">
      <alignment horizontal="right"/>
    </xf>
    <xf numFmtId="218" fontId="37" fillId="0" borderId="2" xfId="3" applyNumberFormat="1" applyFont="1" applyBorder="1" applyAlignment="1">
      <alignment horizontal="right"/>
    </xf>
    <xf numFmtId="218" fontId="30" fillId="0" borderId="2" xfId="3" applyNumberFormat="1" applyFont="1" applyBorder="1"/>
    <xf numFmtId="211" fontId="48" fillId="0" borderId="0" xfId="3" quotePrefix="1" applyNumberFormat="1" applyFont="1" applyBorder="1" applyAlignment="1">
      <alignment horizontal="right"/>
    </xf>
    <xf numFmtId="218" fontId="37" fillId="0" borderId="0" xfId="3" applyNumberFormat="1" applyFont="1" applyBorder="1" applyAlignment="1">
      <alignment horizontal="right"/>
    </xf>
    <xf numFmtId="0" fontId="97" fillId="0" borderId="0" xfId="3" applyFont="1" applyBorder="1" applyAlignment="1">
      <alignment horizontal="left"/>
    </xf>
    <xf numFmtId="0" fontId="44" fillId="11" borderId="0" xfId="3" applyFont="1" applyFill="1" applyBorder="1"/>
  </cellXfs>
  <cellStyles count="89">
    <cellStyle name="$0.0;($0.0)" xfId="1" xr:uid="{00000000-0005-0000-0000-000000000000}"/>
    <cellStyle name="$0.00;($0.00)" xfId="2" xr:uid="{00000000-0005-0000-0000-000001000000}"/>
    <cellStyle name="******************************************" xfId="3" xr:uid="{00000000-0005-0000-0000-000002000000}"/>
    <cellStyle name="0000" xfId="4" xr:uid="{00000000-0005-0000-0000-000003000000}"/>
    <cellStyle name="000000" xfId="5" xr:uid="{00000000-0005-0000-0000-000004000000}"/>
    <cellStyle name="After Percent" xfId="6" xr:uid="{00000000-0005-0000-0000-000005000000}"/>
    <cellStyle name="after_multiple" xfId="7" xr:uid="{00000000-0005-0000-0000-000006000000}"/>
    <cellStyle name="blank" xfId="8" xr:uid="{00000000-0005-0000-0000-000007000000}"/>
    <cellStyle name="Body_$Dollars" xfId="9" xr:uid="{00000000-0005-0000-0000-000008000000}"/>
    <cellStyle name="Center" xfId="10" xr:uid="{00000000-0005-0000-0000-000009000000}"/>
    <cellStyle name="ChartingText" xfId="70" xr:uid="{00000000-0005-0000-0000-00000A000000}"/>
    <cellStyle name="CHPTop" xfId="71" xr:uid="{00000000-0005-0000-0000-00000B000000}"/>
    <cellStyle name="ColumnHeaderNormal" xfId="72" xr:uid="{00000000-0005-0000-0000-00000C000000}"/>
    <cellStyle name="Comma" xfId="11" builtinId="3"/>
    <cellStyle name="Comma [1]" xfId="12" xr:uid="{00000000-0005-0000-0000-00000E000000}"/>
    <cellStyle name="Comma 1 (show zero)" xfId="13" xr:uid="{00000000-0005-0000-0000-00000F000000}"/>
    <cellStyle name="Comma 2" xfId="73" xr:uid="{00000000-0005-0000-0000-000010000000}"/>
    <cellStyle name="Comma 3" xfId="74" xr:uid="{00000000-0005-0000-0000-000011000000}"/>
    <cellStyle name="Currency [1]" xfId="14" xr:uid="{00000000-0005-0000-0000-000012000000}"/>
    <cellStyle name="Currency0" xfId="15" xr:uid="{00000000-0005-0000-0000-000013000000}"/>
    <cellStyle name="Currency1" xfId="16" xr:uid="{00000000-0005-0000-0000-000014000000}"/>
    <cellStyle name="Currency2" xfId="17" xr:uid="{00000000-0005-0000-0000-000015000000}"/>
    <cellStyle name="Date" xfId="18" xr:uid="{00000000-0005-0000-0000-000016000000}"/>
    <cellStyle name="Dollar [1]" xfId="19" xr:uid="{00000000-0005-0000-0000-000017000000}"/>
    <cellStyle name="Dollars" xfId="20" xr:uid="{00000000-0005-0000-0000-000018000000}"/>
    <cellStyle name="ExchangeRatio" xfId="21" xr:uid="{00000000-0005-0000-0000-000019000000}"/>
    <cellStyle name="EY%colcalc" xfId="22" xr:uid="{00000000-0005-0000-0000-00001A000000}"/>
    <cellStyle name="EY%input" xfId="23" xr:uid="{00000000-0005-0000-0000-00001B000000}"/>
    <cellStyle name="EY%rowcalc" xfId="24" xr:uid="{00000000-0005-0000-0000-00001C000000}"/>
    <cellStyle name="EY0dp" xfId="25" xr:uid="{00000000-0005-0000-0000-00001D000000}"/>
    <cellStyle name="EY1dp" xfId="26" xr:uid="{00000000-0005-0000-0000-00001E000000}"/>
    <cellStyle name="EY2dp" xfId="27" xr:uid="{00000000-0005-0000-0000-00001F000000}"/>
    <cellStyle name="EY3dp" xfId="28" xr:uid="{00000000-0005-0000-0000-000020000000}"/>
    <cellStyle name="EYColumnHeading" xfId="29" xr:uid="{00000000-0005-0000-0000-000021000000}"/>
    <cellStyle name="EYHeading1" xfId="30" xr:uid="{00000000-0005-0000-0000-000022000000}"/>
    <cellStyle name="EYheading2" xfId="31" xr:uid="{00000000-0005-0000-0000-000023000000}"/>
    <cellStyle name="EYheading3" xfId="32" xr:uid="{00000000-0005-0000-0000-000024000000}"/>
    <cellStyle name="EYnumber" xfId="33" xr:uid="{00000000-0005-0000-0000-000025000000}"/>
    <cellStyle name="EYSheetHeader1" xfId="34" xr:uid="{00000000-0005-0000-0000-000026000000}"/>
    <cellStyle name="EYtext" xfId="35" xr:uid="{00000000-0005-0000-0000-000027000000}"/>
    <cellStyle name="Grey" xfId="36" xr:uid="{00000000-0005-0000-0000-000028000000}"/>
    <cellStyle name="Header" xfId="37" xr:uid="{00000000-0005-0000-0000-000029000000}"/>
    <cellStyle name="Header1" xfId="38" xr:uid="{00000000-0005-0000-0000-00002A000000}"/>
    <cellStyle name="Header2" xfId="39" xr:uid="{00000000-0005-0000-0000-00002B000000}"/>
    <cellStyle name="Hyperlink" xfId="68" builtinId="8"/>
    <cellStyle name="Hyperlink 2 2" xfId="69" xr:uid="{00000000-0005-0000-0000-00002D000000}"/>
    <cellStyle name="Input" xfId="40" builtinId="20" customBuiltin="1"/>
    <cellStyle name="Input [yellow]" xfId="41" xr:uid="{00000000-0005-0000-0000-00002F000000}"/>
    <cellStyle name="integer" xfId="42" xr:uid="{00000000-0005-0000-0000-000030000000}"/>
    <cellStyle name="Invisible" xfId="75" xr:uid="{00000000-0005-0000-0000-000031000000}"/>
    <cellStyle name="MonthDate" xfId="43" xr:uid="{00000000-0005-0000-0000-000032000000}"/>
    <cellStyle name="Multiple" xfId="44" xr:uid="{00000000-0005-0000-0000-000033000000}"/>
    <cellStyle name="NewColumnHeaderNormal" xfId="76" xr:uid="{00000000-0005-0000-0000-000034000000}"/>
    <cellStyle name="NewSectionHeaderNormal" xfId="77" xr:uid="{00000000-0005-0000-0000-000035000000}"/>
    <cellStyle name="NewTitleNormal" xfId="78" xr:uid="{00000000-0005-0000-0000-000036000000}"/>
    <cellStyle name="Normal" xfId="0" builtinId="0"/>
    <cellStyle name="Normal - Style1" xfId="45" xr:uid="{00000000-0005-0000-0000-000038000000}"/>
    <cellStyle name="Normal 2" xfId="66" xr:uid="{00000000-0005-0000-0000-000039000000}"/>
    <cellStyle name="Normal 2 2" xfId="67" xr:uid="{00000000-0005-0000-0000-00003A000000}"/>
    <cellStyle name="Normal 3" xfId="79" xr:uid="{00000000-0005-0000-0000-00003B000000}"/>
    <cellStyle name="Number0" xfId="46" xr:uid="{00000000-0005-0000-0000-00003C000000}"/>
    <cellStyle name="Number1" xfId="47" xr:uid="{00000000-0005-0000-0000-00003D000000}"/>
    <cellStyle name="Number2" xfId="48" xr:uid="{00000000-0005-0000-0000-00003E000000}"/>
    <cellStyle name="Percent (0)" xfId="49" xr:uid="{00000000-0005-0000-0000-00003F000000}"/>
    <cellStyle name="Percent [2]" xfId="50" xr:uid="{00000000-0005-0000-0000-000040000000}"/>
    <cellStyle name="Percent 2" xfId="80" xr:uid="{00000000-0005-0000-0000-000041000000}"/>
    <cellStyle name="Percent 3" xfId="81" xr:uid="{00000000-0005-0000-0000-000042000000}"/>
    <cellStyle name="PSChar" xfId="51" xr:uid="{00000000-0005-0000-0000-000043000000}"/>
    <cellStyle name="PSDate" xfId="52" xr:uid="{00000000-0005-0000-0000-000044000000}"/>
    <cellStyle name="PSDec" xfId="53" xr:uid="{00000000-0005-0000-0000-000045000000}"/>
    <cellStyle name="PSHeading" xfId="54" xr:uid="{00000000-0005-0000-0000-000046000000}"/>
    <cellStyle name="PSInt" xfId="55" xr:uid="{00000000-0005-0000-0000-000047000000}"/>
    <cellStyle name="PSSpacer" xfId="56" xr:uid="{00000000-0005-0000-0000-000048000000}"/>
    <cellStyle name="Regular" xfId="57" xr:uid="{00000000-0005-0000-0000-000049000000}"/>
    <cellStyle name="SectionHeaderNormal" xfId="82" xr:uid="{00000000-0005-0000-0000-00004A000000}"/>
    <cellStyle name="Short Date" xfId="58" xr:uid="{00000000-0005-0000-0000-00004B000000}"/>
    <cellStyle name="SubScript" xfId="83" xr:uid="{00000000-0005-0000-0000-00004C000000}"/>
    <cellStyle name="SuperScript" xfId="84" xr:uid="{00000000-0005-0000-0000-00004D000000}"/>
    <cellStyle name="t" xfId="59" xr:uid="{00000000-0005-0000-0000-00004E000000}"/>
    <cellStyle name="Table_Header" xfId="60" xr:uid="{00000000-0005-0000-0000-00004F000000}"/>
    <cellStyle name="taples Plaza" xfId="61" xr:uid="{00000000-0005-0000-0000-000050000000}"/>
    <cellStyle name="TextBold" xfId="85" xr:uid="{00000000-0005-0000-0000-000051000000}"/>
    <cellStyle name="TextItalic" xfId="86" xr:uid="{00000000-0005-0000-0000-000052000000}"/>
    <cellStyle name="TextNormal" xfId="87" xr:uid="{00000000-0005-0000-0000-000053000000}"/>
    <cellStyle name="TitleNormal" xfId="88" xr:uid="{00000000-0005-0000-0000-000054000000}"/>
    <cellStyle name="Underline_Double" xfId="62" xr:uid="{00000000-0005-0000-0000-000055000000}"/>
    <cellStyle name="Validation" xfId="63" xr:uid="{00000000-0005-0000-0000-000056000000}"/>
    <cellStyle name="WhiteCells" xfId="64" xr:uid="{00000000-0005-0000-0000-000057000000}"/>
    <cellStyle name="WingDing" xfId="65" xr:uid="{00000000-0005-0000-0000-000058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40000"/>
      <rgbColor rgb="0000FF00"/>
      <rgbColor rgb="000000FF"/>
      <rgbColor rgb="00FFFF00"/>
      <rgbColor rgb="00FF00FF"/>
      <rgbColor rgb="0000FFFF"/>
      <rgbColor rgb="00800000"/>
      <rgbColor rgb="00008000"/>
      <rgbColor rgb="00001C5C"/>
      <rgbColor rgb="00461A3E"/>
      <rgbColor rgb="00461A3E"/>
      <rgbColor rgb="00008080"/>
      <rgbColor rgb="00C0C0C0"/>
      <rgbColor rgb="00808080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4F83B3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B6760"/>
      <rgbColor rgb="00B3AEA4"/>
      <rgbColor rgb="00032043"/>
      <rgbColor rgb="00339966"/>
      <rgbColor rgb="003E862E"/>
      <rgbColor rgb="00CC0000"/>
      <rgbColor rgb="00EDAD1D"/>
      <rgbColor rgb="00993366"/>
      <rgbColor rgb="004F83B3"/>
      <rgbColor rgb="00333333"/>
    </indexedColors>
    <mruColors>
      <color rgb="FFE6E7E8"/>
      <color rgb="FFED942D"/>
      <color rgb="FF132E57"/>
      <color rgb="FFED9423"/>
      <color rgb="FFFA621C"/>
      <color rgb="FFFFFF66"/>
      <color rgb="FFFFFF00"/>
      <color rgb="FF17375E"/>
      <color rgb="FF9999FF"/>
      <color rgb="FF3760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659287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3AAFE5-1D2B-445D-A422-7ECC1F99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799" y="762000"/>
          <a:ext cx="3354863" cy="1581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ug%20Allen\Presentations\creative%203_8_99%20excel%20sup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Fcst"/>
      <sheetName val="J_N slide (2)"/>
      <sheetName val="A (2)"/>
      <sheetName val="J_N slide"/>
      <sheetName val="Order taking _fulfillment (2)"/>
      <sheetName val="Sheet1"/>
      <sheetName val="A"/>
      <sheetName val="Order taking _fulfillment"/>
      <sheetName val="Net Sales Graph"/>
      <sheetName val="Op inc graph"/>
      <sheetName val="op inc as pct t"/>
      <sheetName val="Fall Plan"/>
      <sheetName val="Balance Sheet"/>
      <sheetName val="Fiscal Year"/>
      <sheetName val="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1">
          <cell r="K11">
            <v>2.572728592865095E-2</v>
          </cell>
        </row>
        <row r="12">
          <cell r="K12">
            <v>2.7652109685162959E-2</v>
          </cell>
        </row>
        <row r="13">
          <cell r="K13">
            <v>5.1020408163265307E-2</v>
          </cell>
        </row>
        <row r="14">
          <cell r="K14">
            <v>4.4298773461705888E-2</v>
          </cell>
        </row>
        <row r="15">
          <cell r="K15">
            <v>6.1410836189762938E-2</v>
          </cell>
        </row>
        <row r="16">
          <cell r="K16">
            <v>6.0866833074412194E-2</v>
          </cell>
        </row>
        <row r="17">
          <cell r="K17">
            <v>6.4106534530814496E-2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O50"/>
  <sheetViews>
    <sheetView showGridLines="0" tabSelected="1" zoomScale="115" zoomScaleNormal="115" workbookViewId="0">
      <selection activeCell="U38" sqref="U38"/>
    </sheetView>
  </sheetViews>
  <sheetFormatPr defaultColWidth="10.69921875" defaultRowHeight="14"/>
  <cols>
    <col min="1" max="2" width="12.796875" style="388" customWidth="1"/>
    <col min="3" max="3" width="34" style="388" customWidth="1"/>
    <col min="4" max="22" width="12.796875" style="388" customWidth="1"/>
    <col min="23" max="25" width="10.69921875" style="388"/>
    <col min="26" max="26" width="10.69921875" style="388" customWidth="1"/>
    <col min="27" max="16384" width="10.69921875" style="388"/>
  </cols>
  <sheetData>
    <row r="1" spans="2:15" ht="19.5" customHeight="1"/>
    <row r="2" spans="2:15" ht="19.5" customHeight="1"/>
    <row r="3" spans="2:15" ht="19.5" customHeight="1">
      <c r="B3" s="389"/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</row>
    <row r="4" spans="2:15" ht="19.5" customHeight="1">
      <c r="B4" s="389"/>
      <c r="C4" s="389"/>
      <c r="D4" s="389"/>
      <c r="E4" s="389"/>
      <c r="F4" s="389"/>
      <c r="G4" s="389"/>
      <c r="H4" s="389"/>
      <c r="I4" s="389"/>
      <c r="J4" s="389"/>
      <c r="K4" s="389"/>
      <c r="L4" s="389"/>
      <c r="M4" s="389"/>
      <c r="N4" s="389"/>
      <c r="O4" s="389"/>
    </row>
    <row r="5" spans="2:15" ht="19.5" customHeight="1">
      <c r="B5" s="389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</row>
    <row r="6" spans="2:15" ht="19.5" customHeight="1"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M6" s="389"/>
      <c r="N6" s="389"/>
      <c r="O6" s="389"/>
    </row>
    <row r="7" spans="2:15" ht="19.5" customHeight="1">
      <c r="B7" s="389"/>
      <c r="C7" s="389"/>
      <c r="D7" s="389"/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89"/>
    </row>
    <row r="8" spans="2:15" ht="19.5" customHeight="1"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</row>
    <row r="9" spans="2:15" ht="19.5" customHeight="1">
      <c r="B9" s="389"/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</row>
    <row r="10" spans="2:15" ht="19.5" customHeight="1">
      <c r="B10" s="389"/>
      <c r="C10" s="389"/>
      <c r="D10" s="389"/>
      <c r="E10" s="389"/>
      <c r="F10" s="389"/>
      <c r="G10" s="389"/>
      <c r="H10" s="389"/>
      <c r="I10" s="389"/>
      <c r="J10" s="389"/>
      <c r="K10" s="389"/>
      <c r="L10" s="389"/>
      <c r="M10" s="389"/>
      <c r="N10" s="389"/>
      <c r="O10" s="389"/>
    </row>
    <row r="11" spans="2:15" ht="19.5" customHeight="1"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</row>
    <row r="12" spans="2:15" ht="27">
      <c r="B12" s="389"/>
      <c r="C12" s="390" t="s">
        <v>352</v>
      </c>
      <c r="D12" s="389"/>
      <c r="E12" s="389"/>
      <c r="F12" s="389"/>
      <c r="G12" s="389"/>
      <c r="H12" s="389"/>
      <c r="I12" s="389"/>
      <c r="J12" s="389"/>
      <c r="K12" s="389"/>
      <c r="L12" s="389"/>
      <c r="M12" s="389"/>
      <c r="N12" s="391" t="s">
        <v>212</v>
      </c>
      <c r="O12" s="389"/>
    </row>
    <row r="13" spans="2:15" ht="19.5" customHeight="1">
      <c r="B13" s="389"/>
      <c r="C13" s="392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89"/>
      <c r="O13" s="389"/>
    </row>
    <row r="14" spans="2:15" ht="19.5" customHeight="1">
      <c r="B14" s="389"/>
      <c r="C14" s="401" t="s">
        <v>213</v>
      </c>
      <c r="D14" s="389"/>
      <c r="E14" s="389"/>
      <c r="F14" s="389"/>
      <c r="G14" s="389"/>
      <c r="H14" s="389"/>
      <c r="I14" s="389"/>
      <c r="J14" s="389"/>
      <c r="K14" s="389"/>
      <c r="L14" s="389"/>
      <c r="M14" s="389"/>
      <c r="N14" s="389"/>
      <c r="O14" s="389"/>
    </row>
    <row r="15" spans="2:15" ht="19.5" customHeight="1">
      <c r="B15" s="389"/>
      <c r="C15" s="393" t="s">
        <v>191</v>
      </c>
      <c r="D15" s="389"/>
      <c r="E15" s="389"/>
      <c r="F15" s="389"/>
      <c r="G15" s="389"/>
      <c r="H15" s="389"/>
      <c r="I15" s="389"/>
      <c r="J15" s="389"/>
      <c r="K15" s="389"/>
      <c r="L15" s="389"/>
      <c r="M15" s="389"/>
      <c r="N15" s="389"/>
      <c r="O15" s="389"/>
    </row>
    <row r="16" spans="2:15" ht="19.5" customHeight="1">
      <c r="B16" s="389"/>
      <c r="C16" s="393" t="s">
        <v>268</v>
      </c>
      <c r="D16" s="389"/>
      <c r="E16" s="389"/>
      <c r="F16" s="389"/>
      <c r="G16" s="389"/>
      <c r="H16" s="389"/>
      <c r="I16" s="389"/>
      <c r="J16" s="389"/>
      <c r="K16" s="389"/>
      <c r="L16" s="389"/>
      <c r="M16" s="389"/>
      <c r="N16" s="389"/>
      <c r="O16" s="389"/>
    </row>
    <row r="17" spans="2:15" ht="19.5" customHeight="1">
      <c r="B17" s="389"/>
      <c r="C17" s="393" t="s">
        <v>39</v>
      </c>
      <c r="D17" s="389"/>
      <c r="E17" s="389"/>
      <c r="F17" s="389"/>
      <c r="G17" s="389"/>
      <c r="H17" s="389"/>
      <c r="I17" s="389"/>
      <c r="J17" s="389"/>
      <c r="K17" s="389"/>
      <c r="L17" s="389"/>
      <c r="M17" s="389"/>
      <c r="N17" s="389"/>
      <c r="O17" s="389"/>
    </row>
    <row r="18" spans="2:15" ht="19.5" customHeight="1">
      <c r="B18" s="389"/>
      <c r="C18" s="393" t="s">
        <v>40</v>
      </c>
      <c r="D18" s="389"/>
      <c r="E18" s="389"/>
      <c r="F18" s="389"/>
      <c r="G18" s="389"/>
      <c r="H18" s="389"/>
      <c r="I18" s="389"/>
      <c r="J18" s="389"/>
      <c r="K18" s="389"/>
      <c r="L18" s="389"/>
      <c r="M18" s="389"/>
      <c r="N18" s="389"/>
      <c r="O18" s="389"/>
    </row>
    <row r="19" spans="2:15" ht="19.5" customHeight="1">
      <c r="B19" s="389"/>
      <c r="C19" s="393" t="s">
        <v>269</v>
      </c>
      <c r="D19" s="389"/>
      <c r="E19" s="389"/>
      <c r="F19" s="389"/>
      <c r="G19" s="389"/>
      <c r="H19" s="389"/>
      <c r="I19" s="389"/>
      <c r="J19" s="389"/>
      <c r="K19" s="389"/>
      <c r="L19" s="389"/>
      <c r="M19" s="389"/>
      <c r="N19" s="389"/>
      <c r="O19" s="389"/>
    </row>
    <row r="20" spans="2:15" ht="19.5" customHeight="1">
      <c r="B20" s="389"/>
      <c r="C20" s="393" t="s">
        <v>270</v>
      </c>
      <c r="D20" s="389"/>
      <c r="E20" s="389"/>
      <c r="F20" s="389"/>
      <c r="G20" s="389"/>
      <c r="H20" s="389"/>
      <c r="I20" s="389"/>
      <c r="J20" s="389"/>
      <c r="K20" s="389"/>
      <c r="L20" s="389"/>
      <c r="M20" s="389"/>
      <c r="N20" s="389"/>
      <c r="O20" s="389"/>
    </row>
    <row r="21" spans="2:15" ht="19.5" customHeight="1">
      <c r="B21" s="389"/>
      <c r="C21" s="393" t="s">
        <v>271</v>
      </c>
      <c r="D21" s="389"/>
      <c r="E21" s="389"/>
      <c r="F21" s="389"/>
      <c r="G21" s="389"/>
      <c r="H21" s="389"/>
      <c r="I21" s="389"/>
      <c r="J21" s="389"/>
      <c r="K21" s="389"/>
      <c r="L21" s="389"/>
      <c r="M21" s="389"/>
      <c r="N21" s="389"/>
      <c r="O21" s="389"/>
    </row>
    <row r="22" spans="2:15" ht="19.5" customHeight="1">
      <c r="B22" s="389"/>
      <c r="C22" s="393"/>
      <c r="D22" s="389"/>
      <c r="E22" s="389"/>
      <c r="F22" s="389"/>
      <c r="G22" s="389"/>
      <c r="H22" s="389"/>
      <c r="I22" s="389"/>
      <c r="J22" s="389"/>
      <c r="K22" s="389"/>
      <c r="L22" s="389"/>
      <c r="M22" s="389"/>
      <c r="N22" s="389"/>
      <c r="O22" s="389"/>
    </row>
    <row r="23" spans="2:15" ht="19.5" customHeight="1">
      <c r="B23" s="389"/>
      <c r="C23" s="389" t="s">
        <v>214</v>
      </c>
      <c r="D23" s="389"/>
      <c r="E23" s="389"/>
      <c r="F23" s="389"/>
      <c r="G23" s="389"/>
      <c r="H23" s="389"/>
      <c r="I23" s="389"/>
      <c r="J23" s="389"/>
      <c r="K23" s="389"/>
      <c r="L23" s="389"/>
      <c r="M23" s="389"/>
      <c r="N23" s="389"/>
      <c r="O23" s="389"/>
    </row>
    <row r="24" spans="2:15" ht="19.5" customHeight="1">
      <c r="B24" s="389"/>
      <c r="C24" s="394" t="s">
        <v>215</v>
      </c>
      <c r="D24" s="394"/>
      <c r="E24" s="394"/>
      <c r="F24" s="394"/>
      <c r="G24" s="394"/>
      <c r="H24" s="394"/>
      <c r="I24" s="394"/>
      <c r="J24" s="394"/>
      <c r="K24" s="394"/>
      <c r="L24" s="394"/>
      <c r="M24" s="394"/>
      <c r="N24" s="394"/>
      <c r="O24" s="389"/>
    </row>
    <row r="25" spans="2:15" ht="19.5" customHeight="1">
      <c r="B25" s="389"/>
      <c r="C25" s="389" t="s">
        <v>216</v>
      </c>
      <c r="D25" s="389"/>
      <c r="E25" s="389"/>
      <c r="F25" s="389"/>
      <c r="G25" s="389"/>
      <c r="H25" s="389"/>
      <c r="I25" s="389"/>
      <c r="J25" s="389"/>
      <c r="K25" s="389"/>
      <c r="L25" s="389"/>
      <c r="M25" s="389"/>
      <c r="N25" s="389"/>
      <c r="O25" s="389"/>
    </row>
    <row r="26" spans="2:15" ht="19.5" customHeight="1">
      <c r="B26" s="389"/>
      <c r="C26" s="395" t="s">
        <v>217</v>
      </c>
      <c r="D26" s="389"/>
      <c r="E26" s="389"/>
      <c r="F26" s="389"/>
      <c r="G26" s="389"/>
      <c r="H26" s="389"/>
      <c r="I26" s="389"/>
      <c r="J26" s="389"/>
      <c r="K26" s="389"/>
      <c r="L26" s="389"/>
      <c r="M26" s="389"/>
      <c r="N26" s="389"/>
      <c r="O26" s="389"/>
    </row>
    <row r="27" spans="2:15" ht="19.5" customHeight="1">
      <c r="B27" s="389"/>
      <c r="C27" s="395"/>
      <c r="D27" s="389"/>
      <c r="E27" s="389"/>
      <c r="F27" s="389"/>
      <c r="G27" s="389"/>
      <c r="H27" s="389"/>
      <c r="I27" s="389"/>
      <c r="J27" s="389"/>
      <c r="K27" s="389"/>
      <c r="L27" s="389"/>
      <c r="M27" s="389"/>
      <c r="N27" s="389"/>
      <c r="O27" s="389"/>
    </row>
    <row r="28" spans="2:15" ht="19.5" customHeight="1">
      <c r="B28" s="389"/>
      <c r="C28" s="396" t="s">
        <v>218</v>
      </c>
      <c r="D28" s="397"/>
      <c r="E28" s="397"/>
      <c r="F28" s="397"/>
      <c r="G28" s="397"/>
      <c r="H28" s="397"/>
      <c r="I28" s="397"/>
      <c r="J28" s="397"/>
      <c r="K28" s="397"/>
      <c r="L28" s="397"/>
      <c r="M28" s="397"/>
      <c r="N28" s="397"/>
      <c r="O28" s="389"/>
    </row>
    <row r="29" spans="2:15" ht="19.5" customHeight="1">
      <c r="B29" s="398"/>
      <c r="C29" s="399" t="s">
        <v>219</v>
      </c>
      <c r="D29" s="39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8"/>
    </row>
    <row r="30" spans="2:15" ht="19.5" customHeight="1">
      <c r="B30" s="398"/>
      <c r="C30" s="399" t="s">
        <v>220</v>
      </c>
      <c r="D30" s="39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8"/>
    </row>
    <row r="31" spans="2:15" ht="19.5" customHeight="1">
      <c r="B31" s="398"/>
      <c r="C31" s="399" t="s">
        <v>221</v>
      </c>
      <c r="D31" s="39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8"/>
    </row>
    <row r="32" spans="2:15" ht="19.5" customHeight="1">
      <c r="B32" s="398"/>
      <c r="C32" s="399"/>
      <c r="D32" s="39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8"/>
    </row>
    <row r="33" spans="2:15" ht="19.5" customHeight="1">
      <c r="B33" s="398"/>
      <c r="C33" s="398"/>
      <c r="D33" s="398"/>
      <c r="E33" s="398"/>
      <c r="F33" s="398"/>
      <c r="G33" s="398"/>
      <c r="H33" s="398"/>
      <c r="I33" s="398"/>
      <c r="J33" s="398"/>
      <c r="K33" s="398"/>
      <c r="L33" s="398"/>
      <c r="M33" s="398"/>
      <c r="N33" s="398"/>
      <c r="O33" s="398"/>
    </row>
    <row r="34" spans="2:15" ht="19.5" customHeight="1"/>
    <row r="35" spans="2:15" ht="19.5" customHeight="1"/>
    <row r="36" spans="2:15" ht="19.5" customHeight="1"/>
    <row r="37" spans="2:15" ht="19.5" customHeight="1"/>
    <row r="38" spans="2:15" ht="19.5" customHeight="1"/>
    <row r="39" spans="2:15" ht="19.5" customHeight="1"/>
    <row r="40" spans="2:15" ht="19.5" customHeight="1"/>
    <row r="41" spans="2:15" ht="19.5" customHeight="1"/>
    <row r="42" spans="2:15" ht="19.5" customHeight="1"/>
    <row r="43" spans="2:15" ht="19.5" customHeight="1"/>
    <row r="44" spans="2:15" ht="19.5" customHeight="1"/>
    <row r="45" spans="2:15" ht="19.5" customHeight="1"/>
    <row r="46" spans="2:15" ht="19.5" customHeight="1"/>
    <row r="47" spans="2:15" ht="19.5" customHeight="1"/>
    <row r="48" spans="2:15" ht="19.5" customHeight="1"/>
    <row r="49" ht="19.5" customHeight="1"/>
    <row r="50" ht="19.5" customHeight="1"/>
  </sheetData>
  <hyperlinks>
    <hyperlink ref="C26" r:id="rId1" xr:uid="{00000000-0004-0000-0000-000000000000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54"/>
  <sheetViews>
    <sheetView showGridLines="0" zoomScale="115" zoomScaleNormal="115" zoomScaleSheetLayoutView="115" workbookViewId="0">
      <selection activeCell="D2" sqref="D2"/>
    </sheetView>
  </sheetViews>
  <sheetFormatPr defaultColWidth="9.296875" defaultRowHeight="13"/>
  <cols>
    <col min="1" max="1" width="2.796875" style="9" customWidth="1"/>
    <col min="2" max="8" width="13.296875" style="9" customWidth="1"/>
    <col min="9" max="16384" width="9.296875" style="9"/>
  </cols>
  <sheetData>
    <row r="1" spans="1:8">
      <c r="A1" s="8"/>
    </row>
    <row r="2" spans="1:8" ht="22.5">
      <c r="B2" s="574" t="s">
        <v>272</v>
      </c>
      <c r="C2" s="247"/>
      <c r="D2" s="247"/>
      <c r="E2" s="247"/>
      <c r="F2" s="247"/>
      <c r="G2" s="247"/>
      <c r="H2" s="247"/>
    </row>
    <row r="3" spans="1:8" s="10" customFormat="1" ht="20.149999999999999" customHeight="1">
      <c r="A3" s="9"/>
      <c r="B3" s="244" t="s">
        <v>29</v>
      </c>
      <c r="C3" s="245"/>
      <c r="D3" s="245"/>
      <c r="E3" s="245"/>
      <c r="F3" s="245"/>
      <c r="G3" s="245"/>
      <c r="H3" s="245"/>
    </row>
    <row r="5" spans="1:8">
      <c r="B5" s="9" t="s">
        <v>44</v>
      </c>
      <c r="E5" s="11">
        <v>43643</v>
      </c>
    </row>
    <row r="6" spans="1:8">
      <c r="B6" s="9" t="s">
        <v>94</v>
      </c>
      <c r="E6" s="11">
        <v>43830</v>
      </c>
      <c r="F6" s="12"/>
      <c r="G6" s="13"/>
      <c r="H6" s="13"/>
    </row>
    <row r="7" spans="1:8">
      <c r="G7" s="14"/>
      <c r="H7" s="14"/>
    </row>
    <row r="8" spans="1:8" s="14" customFormat="1" ht="15.5">
      <c r="B8" s="126" t="s">
        <v>353</v>
      </c>
      <c r="C8" s="127"/>
      <c r="D8" s="127"/>
      <c r="E8" s="127"/>
      <c r="F8" s="127"/>
      <c r="G8" s="127"/>
      <c r="H8" s="127"/>
    </row>
    <row r="9" spans="1:8" s="14" customFormat="1">
      <c r="B9" s="14" t="s">
        <v>151</v>
      </c>
      <c r="C9" s="16" t="s">
        <v>246</v>
      </c>
      <c r="E9" s="14" t="s">
        <v>30</v>
      </c>
      <c r="G9" s="17">
        <v>133.24</v>
      </c>
      <c r="H9" s="17"/>
    </row>
    <row r="10" spans="1:8" s="14" customFormat="1">
      <c r="B10" s="14" t="s">
        <v>201</v>
      </c>
      <c r="C10" s="16" t="s">
        <v>222</v>
      </c>
      <c r="G10" s="17"/>
      <c r="H10" s="17"/>
    </row>
    <row r="11" spans="1:8" s="14" customFormat="1">
      <c r="B11" s="14" t="s">
        <v>202</v>
      </c>
      <c r="C11" s="16" t="s">
        <v>223</v>
      </c>
      <c r="G11" s="18" t="s">
        <v>66</v>
      </c>
      <c r="H11" s="18"/>
    </row>
    <row r="12" spans="1:8" s="14" customFormat="1">
      <c r="G12" s="19" t="str">
        <f ca="1">TEXT(C17,"m/d/yy")</f>
        <v>4/19/19</v>
      </c>
      <c r="H12" s="19" t="str">
        <f ca="1">TEXT(C15,"m/d/yy")</f>
        <v>4/19/19</v>
      </c>
    </row>
    <row r="13" spans="1:8" s="14" customFormat="1">
      <c r="B13" s="14" t="s">
        <v>150</v>
      </c>
      <c r="C13" s="20">
        <v>2018</v>
      </c>
      <c r="E13" s="14" t="s">
        <v>35</v>
      </c>
      <c r="G13" s="21">
        <v>136.007689</v>
      </c>
      <c r="H13" s="434">
        <f ca="1">+ashares</f>
        <v>136.007689</v>
      </c>
    </row>
    <row r="14" spans="1:8" s="14" customFormat="1">
      <c r="B14" s="14" t="s">
        <v>147</v>
      </c>
      <c r="C14" s="11">
        <v>43465</v>
      </c>
      <c r="E14" s="14" t="s">
        <v>31</v>
      </c>
      <c r="G14" s="22">
        <f ca="1">D31</f>
        <v>1.2170000000000001</v>
      </c>
      <c r="H14" s="22"/>
    </row>
    <row r="15" spans="1:8" s="14" customFormat="1">
      <c r="B15" s="14" t="s">
        <v>211</v>
      </c>
      <c r="C15" s="11">
        <v>43574</v>
      </c>
      <c r="E15" s="14" t="s">
        <v>118</v>
      </c>
      <c r="G15" s="23">
        <f ca="1">E31</f>
        <v>23</v>
      </c>
      <c r="H15" s="23"/>
    </row>
    <row r="16" spans="1:8" s="14" customFormat="1">
      <c r="B16" s="14" t="s">
        <v>99</v>
      </c>
      <c r="C16" s="11">
        <v>43555</v>
      </c>
      <c r="E16" s="14" t="s">
        <v>32</v>
      </c>
      <c r="G16" s="22">
        <f ca="1">IF(aprice&gt;aexercise,aoptions*(aprice-aexercise)/aprice,0)</f>
        <v>1.0069204443110178</v>
      </c>
      <c r="H16" s="22"/>
    </row>
    <row r="17" spans="2:8" s="14" customFormat="1">
      <c r="B17" s="14" t="s">
        <v>211</v>
      </c>
      <c r="C17" s="11">
        <v>43574</v>
      </c>
      <c r="E17" s="14" t="s">
        <v>61</v>
      </c>
      <c r="G17" s="24">
        <f ca="1">ashares+G16</f>
        <v>137.01460944431102</v>
      </c>
      <c r="H17" s="22"/>
    </row>
    <row r="18" spans="2:8" s="14" customFormat="1">
      <c r="B18" s="14" t="s">
        <v>100</v>
      </c>
      <c r="C18" s="11">
        <v>43525</v>
      </c>
    </row>
    <row r="19" spans="2:8" s="14" customFormat="1">
      <c r="E19" s="14" t="s">
        <v>149</v>
      </c>
      <c r="G19" s="25">
        <v>0.2</v>
      </c>
      <c r="H19" s="25"/>
    </row>
    <row r="20" spans="2:8" s="14" customFormat="1">
      <c r="B20" s="14" t="s">
        <v>53</v>
      </c>
      <c r="C20" s="26">
        <v>0.25</v>
      </c>
      <c r="G20" s="27"/>
      <c r="H20" s="27"/>
    </row>
    <row r="21" spans="2:8" s="14" customFormat="1">
      <c r="B21" s="14" t="s">
        <v>148</v>
      </c>
      <c r="C21" s="450">
        <f ca="1">+G40/F40-1</f>
        <v>0.16118412072514832</v>
      </c>
    </row>
    <row r="22" spans="2:8" s="14" customFormat="1">
      <c r="B22" s="28"/>
      <c r="D22" s="29"/>
    </row>
    <row r="23" spans="2:8">
      <c r="B23" s="124" t="s">
        <v>31</v>
      </c>
      <c r="C23" s="125"/>
      <c r="D23" s="125"/>
      <c r="E23" s="125"/>
    </row>
    <row r="24" spans="2:8" s="14" customFormat="1">
      <c r="B24" s="31" t="s">
        <v>55</v>
      </c>
      <c r="C24" s="31" t="s">
        <v>105</v>
      </c>
      <c r="D24" s="31" t="s">
        <v>55</v>
      </c>
      <c r="E24" s="31" t="s">
        <v>105</v>
      </c>
    </row>
    <row r="25" spans="2:8" s="14" customFormat="1">
      <c r="B25" s="32">
        <v>1.2170000000000001</v>
      </c>
      <c r="C25" s="33">
        <v>23</v>
      </c>
      <c r="D25" s="34">
        <f t="shared" ref="D25:D30" ca="1" si="0">IF(aprice&gt;C25,B25,0)</f>
        <v>1.2170000000000001</v>
      </c>
      <c r="E25" s="35">
        <f t="shared" ref="E25:E30" ca="1" si="1">IF(aprice&gt;C25,C25,0)</f>
        <v>23</v>
      </c>
    </row>
    <row r="26" spans="2:8" s="14" customFormat="1">
      <c r="B26" s="36">
        <v>0</v>
      </c>
      <c r="C26" s="37">
        <v>0</v>
      </c>
      <c r="D26" s="38">
        <f t="shared" ca="1" si="0"/>
        <v>0</v>
      </c>
      <c r="E26" s="38">
        <f t="shared" ca="1" si="1"/>
        <v>0</v>
      </c>
    </row>
    <row r="27" spans="2:8" s="14" customFormat="1">
      <c r="B27" s="36">
        <v>0</v>
      </c>
      <c r="C27" s="37">
        <v>0</v>
      </c>
      <c r="D27" s="38">
        <f t="shared" ca="1" si="0"/>
        <v>0</v>
      </c>
      <c r="E27" s="38">
        <f t="shared" ca="1" si="1"/>
        <v>0</v>
      </c>
    </row>
    <row r="28" spans="2:8" s="14" customFormat="1">
      <c r="B28" s="36">
        <v>0</v>
      </c>
      <c r="C28" s="37">
        <v>0</v>
      </c>
      <c r="D28" s="38">
        <f t="shared" ca="1" si="0"/>
        <v>0</v>
      </c>
      <c r="E28" s="38">
        <f t="shared" ca="1" si="1"/>
        <v>0</v>
      </c>
    </row>
    <row r="29" spans="2:8" s="14" customFormat="1">
      <c r="B29" s="36">
        <v>0</v>
      </c>
      <c r="C29" s="37">
        <v>0</v>
      </c>
      <c r="D29" s="38">
        <f t="shared" ca="1" si="0"/>
        <v>0</v>
      </c>
      <c r="E29" s="38">
        <f t="shared" ca="1" si="1"/>
        <v>0</v>
      </c>
    </row>
    <row r="30" spans="2:8" s="14" customFormat="1">
      <c r="B30" s="36">
        <v>0</v>
      </c>
      <c r="C30" s="37">
        <v>0</v>
      </c>
      <c r="D30" s="38">
        <f t="shared" ca="1" si="0"/>
        <v>0</v>
      </c>
      <c r="E30" s="38">
        <f t="shared" ca="1" si="1"/>
        <v>0</v>
      </c>
    </row>
    <row r="31" spans="2:8" s="14" customFormat="1">
      <c r="B31" s="39">
        <f ca="1">SUM(B25:B30)</f>
        <v>1.2170000000000001</v>
      </c>
      <c r="C31" s="40">
        <f ca="1">IF(B31=0,0,SUMPRODUCT(B25:B30,C25:C30)/B31)</f>
        <v>23</v>
      </c>
      <c r="D31" s="34">
        <f ca="1">SUM(D25:D30)</f>
        <v>1.2170000000000001</v>
      </c>
      <c r="E31" s="40">
        <f ca="1">IF(D31=0,0,SUMPRODUCT(D25:D30,E25:E30)/D31)</f>
        <v>23</v>
      </c>
    </row>
    <row r="32" spans="2:8" s="14" customFormat="1"/>
    <row r="33" spans="2:8" s="14" customFormat="1">
      <c r="B33" s="41"/>
      <c r="D33" s="128" t="s">
        <v>192</v>
      </c>
      <c r="E33" s="128"/>
      <c r="F33" s="128"/>
      <c r="G33" s="128"/>
      <c r="H33" s="42"/>
    </row>
    <row r="34" spans="2:8" s="14" customFormat="1">
      <c r="B34" s="43" t="str">
        <f ca="1">"FY Ended "&amp;TEXT(afye,"mmmm d")&amp;","</f>
        <v>FY Ended December 31,</v>
      </c>
      <c r="D34" s="44" t="str">
        <f ca="1">TEXT(afye+365,"mmm-yy")</f>
        <v>Dec-19</v>
      </c>
      <c r="E34" s="44" t="str">
        <f ca="1">TEXT(afye+365*2,"mmm-yy")</f>
        <v>Dec-20</v>
      </c>
      <c r="F34" s="44" t="str">
        <f ca="1">TEXT(afye+365*3,"mmm-yy")</f>
        <v>Dec-21</v>
      </c>
      <c r="G34" s="44" t="str">
        <f ca="1">TEXT(afye+365*4,"mmm-yy")</f>
        <v>Dec-22</v>
      </c>
      <c r="H34" s="45"/>
    </row>
    <row r="35" spans="2:8" s="14" customFormat="1">
      <c r="B35" s="3" t="s">
        <v>106</v>
      </c>
      <c r="C35" s="3"/>
      <c r="D35" s="46">
        <v>12135.9</v>
      </c>
      <c r="E35" s="46">
        <v>13278.5</v>
      </c>
      <c r="F35" s="46">
        <v>14466</v>
      </c>
      <c r="G35" s="46">
        <v>15806</v>
      </c>
      <c r="H35" s="47"/>
    </row>
    <row r="36" spans="2:8" s="14" customFormat="1">
      <c r="B36" s="3" t="s">
        <v>252</v>
      </c>
      <c r="C36" s="3"/>
      <c r="D36" s="27">
        <v>869.91049999999814</v>
      </c>
      <c r="E36" s="27">
        <v>978.45749999999862</v>
      </c>
      <c r="F36" s="27">
        <v>1091.2700000000004</v>
      </c>
      <c r="G36" s="49">
        <v>1218.5699999999997</v>
      </c>
      <c r="H36" s="49"/>
    </row>
    <row r="37" spans="2:8" s="14" customFormat="1">
      <c r="B37" s="3" t="s">
        <v>10</v>
      </c>
      <c r="C37" s="3"/>
      <c r="D37" s="27">
        <v>2171.8461321839063</v>
      </c>
      <c r="E37" s="27">
        <v>2402.9709099616844</v>
      </c>
      <c r="F37" s="27">
        <v>2643.1780459770121</v>
      </c>
      <c r="G37" s="49">
        <v>2914.2328352490422</v>
      </c>
      <c r="H37" s="49"/>
    </row>
    <row r="38" spans="2:8">
      <c r="B38" s="3" t="s">
        <v>11</v>
      </c>
      <c r="C38" s="3"/>
      <c r="D38" s="27">
        <v>523.42917088991112</v>
      </c>
      <c r="E38" s="27">
        <v>606.25790193400348</v>
      </c>
      <c r="F38" s="46">
        <v>693.00607405946039</v>
      </c>
      <c r="G38" s="46">
        <v>791.30021112149529</v>
      </c>
      <c r="H38" s="50"/>
    </row>
    <row r="39" spans="2:8">
      <c r="B39" s="3" t="s">
        <v>96</v>
      </c>
      <c r="C39" s="3"/>
      <c r="D39" s="15">
        <f ca="1">+D38/D40</f>
        <v>135.44556842456728</v>
      </c>
      <c r="E39" s="15">
        <f ca="1">+E38/E40</f>
        <v>131.33873953535047</v>
      </c>
      <c r="F39" s="15">
        <f ca="1">+F38/F40</f>
        <v>128.30817789626909</v>
      </c>
      <c r="G39" s="15">
        <f ca="1">+G38/G40</f>
        <v>126.17040289586983</v>
      </c>
      <c r="H39" s="15"/>
    </row>
    <row r="40" spans="2:8">
      <c r="B40" s="3" t="s">
        <v>114</v>
      </c>
      <c r="C40" s="3"/>
      <c r="D40" s="51">
        <v>3.8644983145492922</v>
      </c>
      <c r="E40" s="51">
        <v>4.6159869059107743</v>
      </c>
      <c r="F40" s="51">
        <v>5.4011060356552028</v>
      </c>
      <c r="G40" s="51">
        <v>6.2716785629555787</v>
      </c>
      <c r="H40" s="52"/>
    </row>
    <row r="41" spans="2:8">
      <c r="B41" s="3"/>
      <c r="C41" s="3"/>
      <c r="D41" s="4"/>
      <c r="E41" s="53"/>
      <c r="F41" s="14"/>
      <c r="G41" s="14"/>
      <c r="H41" s="14"/>
    </row>
    <row r="42" spans="2:8" s="14" customFormat="1">
      <c r="B42" s="3"/>
      <c r="C42" s="3"/>
      <c r="D42" s="4"/>
      <c r="E42" s="54"/>
    </row>
    <row r="43" spans="2:8" s="14" customFormat="1"/>
    <row r="44" spans="2:8" s="14" customFormat="1">
      <c r="B44" s="404" t="s">
        <v>145</v>
      </c>
      <c r="C44" s="405"/>
      <c r="D44" s="406"/>
    </row>
    <row r="45" spans="2:8" s="14" customFormat="1">
      <c r="B45" s="407" t="str">
        <f ca="1">acq&amp;" Current Quarter"</f>
        <v>COLEMAN MEDIA Current Quarter</v>
      </c>
      <c r="C45" s="408"/>
      <c r="D45" s="409">
        <f ca="1">IF(altmdate=afye,4,ROUND((altmdate-afye)/90,0))</f>
        <v>1</v>
      </c>
    </row>
    <row r="46" spans="2:8" s="14" customFormat="1">
      <c r="B46"/>
      <c r="C46"/>
      <c r="D46"/>
    </row>
    <row r="47" spans="2:8" s="14" customFormat="1">
      <c r="B47"/>
      <c r="C47"/>
      <c r="D47"/>
      <c r="E47" s="15"/>
    </row>
    <row r="48" spans="2:8" s="14" customFormat="1">
      <c r="B48"/>
      <c r="C48"/>
      <c r="D48" s="461"/>
      <c r="E48" s="52"/>
      <c r="F48" s="52"/>
      <c r="G48" s="52"/>
    </row>
    <row r="49" spans="2:8" s="14" customFormat="1">
      <c r="B49"/>
      <c r="C49"/>
      <c r="D49"/>
      <c r="E49" s="55"/>
      <c r="F49" s="56"/>
      <c r="G49" s="57"/>
      <c r="H49" s="57"/>
    </row>
    <row r="50" spans="2:8" s="14" customFormat="1">
      <c r="E50" s="48"/>
      <c r="F50" s="48"/>
      <c r="G50" s="48"/>
      <c r="H50" s="48"/>
    </row>
    <row r="51" spans="2:8" s="14" customFormat="1">
      <c r="E51" s="15"/>
      <c r="F51" s="48"/>
      <c r="G51" s="48"/>
      <c r="H51" s="48"/>
    </row>
    <row r="52" spans="2:8" s="14" customFormat="1"/>
    <row r="53" spans="2:8" s="14" customFormat="1"/>
    <row r="54" spans="2:8" s="14" customFormat="1"/>
  </sheetData>
  <customSheetViews>
    <customSheetView guid="{9AE38660-BF5A-49A3-9FC0-AD5890AFC019}" scale="85" showPageBreaks="1" showGridLines="0" fitToPage="1" printArea="1" view="pageBreakPreview" showRuler="0">
      <selection activeCell="J17" sqref="J17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77" orientation="landscape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52"/>
  <sheetViews>
    <sheetView showGridLines="0" zoomScale="115" zoomScaleNormal="115" zoomScaleSheetLayoutView="115" workbookViewId="0">
      <selection activeCell="P56" sqref="P56"/>
    </sheetView>
  </sheetViews>
  <sheetFormatPr defaultColWidth="10.296875" defaultRowHeight="13"/>
  <cols>
    <col min="1" max="1" width="2.796875" style="4" customWidth="1"/>
    <col min="2" max="5" width="11.19921875" style="3" customWidth="1"/>
    <col min="6" max="6" width="4.296875" style="3" customWidth="1"/>
    <col min="7" max="8" width="11.19921875" style="3" customWidth="1"/>
    <col min="9" max="9" width="4.296875" style="59" customWidth="1"/>
    <col min="10" max="10" width="11.19921875" style="3" customWidth="1"/>
    <col min="11" max="11" width="4.296875" style="3" customWidth="1"/>
    <col min="12" max="15" width="11.19921875" style="3" customWidth="1"/>
    <col min="16" max="16" width="10.296875" style="4"/>
    <col min="17" max="20" width="11.19921875" style="4" customWidth="1"/>
    <col min="21" max="16384" width="10.296875" style="4"/>
  </cols>
  <sheetData>
    <row r="1" spans="1:22">
      <c r="A1" s="2"/>
      <c r="B1" s="58"/>
    </row>
    <row r="2" spans="1:22" ht="23.25" customHeight="1">
      <c r="B2" s="60" t="str">
        <f ca="1">proj</f>
        <v>TMT Model</v>
      </c>
      <c r="C2" s="360"/>
      <c r="D2" s="360"/>
      <c r="E2" s="360"/>
      <c r="F2" s="360"/>
      <c r="G2" s="360"/>
      <c r="H2" s="360"/>
      <c r="I2" s="385"/>
      <c r="J2" s="360"/>
      <c r="K2" s="360"/>
      <c r="L2" s="360"/>
      <c r="M2" s="360"/>
      <c r="N2" s="360"/>
      <c r="O2" s="387"/>
    </row>
    <row r="3" spans="1:22" ht="20.149999999999999" customHeight="1">
      <c r="B3" s="244" t="str">
        <f ca="1">acq&amp;" - Summary Capitalization and Valuation Data"</f>
        <v>COLEMAN MEDIA - Summary Capitalization and Valuation Data</v>
      </c>
      <c r="C3" s="205"/>
      <c r="D3" s="205"/>
      <c r="E3" s="205"/>
      <c r="F3" s="205"/>
      <c r="G3" s="205"/>
      <c r="H3" s="205"/>
      <c r="I3" s="248"/>
      <c r="J3" s="205"/>
      <c r="K3" s="205"/>
      <c r="L3" s="205"/>
      <c r="M3" s="205"/>
      <c r="N3" s="205"/>
      <c r="O3" s="246"/>
    </row>
    <row r="4" spans="1:22" ht="12.75" customHeight="1">
      <c r="B4" s="61" t="s">
        <v>43</v>
      </c>
      <c r="C4" s="7"/>
      <c r="D4" s="7"/>
      <c r="E4" s="7"/>
      <c r="F4" s="7"/>
      <c r="G4" s="7"/>
      <c r="H4" s="7"/>
      <c r="J4" s="7"/>
      <c r="K4" s="7"/>
      <c r="L4" s="7"/>
      <c r="M4" s="7"/>
      <c r="N4" s="7"/>
      <c r="O4" s="7"/>
    </row>
    <row r="5" spans="1:22" ht="12.75" customHeight="1"/>
    <row r="6" spans="1:22" ht="15" customHeight="1">
      <c r="B6" s="123" t="s">
        <v>78</v>
      </c>
      <c r="C6" s="123"/>
      <c r="D6" s="123"/>
      <c r="E6" s="123"/>
      <c r="F6" s="62"/>
      <c r="G6" s="123" t="s">
        <v>203</v>
      </c>
      <c r="H6" s="123"/>
      <c r="I6" s="123"/>
      <c r="J6" s="123"/>
      <c r="K6" s="62"/>
      <c r="L6" s="123" t="s">
        <v>108</v>
      </c>
      <c r="M6" s="123"/>
      <c r="N6" s="123"/>
      <c r="O6" s="123"/>
      <c r="Q6"/>
      <c r="R6"/>
      <c r="S6"/>
      <c r="T6"/>
      <c r="U6"/>
      <c r="V6"/>
    </row>
    <row r="7" spans="1:22">
      <c r="B7" s="63" t="s">
        <v>79</v>
      </c>
      <c r="E7" s="64" t="str">
        <f ca="1">Inputs!C10</f>
        <v>COLE</v>
      </c>
      <c r="G7" s="3" t="s">
        <v>90</v>
      </c>
      <c r="I7" s="3"/>
      <c r="J7" s="58">
        <f ca="1">afye</f>
        <v>43465</v>
      </c>
      <c r="O7" s="7" t="s">
        <v>80</v>
      </c>
      <c r="Q7"/>
      <c r="R7"/>
      <c r="S7"/>
      <c r="T7"/>
      <c r="U7"/>
      <c r="V7"/>
    </row>
    <row r="8" spans="1:22">
      <c r="B8" s="63" t="s">
        <v>81</v>
      </c>
      <c r="E8" s="64" t="str">
        <f ca="1">Inputs!C11</f>
        <v>NASDAQ</v>
      </c>
      <c r="G8" s="3" t="s">
        <v>99</v>
      </c>
      <c r="I8" s="3"/>
      <c r="J8" s="58">
        <f ca="1">altmdate</f>
        <v>43555</v>
      </c>
      <c r="O8" s="67">
        <f ca="1">altmdate</f>
        <v>43555</v>
      </c>
      <c r="Q8"/>
      <c r="R8"/>
      <c r="S8"/>
      <c r="T8"/>
      <c r="U8"/>
      <c r="V8"/>
    </row>
    <row r="9" spans="1:22" ht="12.75" customHeight="1">
      <c r="B9" s="68" t="str">
        <f ca="1">"Stock Price as of "&amp;TEXT(tdate,"m/d/yy")</f>
        <v>Stock Price as of 6/27/19</v>
      </c>
      <c r="E9" s="69">
        <f ca="1">aprice</f>
        <v>133.24</v>
      </c>
      <c r="I9" s="3"/>
      <c r="J9" s="70"/>
      <c r="L9" s="3" t="s">
        <v>8</v>
      </c>
      <c r="O9" s="85">
        <f ca="1">'Balance Sheet'!O44</f>
        <v>0.39543076758834206</v>
      </c>
      <c r="P9" s="71"/>
      <c r="U9" s="3"/>
      <c r="V9" s="72"/>
    </row>
    <row r="10" spans="1:22">
      <c r="G10" s="3" t="s">
        <v>107</v>
      </c>
      <c r="I10" s="3"/>
      <c r="J10" s="73">
        <f ca="1">'Income Statement'!N7</f>
        <v>11324</v>
      </c>
      <c r="L10" s="3" t="s">
        <v>9</v>
      </c>
      <c r="O10" s="85" t="str">
        <f ca="1">'Balance Sheet'!O45</f>
        <v>NM</v>
      </c>
      <c r="P10" s="71"/>
    </row>
    <row r="11" spans="1:22">
      <c r="B11" s="3" t="s">
        <v>82</v>
      </c>
      <c r="E11" s="1"/>
      <c r="G11" s="3" t="s">
        <v>248</v>
      </c>
      <c r="J11" s="75">
        <f ca="1">+'Income Statement'!N36</f>
        <v>1933</v>
      </c>
      <c r="O11" s="108"/>
    </row>
    <row r="12" spans="1:22">
      <c r="C12" s="3" t="s">
        <v>60</v>
      </c>
      <c r="D12" s="76">
        <v>43281</v>
      </c>
      <c r="E12" s="77">
        <v>135</v>
      </c>
      <c r="G12" s="3" t="s">
        <v>231</v>
      </c>
      <c r="I12" s="3"/>
      <c r="J12" s="75">
        <f ca="1">'Income Statement'!N42</f>
        <v>2119</v>
      </c>
      <c r="L12" s="1" t="s">
        <v>232</v>
      </c>
      <c r="O12" s="74">
        <f ca="1">'Balance Sheet'!O48</f>
        <v>1.9161924469736162</v>
      </c>
    </row>
    <row r="13" spans="1:22">
      <c r="C13" s="78" t="s">
        <v>59</v>
      </c>
      <c r="D13" s="79">
        <v>43373</v>
      </c>
      <c r="E13" s="80">
        <v>104.01</v>
      </c>
      <c r="I13" s="3"/>
      <c r="J13" s="81"/>
      <c r="L13" s="1" t="s">
        <v>109</v>
      </c>
      <c r="O13" s="74" t="str">
        <f ca="1">'Balance Sheet'!O49</f>
        <v>NM</v>
      </c>
    </row>
    <row r="14" spans="1:22">
      <c r="B14" s="3" t="s">
        <v>136</v>
      </c>
      <c r="D14" s="82"/>
      <c r="E14" s="83"/>
      <c r="G14" s="3" t="s">
        <v>33</v>
      </c>
      <c r="I14" s="3"/>
      <c r="J14" s="84">
        <f ca="1">'Income Statement'!N46</f>
        <v>3.3153854854562086</v>
      </c>
      <c r="L14" s="1" t="s">
        <v>250</v>
      </c>
      <c r="O14" s="74">
        <f ca="1">+J11/'Income Statement'!N13</f>
        <v>17.73394495412844</v>
      </c>
    </row>
    <row r="15" spans="1:22" ht="12.75" customHeight="1">
      <c r="C15" s="3" t="s">
        <v>60</v>
      </c>
      <c r="D15" s="76">
        <v>42880</v>
      </c>
      <c r="E15" s="77">
        <v>137.12</v>
      </c>
      <c r="G15" s="70" t="str">
        <f ca="1">"FY "&amp;(afy+1)&amp;" EPS estimate (a)"</f>
        <v>FY 2019 EPS estimate (a)</v>
      </c>
      <c r="I15" s="3"/>
      <c r="J15" s="86">
        <f ca="1">Inputs!D40</f>
        <v>3.8644983145492922</v>
      </c>
    </row>
    <row r="16" spans="1:22">
      <c r="C16" s="3" t="s">
        <v>59</v>
      </c>
      <c r="D16" s="76">
        <v>42388</v>
      </c>
      <c r="E16" s="80">
        <v>92.52</v>
      </c>
      <c r="G16" s="70" t="str">
        <f ca="1">"FY "&amp;(afy+2)&amp;" EPS estimate (a)"</f>
        <v>FY 2020 EPS estimate (a)</v>
      </c>
      <c r="I16" s="3"/>
      <c r="J16" s="86">
        <f ca="1">Inputs!E40</f>
        <v>4.6159869059107743</v>
      </c>
      <c r="L16" s="3" t="s">
        <v>138</v>
      </c>
      <c r="N16" s="3" t="s">
        <v>139</v>
      </c>
      <c r="O16" s="88" t="s">
        <v>224</v>
      </c>
    </row>
    <row r="17" spans="2:15">
      <c r="G17" s="78" t="s">
        <v>210</v>
      </c>
      <c r="H17" s="78"/>
      <c r="I17" s="78"/>
      <c r="J17" s="87">
        <f ca="1">Inputs!C21</f>
        <v>0.16118412072514832</v>
      </c>
      <c r="K17" s="78"/>
      <c r="N17" s="3" t="s">
        <v>140</v>
      </c>
      <c r="O17" s="88" t="s">
        <v>225</v>
      </c>
    </row>
    <row r="18" spans="2:15">
      <c r="G18" s="4"/>
      <c r="H18" s="4"/>
      <c r="I18" s="4"/>
      <c r="J18" s="90"/>
      <c r="K18" s="4"/>
    </row>
    <row r="19" spans="2:15">
      <c r="B19" s="4" t="s">
        <v>204</v>
      </c>
      <c r="C19" s="4"/>
      <c r="D19" s="4"/>
      <c r="E19" s="89">
        <v>5</v>
      </c>
      <c r="G19" s="3" t="s">
        <v>83</v>
      </c>
      <c r="I19" s="3"/>
      <c r="J19" s="77">
        <f ca="1">0.3*4</f>
        <v>1.2</v>
      </c>
    </row>
    <row r="20" spans="2:15">
      <c r="B20" s="3" t="s">
        <v>193</v>
      </c>
      <c r="D20" s="76"/>
      <c r="E20" s="89">
        <v>1</v>
      </c>
      <c r="G20" s="3" t="s">
        <v>84</v>
      </c>
      <c r="I20" s="3"/>
      <c r="J20" s="92">
        <f ca="1">J19/E9</f>
        <v>9.0063044130891615E-3</v>
      </c>
      <c r="K20" s="63"/>
    </row>
    <row r="21" spans="2:15">
      <c r="B21" s="3" t="s">
        <v>194</v>
      </c>
      <c r="D21" s="76"/>
      <c r="E21" s="91">
        <f ca="1">E20/E25</f>
        <v>7.3525254884670528E-3</v>
      </c>
      <c r="G21" s="3" t="s">
        <v>85</v>
      </c>
      <c r="I21" s="3"/>
      <c r="J21" s="93">
        <f ca="1">IF(J14&lt;=0,"NM",J19/J14*100)</f>
        <v>36.194886092857338</v>
      </c>
      <c r="K21" s="3" t="s">
        <v>52</v>
      </c>
    </row>
    <row r="22" spans="2:15">
      <c r="D22" s="94"/>
      <c r="E22" s="95"/>
      <c r="I22" s="3"/>
      <c r="J22" s="96"/>
    </row>
    <row r="23" spans="2:15" ht="15" customHeight="1">
      <c r="B23" s="123" t="s">
        <v>86</v>
      </c>
      <c r="C23" s="123"/>
      <c r="D23" s="123"/>
      <c r="E23" s="123"/>
      <c r="F23" s="62"/>
      <c r="G23" s="123" t="s">
        <v>87</v>
      </c>
      <c r="H23" s="123"/>
      <c r="I23" s="123"/>
      <c r="J23" s="123"/>
      <c r="K23" s="62"/>
      <c r="L23" s="123" t="s">
        <v>240</v>
      </c>
      <c r="M23" s="123"/>
      <c r="N23" s="123"/>
      <c r="O23" s="123"/>
    </row>
    <row r="24" spans="2:15">
      <c r="B24" s="97" t="str">
        <f ca="1">B9</f>
        <v>Stock Price as of 6/27/19</v>
      </c>
      <c r="E24" s="98">
        <f ca="1">E9</f>
        <v>133.24</v>
      </c>
      <c r="G24" s="99" t="s">
        <v>51</v>
      </c>
      <c r="N24" s="65" t="s">
        <v>92</v>
      </c>
      <c r="O24" s="65" t="s">
        <v>88</v>
      </c>
    </row>
    <row r="25" spans="2:15">
      <c r="B25" s="63" t="s">
        <v>238</v>
      </c>
      <c r="E25" s="100">
        <f ca="1">ashares</f>
        <v>136.007689</v>
      </c>
      <c r="G25" s="3" t="str">
        <f ca="1">G10</f>
        <v>LTM Net Sales</v>
      </c>
      <c r="J25" s="108">
        <f ca="1">$E$32/J10</f>
        <v>1.7101577677817028</v>
      </c>
      <c r="N25" s="102" t="s">
        <v>28</v>
      </c>
      <c r="O25" s="102" t="s">
        <v>12</v>
      </c>
    </row>
    <row r="26" spans="2:15">
      <c r="B26" s="63" t="s">
        <v>239</v>
      </c>
      <c r="E26" s="103">
        <f ca="1">Inputs!G16</f>
        <v>1.0069204443110178</v>
      </c>
      <c r="G26" s="99" t="s">
        <v>91</v>
      </c>
      <c r="H26" s="109"/>
      <c r="J26" s="104"/>
      <c r="L26" s="1" t="s">
        <v>227</v>
      </c>
      <c r="N26" s="402">
        <v>1</v>
      </c>
      <c r="O26" s="400">
        <f ca="1">+N26/$N$30</f>
        <v>7.2984917743858955E-3</v>
      </c>
    </row>
    <row r="27" spans="2:15">
      <c r="B27" s="105" t="s">
        <v>47</v>
      </c>
      <c r="E27" s="106">
        <f ca="1">E24*(E25+E26)</f>
        <v>18255.826562360002</v>
      </c>
      <c r="G27" s="3" t="str">
        <f ca="1">G$15</f>
        <v>FY 2019 EPS estimate (a)</v>
      </c>
      <c r="J27" s="104">
        <f ca="1">IF(J15&lt;=0,"NM",$E$9/J15)</f>
        <v>34.477955262231625</v>
      </c>
      <c r="L27" s="3" t="s">
        <v>93</v>
      </c>
      <c r="N27" s="282">
        <v>0.2</v>
      </c>
      <c r="O27" s="151">
        <f ca="1">+N27/$N$30</f>
        <v>1.4596983548771792E-3</v>
      </c>
    </row>
    <row r="28" spans="2:15">
      <c r="B28" s="3" t="s">
        <v>101</v>
      </c>
      <c r="E28" s="100">
        <f ca="1">'Balance Sheet'!O33</f>
        <v>3704</v>
      </c>
      <c r="G28" s="3" t="str">
        <f ca="1">G$16</f>
        <v>FY 2020 EPS estimate (a)</v>
      </c>
      <c r="J28" s="104">
        <f ca="1">IF(J16&lt;=0,"NM",$E$9/J16)</f>
        <v>28.864899904587272</v>
      </c>
      <c r="L28" s="3" t="s">
        <v>126</v>
      </c>
      <c r="N28" s="282">
        <v>45</v>
      </c>
      <c r="O28" s="151">
        <f ca="1">+N28/$N$30</f>
        <v>0.32843212984736531</v>
      </c>
    </row>
    <row r="29" spans="2:15">
      <c r="B29" s="3" t="s">
        <v>102</v>
      </c>
      <c r="E29" s="100">
        <f ca="1">'Balance Sheet'!O27</f>
        <v>1580</v>
      </c>
      <c r="F29" s="107"/>
      <c r="G29" s="99" t="s">
        <v>247</v>
      </c>
      <c r="L29" s="63" t="s">
        <v>89</v>
      </c>
      <c r="N29" s="272">
        <f ca="1">+N30-N28-N27-N26</f>
        <v>90.814609444311017</v>
      </c>
      <c r="O29" s="145">
        <f ca="1">+N29/$N$30</f>
        <v>0.66280968002337159</v>
      </c>
    </row>
    <row r="30" spans="2:15">
      <c r="B30" s="3" t="s">
        <v>103</v>
      </c>
      <c r="E30" s="100">
        <f ca="1">'Balance Sheet'!O28</f>
        <v>0</v>
      </c>
      <c r="F30" s="107"/>
      <c r="G30" s="3" t="str">
        <f ca="1">G11</f>
        <v>LTM EBITDA</v>
      </c>
      <c r="J30" s="108">
        <f ca="1">+E32/J11</f>
        <v>10.018534176078635</v>
      </c>
      <c r="L30" s="110" t="s">
        <v>12</v>
      </c>
      <c r="N30" s="460">
        <v>137.01460944431102</v>
      </c>
      <c r="O30" s="400">
        <f ca="1">+N30/$N$30</f>
        <v>1</v>
      </c>
    </row>
    <row r="31" spans="2:15">
      <c r="B31" s="3" t="s">
        <v>104</v>
      </c>
      <c r="E31" s="103">
        <f ca="1">-'Balance Sheet'!O8</f>
        <v>-4174</v>
      </c>
      <c r="G31" s="3" t="s">
        <v>249</v>
      </c>
      <c r="J31" s="104">
        <f ca="1">+E32/Proj!L40</f>
        <v>8.9167580867649399</v>
      </c>
    </row>
    <row r="32" spans="2:15">
      <c r="B32" s="110" t="s">
        <v>0</v>
      </c>
      <c r="E32" s="111">
        <f ca="1">SUM(E27:E31)</f>
        <v>19365.826562360002</v>
      </c>
      <c r="G32" s="99" t="s">
        <v>251</v>
      </c>
    </row>
    <row r="33" spans="2:15">
      <c r="B33" s="110"/>
      <c r="E33" s="111"/>
      <c r="G33" s="3" t="str">
        <f ca="1">G$15</f>
        <v>FY 2019 EPS estimate (a)</v>
      </c>
      <c r="J33" s="104">
        <f ca="1">IF(J27="NM","NM",J27/(J$17*100))</f>
        <v>2.139041681470816</v>
      </c>
    </row>
    <row r="34" spans="2:15">
      <c r="B34" s="110"/>
      <c r="E34" s="111"/>
      <c r="G34" s="3" t="str">
        <f ca="1">G$16</f>
        <v>FY 2020 EPS estimate (a)</v>
      </c>
      <c r="J34" s="104">
        <f ca="1">IF(J28="NM","NM",J28/(J$17*100))</f>
        <v>1.790802950980996</v>
      </c>
    </row>
    <row r="35" spans="2:15">
      <c r="G35"/>
      <c r="H35"/>
      <c r="I35"/>
      <c r="J35"/>
    </row>
    <row r="36" spans="2:15">
      <c r="B36" s="4"/>
      <c r="C36" s="4"/>
      <c r="D36" s="4"/>
      <c r="E36" s="4"/>
      <c r="F36" s="4"/>
      <c r="G36" s="4"/>
      <c r="H36" s="4"/>
      <c r="I36" s="425"/>
      <c r="J36" s="4"/>
      <c r="K36" s="4"/>
      <c r="L36" s="4"/>
      <c r="M36" s="4"/>
      <c r="N36" s="4"/>
      <c r="O36" s="4"/>
    </row>
    <row r="37" spans="2:15" ht="12.75" customHeight="1">
      <c r="B37" s="112" t="str">
        <f ca="1">"(a) Source: Mean of Wall Street analysts' estimates as reported by Wall Street Research Provider on "&amp;TEXT(tdate,"mmmm d, yyyy")&amp;"."</f>
        <v>(a) Source: Mean of Wall Street analysts' estimates as reported by Wall Street Research Provider on June 27, 2019.</v>
      </c>
      <c r="C37" s="113"/>
      <c r="D37" s="113"/>
      <c r="E37" s="113"/>
      <c r="F37" s="113"/>
      <c r="G37" s="113"/>
      <c r="H37" s="113"/>
      <c r="I37" s="4"/>
      <c r="J37" s="113"/>
      <c r="K37" s="113"/>
      <c r="L37" s="113"/>
      <c r="M37" s="113"/>
      <c r="N37" s="113"/>
      <c r="O37" s="113"/>
    </row>
    <row r="38" spans="2:15" ht="12.75" customHeight="1">
      <c r="B38" s="115" t="str">
        <f ca="1">"(b) Shares outstanding as of "&amp;TEXT(Inputs!C17,"mmmm d, yyyy")&amp;". Source: Company's "&amp;IF(aquarter&lt;&gt;4,"Form 10-Q for the period ended "&amp;TEXT(altmdate,"mmmm d, yyyy")&amp;".",YEAR(afye)&amp;" Form 10-K.")</f>
        <v>(b) Shares outstanding as of April 19, 2019. Source: Company's Form 10-Q for the period ended March 31, 2019.</v>
      </c>
      <c r="I38" s="4"/>
    </row>
    <row r="39" spans="2:15" ht="12.75" customHeight="1">
      <c r="B39" s="115" t="str">
        <f ca="1">"(c) Assumes the treasury stock method with "&amp;FIXED(aoptions,1)&amp;" million in-the-money options outstanding at a weighted average exercise price of $"&amp;FIXED(aexercise,2)&amp;" per share."</f>
        <v>(c) Assumes the treasury stock method with 1.2 million in-the-money options outstanding at a weighted average exercise price of $23.00 per share.</v>
      </c>
      <c r="I39" s="4"/>
    </row>
    <row r="40" spans="2:15" ht="12.75" customHeight="1">
      <c r="B40" s="116" t="str">
        <f ca="1">"(d) Includes exercisable options held by directors and executive officers. Source: Company's Proxy Statement dated "&amp;TEXT(Inputs!C18,"mmmm d, yyyy")&amp;" and Wall Street Research Provider."</f>
        <v>(d) Includes exercisable options held by directors and executive officers. Source: Company's Proxy Statement dated March 1, 2019 and Wall Street Research Provider.</v>
      </c>
      <c r="I40" s="4"/>
    </row>
    <row r="41" spans="2:15">
      <c r="B41" s="117"/>
      <c r="I41" s="4"/>
    </row>
    <row r="42" spans="2:15">
      <c r="B42" s="117" t="str">
        <f ca="1">acq&amp;" Net Debt"</f>
        <v>COLEMAN MEDIA Net Debt</v>
      </c>
      <c r="E42" s="118">
        <f ca="1">SUM(E28:E31)</f>
        <v>1110</v>
      </c>
      <c r="G42" s="119" t="s">
        <v>209</v>
      </c>
      <c r="I42" s="4"/>
    </row>
    <row r="43" spans="2:15">
      <c r="B43" s="117"/>
      <c r="I43" s="4"/>
    </row>
    <row r="44" spans="2:15">
      <c r="B44" s="120" t="str">
        <f ca="1">IF(acqnetdebt&gt;=0,"Net debt represents total debt"&amp;IF(AND(E29=0,E30=0),"",IF(AND(E29=0,E30&lt;&gt;0)," and preferred stock",IF(AND(E29&lt;&gt;0,E30=0)," and minority interest",", minority interest and preferred stock")))&amp;" less cash as of "&amp;TEXT(altmdate,"mmmm d, yyyy")&amp;".","Net cash represents total cash less debt"&amp;IF(AND(E29=0,E30=0),"",IF(AND(E29=0,E30&lt;&gt;0)," and preferred stock",IF(AND(E29&lt;&gt;0,E30=0)," and minority interest",", minority interest and preferred stock")))&amp;" as of "&amp;TEXT(altmdate,"mmmm d, yyyy")&amp;".")</f>
        <v>Net debt represents total debt and minority interest less cash as of March 31, 2019.</v>
      </c>
      <c r="I44" s="4"/>
    </row>
    <row r="45" spans="2:15">
      <c r="B45" s="117"/>
      <c r="I45" s="4"/>
    </row>
    <row r="47" spans="2:15">
      <c r="I47" s="4"/>
    </row>
    <row r="50" spans="10:10" s="4" customFormat="1">
      <c r="J50" s="121"/>
    </row>
    <row r="51" spans="10:10" s="4" customFormat="1">
      <c r="J51" s="122"/>
    </row>
    <row r="52" spans="10:10" s="4" customFormat="1">
      <c r="J52" s="122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102"/>
  <sheetViews>
    <sheetView showGridLines="0" zoomScale="115" zoomScaleNormal="115" zoomScaleSheetLayoutView="115" workbookViewId="0">
      <selection activeCell="B94" sqref="B94"/>
    </sheetView>
  </sheetViews>
  <sheetFormatPr defaultColWidth="10.296875" defaultRowHeight="13"/>
  <cols>
    <col min="1" max="1" width="2.796875" style="4" customWidth="1"/>
    <col min="2" max="6" width="10.796875" style="3" customWidth="1"/>
    <col min="7" max="9" width="11.796875" style="3" customWidth="1"/>
    <col min="10" max="10" width="2.796875" style="3" customWidth="1"/>
    <col min="11" max="12" width="11.796875" style="3" customWidth="1"/>
    <col min="13" max="13" width="2.796875" style="3" customWidth="1"/>
    <col min="14" max="14" width="11.796875" style="3" customWidth="1"/>
    <col min="15" max="15" width="2.796875" style="3" customWidth="1"/>
    <col min="16" max="16" width="11.796875" style="3" customWidth="1"/>
    <col min="17" max="17" width="2.796875" style="4" customWidth="1"/>
    <col min="18" max="16384" width="10.296875" style="4"/>
  </cols>
  <sheetData>
    <row r="1" spans="1:16">
      <c r="A1" s="2"/>
    </row>
    <row r="2" spans="1:16" ht="22.5">
      <c r="B2" s="60" t="str">
        <f ca="1">proj</f>
        <v>TMT Model</v>
      </c>
      <c r="C2" s="360"/>
      <c r="D2" s="360"/>
      <c r="E2" s="360"/>
      <c r="F2" s="360"/>
      <c r="G2" s="360"/>
      <c r="H2" s="360"/>
      <c r="I2" s="360"/>
      <c r="J2" s="360"/>
      <c r="K2" s="360"/>
      <c r="L2" s="386"/>
      <c r="M2" s="360"/>
      <c r="N2" s="360"/>
      <c r="O2" s="360"/>
      <c r="P2" s="360"/>
    </row>
    <row r="3" spans="1:16" ht="20.149999999999999" customHeight="1">
      <c r="B3" s="244" t="str">
        <f ca="1">acq&amp;" - Historical Income Statement"</f>
        <v>COLEMAN MEDIA - Historical Income Statement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</row>
    <row r="4" spans="1:16" ht="12.75" customHeight="1">
      <c r="B4" s="129" t="str">
        <f ca="1">'Spread Cover'!B4</f>
        <v>(Amounts in Millions, Except Per Share Data)</v>
      </c>
      <c r="C4" s="7"/>
      <c r="D4" s="7"/>
      <c r="E4" s="7"/>
      <c r="F4" s="7"/>
      <c r="G4" s="130"/>
      <c r="H4" s="130"/>
      <c r="I4" s="130"/>
      <c r="J4" s="7"/>
      <c r="K4" s="130"/>
      <c r="L4" s="130"/>
      <c r="M4" s="7"/>
      <c r="N4" s="7"/>
      <c r="O4" s="7"/>
      <c r="P4" s="7"/>
    </row>
    <row r="5" spans="1:16" ht="12.75" customHeight="1">
      <c r="G5" s="204" t="str">
        <f ca="1">"Fiscal Year Ended "&amp;TEXT(afye,"mmmm d,")</f>
        <v>Fiscal Year Ended December 31,</v>
      </c>
      <c r="H5" s="204"/>
      <c r="I5" s="204"/>
      <c r="J5" s="132"/>
      <c r="K5" s="204" t="str">
        <f ca="1">CHOOSE(aquarter,"Three","Six","Nine","")&amp;" Months Ended"</f>
        <v>Three Months Ended</v>
      </c>
      <c r="L5" s="204"/>
      <c r="N5" s="204" t="s">
        <v>34</v>
      </c>
      <c r="P5" s="204" t="s">
        <v>64</v>
      </c>
    </row>
    <row r="6" spans="1:16" ht="15" customHeight="1">
      <c r="B6" s="99" t="s">
        <v>205</v>
      </c>
      <c r="G6" s="6">
        <f ca="1">H6-1</f>
        <v>2016</v>
      </c>
      <c r="H6" s="6">
        <f ca="1">I6-1</f>
        <v>2017</v>
      </c>
      <c r="I6" s="133">
        <f ca="1">afy</f>
        <v>2018</v>
      </c>
      <c r="K6" s="66">
        <f ca="1">DATE(YEAR(L6)-1,MONTH(L6),DAY(L6))</f>
        <v>43190</v>
      </c>
      <c r="L6" s="134">
        <f ca="1">altmdate</f>
        <v>43555</v>
      </c>
      <c r="N6" s="66">
        <f ca="1">+L6</f>
        <v>43555</v>
      </c>
      <c r="P6" s="6" t="str">
        <f ca="1">"FY"&amp;TEXT(G6-2000,"00")&amp;"-FY"&amp;TEXT(I6-2000,"00")</f>
        <v>FY16-FY18</v>
      </c>
    </row>
    <row r="7" spans="1:16" ht="12.75" customHeight="1">
      <c r="B7" s="3" t="s">
        <v>253</v>
      </c>
      <c r="G7" s="135">
        <v>8774</v>
      </c>
      <c r="H7" s="135">
        <v>10060</v>
      </c>
      <c r="I7" s="136">
        <v>11223</v>
      </c>
      <c r="J7" s="137"/>
      <c r="K7" s="136">
        <v>2508</v>
      </c>
      <c r="L7" s="136">
        <v>2609</v>
      </c>
      <c r="M7" s="137"/>
      <c r="N7" s="136">
        <f ca="1">I7-K7+L7</f>
        <v>11324</v>
      </c>
      <c r="O7" s="140"/>
      <c r="P7" s="141">
        <f t="shared" ref="P7:P21" ca="1" si="0">IF(OR(G7&lt;=0,I7&lt;=0),"NM",(I7/G7)^(1/(I$6-G$6))-1)</f>
        <v>0.13098193073535658</v>
      </c>
    </row>
    <row r="8" spans="1:16" ht="12.75" customHeight="1">
      <c r="B8" s="4" t="s">
        <v>254</v>
      </c>
      <c r="C8" s="4"/>
      <c r="D8" s="4"/>
      <c r="E8" s="4"/>
      <c r="F8" s="4"/>
      <c r="G8" s="142">
        <v>1597</v>
      </c>
      <c r="H8" s="142">
        <v>1757</v>
      </c>
      <c r="I8" s="142">
        <v>1965</v>
      </c>
      <c r="J8" s="142"/>
      <c r="K8" s="142">
        <v>487</v>
      </c>
      <c r="L8" s="142">
        <v>513</v>
      </c>
      <c r="M8" s="142"/>
      <c r="N8" s="142">
        <f ca="1">I8-K8+L8</f>
        <v>1991</v>
      </c>
      <c r="O8" s="144"/>
      <c r="P8" s="145">
        <f t="shared" ca="1" si="0"/>
        <v>0.10924842128024292</v>
      </c>
    </row>
    <row r="9" spans="1:16" ht="12.75" customHeight="1">
      <c r="B9" s="3" t="s">
        <v>255</v>
      </c>
      <c r="G9" s="147">
        <f ca="1">G7-G8</f>
        <v>7177</v>
      </c>
      <c r="H9" s="147">
        <f ca="1">H7-H8</f>
        <v>8303</v>
      </c>
      <c r="I9" s="148">
        <f ca="1">I7-I8</f>
        <v>9258</v>
      </c>
      <c r="J9" s="149"/>
      <c r="K9" s="148">
        <f ca="1">K7-K8</f>
        <v>2021</v>
      </c>
      <c r="L9" s="148">
        <f ca="1">L7-L8</f>
        <v>2096</v>
      </c>
      <c r="M9" s="149"/>
      <c r="N9" s="148">
        <f ca="1">N7-N8</f>
        <v>9333</v>
      </c>
      <c r="O9" s="150"/>
      <c r="P9" s="151">
        <f t="shared" ca="1" si="0"/>
        <v>0.13576142731888274</v>
      </c>
    </row>
    <row r="10" spans="1:16" ht="12.75" customHeight="1">
      <c r="B10" s="3" t="s">
        <v>256</v>
      </c>
      <c r="G10" s="152">
        <f ca="1">4367+1235+678</f>
        <v>6280</v>
      </c>
      <c r="H10" s="152">
        <f ca="1">5298+1387+676</f>
        <v>7361</v>
      </c>
      <c r="I10" s="152">
        <f ca="1">5767+1617+808</f>
        <v>8192</v>
      </c>
      <c r="J10" s="152"/>
      <c r="K10" s="152">
        <f ca="1">1516+396+199</f>
        <v>2111</v>
      </c>
      <c r="L10" s="152">
        <f ca="1">1535+429+191</f>
        <v>2155</v>
      </c>
      <c r="M10" s="149"/>
      <c r="N10" s="152">
        <f ca="1">I10-K10+L10</f>
        <v>8236</v>
      </c>
      <c r="O10" s="150"/>
      <c r="P10" s="151">
        <f t="shared" ca="1" si="0"/>
        <v>0.14212897639719935</v>
      </c>
    </row>
    <row r="11" spans="1:16" ht="12.75" customHeight="1">
      <c r="B11" s="3" t="s">
        <v>233</v>
      </c>
      <c r="G11" s="152">
        <f ca="1">317+35+27+56</f>
        <v>435</v>
      </c>
      <c r="H11" s="152">
        <f ca="1">275+25+17</f>
        <v>317</v>
      </c>
      <c r="I11" s="152">
        <f ca="1">283+86+42-59</f>
        <v>352</v>
      </c>
      <c r="J11" s="152"/>
      <c r="K11" s="152">
        <f ca="1">72+3</f>
        <v>75</v>
      </c>
      <c r="L11" s="152">
        <f ca="1">52+10+10</f>
        <v>72</v>
      </c>
      <c r="M11" s="149"/>
      <c r="N11" s="152">
        <f t="shared" ref="N11:N19" ca="1" si="1">I11-K11+L11</f>
        <v>349</v>
      </c>
      <c r="O11" s="150"/>
      <c r="P11" s="151">
        <f t="shared" ca="1" si="0"/>
        <v>-0.1004471097823928</v>
      </c>
    </row>
    <row r="12" spans="1:16" ht="12.75" customHeight="1">
      <c r="B12" s="3" t="s">
        <v>241</v>
      </c>
      <c r="G12" s="147">
        <f ca="1">G9-SUM(G10:G11)</f>
        <v>462</v>
      </c>
      <c r="H12" s="147">
        <f ca="1">H9-SUM(H10:H11)</f>
        <v>625</v>
      </c>
      <c r="I12" s="147">
        <f ca="1">I9-SUM(I10:I11)</f>
        <v>714</v>
      </c>
      <c r="J12" s="149"/>
      <c r="K12" s="147">
        <f ca="1">K9-SUM(K10:K11)</f>
        <v>-165</v>
      </c>
      <c r="L12" s="147">
        <f ca="1">L9-SUM(L10:L11)</f>
        <v>-131</v>
      </c>
      <c r="M12" s="118"/>
      <c r="N12" s="147">
        <f t="shared" ca="1" si="1"/>
        <v>748</v>
      </c>
      <c r="O12" s="150"/>
      <c r="P12" s="151">
        <f t="shared" ca="1" si="0"/>
        <v>0.24316312101612203</v>
      </c>
    </row>
    <row r="13" spans="1:16" ht="12.75" customHeight="1">
      <c r="B13" s="3" t="s">
        <v>13</v>
      </c>
      <c r="G13" s="142">
        <f ca="1">173-20</f>
        <v>153</v>
      </c>
      <c r="H13" s="142">
        <f ca="1">182-34</f>
        <v>148</v>
      </c>
      <c r="I13" s="142">
        <f ca="1">190-71</f>
        <v>119</v>
      </c>
      <c r="J13" s="149"/>
      <c r="K13" s="142">
        <f ca="1">51-11</f>
        <v>40</v>
      </c>
      <c r="L13" s="142">
        <f ca="1">41-11</f>
        <v>30</v>
      </c>
      <c r="M13" s="118"/>
      <c r="N13" s="143">
        <f t="shared" ca="1" si="1"/>
        <v>109</v>
      </c>
      <c r="O13" s="150"/>
      <c r="P13" s="151"/>
    </row>
    <row r="14" spans="1:16" ht="12.75" customHeight="1">
      <c r="B14" s="4" t="s">
        <v>71</v>
      </c>
      <c r="C14" s="4"/>
      <c r="D14" s="4"/>
      <c r="E14" s="4"/>
      <c r="F14" s="4"/>
      <c r="G14" s="142">
        <v>32</v>
      </c>
      <c r="H14" s="142">
        <v>60</v>
      </c>
      <c r="I14" s="142">
        <v>110</v>
      </c>
      <c r="J14" s="142"/>
      <c r="K14" s="142">
        <v>-36</v>
      </c>
      <c r="L14" s="142">
        <v>-20</v>
      </c>
      <c r="M14" s="143"/>
      <c r="N14" s="142">
        <f t="shared" ca="1" si="1"/>
        <v>126</v>
      </c>
      <c r="O14" s="153"/>
      <c r="P14" s="145">
        <f t="shared" ca="1" si="0"/>
        <v>0.85404962177391575</v>
      </c>
    </row>
    <row r="15" spans="1:16" ht="12.75" customHeight="1">
      <c r="B15" s="3" t="s">
        <v>14</v>
      </c>
      <c r="G15" s="147">
        <f ca="1">G12-SUM(G13:G14)</f>
        <v>277</v>
      </c>
      <c r="H15" s="147">
        <f ca="1">H12-SUM(H13:H14)</f>
        <v>417</v>
      </c>
      <c r="I15" s="148">
        <f ca="1">I12-SUM(I13:I14)</f>
        <v>485</v>
      </c>
      <c r="J15" s="149"/>
      <c r="K15" s="148">
        <f ca="1">K12-SUM(K13:K14)</f>
        <v>-169</v>
      </c>
      <c r="L15" s="148">
        <f ca="1">L12-SUM(L13:L14)</f>
        <v>-141</v>
      </c>
      <c r="M15" s="149"/>
      <c r="N15" s="148">
        <f t="shared" ca="1" si="1"/>
        <v>513</v>
      </c>
      <c r="O15" s="150"/>
      <c r="P15" s="151">
        <f t="shared" ca="1" si="0"/>
        <v>0.32321673473237644</v>
      </c>
    </row>
    <row r="16" spans="1:16" ht="12.75" customHeight="1">
      <c r="B16" s="4" t="s">
        <v>45</v>
      </c>
      <c r="C16" s="4"/>
      <c r="D16" s="4"/>
      <c r="E16" s="4"/>
      <c r="F16" s="4"/>
      <c r="G16" s="142">
        <v>16</v>
      </c>
      <c r="H16" s="142">
        <v>45</v>
      </c>
      <c r="I16" s="142">
        <v>87</v>
      </c>
      <c r="J16" s="142"/>
      <c r="K16" s="142">
        <v>-20</v>
      </c>
      <c r="L16" s="142">
        <v>-41</v>
      </c>
      <c r="M16" s="143"/>
      <c r="N16" s="142">
        <f t="shared" ca="1" si="1"/>
        <v>66</v>
      </c>
      <c r="O16" s="144"/>
      <c r="P16" s="145">
        <f t="shared" ca="1" si="0"/>
        <v>1.3318447632722039</v>
      </c>
    </row>
    <row r="17" spans="2:17" ht="12.75" customHeight="1">
      <c r="B17" s="63" t="s">
        <v>11</v>
      </c>
      <c r="G17" s="146">
        <f ca="1">+G15-G16</f>
        <v>261</v>
      </c>
      <c r="H17" s="146">
        <f ca="1">+H15-H16</f>
        <v>372</v>
      </c>
      <c r="I17" s="146">
        <f ca="1">+I15-I16</f>
        <v>398</v>
      </c>
      <c r="J17" s="149"/>
      <c r="K17" s="146">
        <f ca="1">+K15-K16</f>
        <v>-149</v>
      </c>
      <c r="L17" s="146">
        <f ca="1">+L15-L16</f>
        <v>-100</v>
      </c>
      <c r="M17" s="149"/>
      <c r="N17" s="146">
        <f t="shared" ca="1" si="1"/>
        <v>447</v>
      </c>
      <c r="O17" s="150"/>
      <c r="P17" s="151">
        <f t="shared" ca="1" si="0"/>
        <v>0.23487012052255407</v>
      </c>
      <c r="Q17" s="154"/>
    </row>
    <row r="18" spans="2:17" ht="12.75" customHeight="1">
      <c r="B18" s="63" t="s">
        <v>266</v>
      </c>
      <c r="G18" s="142">
        <v>21</v>
      </c>
      <c r="H18" s="142">
        <v>6</v>
      </c>
      <c r="I18" s="142">
        <v>8</v>
      </c>
      <c r="J18" s="149"/>
      <c r="K18" s="142">
        <v>12</v>
      </c>
      <c r="L18" s="142">
        <v>-3</v>
      </c>
      <c r="M18" s="149"/>
      <c r="N18" s="143">
        <f t="shared" ca="1" si="1"/>
        <v>-7</v>
      </c>
      <c r="O18" s="150"/>
      <c r="P18" s="151"/>
      <c r="Q18" s="154"/>
    </row>
    <row r="19" spans="2:17" ht="12.75" customHeight="1">
      <c r="B19" s="63" t="s">
        <v>267</v>
      </c>
      <c r="G19" s="430">
        <f ca="1">SUM(G17:G18)</f>
        <v>282</v>
      </c>
      <c r="H19" s="431">
        <f ca="1">SUM(H17:H18)</f>
        <v>378</v>
      </c>
      <c r="I19" s="432">
        <f ca="1">SUM(I17:I18)</f>
        <v>406</v>
      </c>
      <c r="J19" s="149"/>
      <c r="K19" s="432">
        <f ca="1">SUM(K17:K18)</f>
        <v>-137</v>
      </c>
      <c r="L19" s="432">
        <f ca="1">SUM(L17:L18)</f>
        <v>-103</v>
      </c>
      <c r="M19" s="149"/>
      <c r="N19" s="432">
        <f t="shared" ca="1" si="1"/>
        <v>440</v>
      </c>
      <c r="O19" s="150"/>
      <c r="P19" s="151"/>
      <c r="Q19" s="154"/>
    </row>
    <row r="20" spans="2:17" s="163" customFormat="1" ht="12.75" customHeight="1">
      <c r="B20" s="160" t="s">
        <v>72</v>
      </c>
      <c r="C20" s="161"/>
      <c r="D20" s="161"/>
      <c r="E20" s="161"/>
      <c r="F20" s="161"/>
      <c r="G20" s="152">
        <v>154.517</v>
      </c>
      <c r="H20" s="152">
        <v>156.38499999999999</v>
      </c>
      <c r="I20" s="152">
        <v>152.88900000000001</v>
      </c>
      <c r="J20" s="152"/>
      <c r="K20" s="152">
        <v>151.81700000000001</v>
      </c>
      <c r="L20" s="152">
        <v>147.88200000000001</v>
      </c>
      <c r="M20" s="149"/>
      <c r="N20" s="75">
        <f ca="1">(I20*4-K20*aquarter+L20*aquarter)/4</f>
        <v>151.90525000000002</v>
      </c>
      <c r="O20" s="162"/>
      <c r="P20" s="151">
        <f t="shared" ca="1" si="0"/>
        <v>-5.2819784085436083E-3</v>
      </c>
    </row>
    <row r="21" spans="2:17" s="157" customFormat="1" ht="12.75" customHeight="1">
      <c r="B21" s="164" t="s">
        <v>114</v>
      </c>
      <c r="C21" s="155"/>
      <c r="D21" s="155"/>
      <c r="E21" s="155"/>
      <c r="F21" s="155"/>
      <c r="G21" s="165">
        <f ca="1">G19/G20</f>
        <v>1.8250419047742321</v>
      </c>
      <c r="H21" s="165">
        <f t="shared" ref="H21:N21" ca="1" si="2">H19/H20</f>
        <v>2.4171116155641528</v>
      </c>
      <c r="I21" s="165">
        <f t="shared" ca="1" si="2"/>
        <v>2.6555213259292687</v>
      </c>
      <c r="J21" s="166"/>
      <c r="K21" s="165">
        <f t="shared" ca="1" si="2"/>
        <v>-0.90240223426888944</v>
      </c>
      <c r="L21" s="165">
        <f t="shared" ca="1" si="2"/>
        <v>-0.69650126452171324</v>
      </c>
      <c r="M21" s="166"/>
      <c r="N21" s="165">
        <f t="shared" ca="1" si="2"/>
        <v>2.8965424170659007</v>
      </c>
      <c r="O21" s="167"/>
      <c r="P21" s="156">
        <f t="shared" ca="1" si="0"/>
        <v>0.20625319419503274</v>
      </c>
    </row>
    <row r="22" spans="2:17" ht="12.75" customHeight="1">
      <c r="G22" s="168"/>
      <c r="H22" s="168"/>
      <c r="I22" s="168"/>
      <c r="J22" s="168"/>
      <c r="K22" s="168"/>
      <c r="L22" s="168"/>
      <c r="M22" s="168"/>
      <c r="N22" s="168"/>
      <c r="O22" s="169"/>
      <c r="P22" s="151"/>
    </row>
    <row r="23" spans="2:17" ht="12.75" customHeight="1">
      <c r="B23" s="99" t="s">
        <v>257</v>
      </c>
      <c r="G23" s="168"/>
      <c r="H23" s="168"/>
      <c r="I23" s="168"/>
      <c r="J23" s="168"/>
      <c r="K23" s="168"/>
      <c r="L23" s="168"/>
      <c r="M23" s="168"/>
      <c r="N23" s="168"/>
      <c r="O23" s="169"/>
      <c r="P23" s="151"/>
    </row>
    <row r="24" spans="2:17" ht="12.75" customHeight="1">
      <c r="B24" s="3" t="s">
        <v>258</v>
      </c>
      <c r="G24" s="170">
        <v>105</v>
      </c>
      <c r="H24" s="171">
        <f ca="1">G27</f>
        <v>122</v>
      </c>
      <c r="I24" s="171">
        <f ca="1">H27</f>
        <v>132</v>
      </c>
      <c r="J24" s="168"/>
      <c r="K24" s="171">
        <f ca="1">H27</f>
        <v>132</v>
      </c>
      <c r="L24" s="171">
        <f ca="1">I27</f>
        <v>144</v>
      </c>
      <c r="M24" s="168"/>
      <c r="N24" s="433">
        <f ca="1">K27</f>
        <v>134</v>
      </c>
      <c r="O24" s="169"/>
      <c r="P24" s="151"/>
    </row>
    <row r="25" spans="2:17" ht="12.75" customHeight="1">
      <c r="B25" s="3" t="s">
        <v>259</v>
      </c>
      <c r="G25" s="427">
        <v>24</v>
      </c>
      <c r="H25" s="428">
        <v>18</v>
      </c>
      <c r="I25" s="429">
        <v>19</v>
      </c>
      <c r="J25" s="168"/>
      <c r="K25" s="429">
        <v>4</v>
      </c>
      <c r="L25" s="429">
        <v>5</v>
      </c>
      <c r="M25" s="168"/>
      <c r="N25" s="149">
        <f ca="1">L25+I25-K25</f>
        <v>20</v>
      </c>
      <c r="O25" s="169"/>
      <c r="P25" s="151">
        <f ca="1">IF(OR(G25&lt;=0,I25&lt;=0),"NM",(I25/G25)^(1/(I$6-G$6))-1)</f>
        <v>-0.11024347899739073</v>
      </c>
    </row>
    <row r="26" spans="2:17" ht="12.75" customHeight="1">
      <c r="B26" s="3" t="s">
        <v>263</v>
      </c>
      <c r="G26" s="171">
        <f ca="1">G27-G25-G24</f>
        <v>-7</v>
      </c>
      <c r="H26" s="171">
        <f ca="1">H27-H25-H24</f>
        <v>-8</v>
      </c>
      <c r="I26" s="171">
        <f ca="1">I27-I25-I24</f>
        <v>-7</v>
      </c>
      <c r="J26" s="168"/>
      <c r="K26" s="171">
        <f ca="1">K27-K25-K24</f>
        <v>-2</v>
      </c>
      <c r="L26" s="171">
        <f ca="1">L27-L25-L24</f>
        <v>-3</v>
      </c>
      <c r="M26" s="168"/>
      <c r="N26" s="433">
        <f ca="1">L26+I26-K26</f>
        <v>-8</v>
      </c>
      <c r="O26" s="169"/>
      <c r="P26" s="151" t="str">
        <f ca="1">IF(OR(G26&lt;=0,I26&lt;=0),"NM",(I26/G26)^(1/(I$6-G$6))-1)</f>
        <v>NM</v>
      </c>
    </row>
    <row r="27" spans="2:17" ht="12.75" customHeight="1">
      <c r="B27" s="3" t="s">
        <v>260</v>
      </c>
      <c r="G27" s="427">
        <v>122</v>
      </c>
      <c r="H27" s="428">
        <v>132</v>
      </c>
      <c r="I27" s="429">
        <v>144</v>
      </c>
      <c r="J27" s="168"/>
      <c r="K27" s="429">
        <v>134</v>
      </c>
      <c r="L27" s="429">
        <v>146</v>
      </c>
      <c r="M27" s="168"/>
      <c r="N27" s="149">
        <f ca="1">SUM(N24:N26)</f>
        <v>146</v>
      </c>
      <c r="O27" s="169"/>
      <c r="P27" s="151">
        <f ca="1">IF(OR(G27&lt;=0,I27&lt;=0),"NM",(I27/G27)^(1/(I$6-G$6))-1)</f>
        <v>8.6428952510222423E-2</v>
      </c>
    </row>
    <row r="28" spans="2:17" ht="12.75" customHeight="1">
      <c r="G28" s="168"/>
      <c r="H28" s="168"/>
      <c r="I28" s="168"/>
      <c r="J28" s="168"/>
      <c r="K28" s="168"/>
      <c r="L28" s="168"/>
      <c r="M28" s="168"/>
      <c r="N28" s="168"/>
      <c r="O28" s="169"/>
      <c r="P28" s="151"/>
    </row>
    <row r="29" spans="2:17" ht="12.75" customHeight="1">
      <c r="B29" s="3" t="s">
        <v>261</v>
      </c>
      <c r="G29" s="179">
        <f ca="1">-G26/G24</f>
        <v>6.6666666666666666E-2</v>
      </c>
      <c r="H29" s="179">
        <f ca="1">-H26/H24</f>
        <v>6.5573770491803282E-2</v>
      </c>
      <c r="I29" s="179">
        <f ca="1">-I26/I24</f>
        <v>5.3030303030303032E-2</v>
      </c>
      <c r="J29" s="168"/>
      <c r="K29" s="179">
        <f ca="1">-K26/K24</f>
        <v>1.5151515151515152E-2</v>
      </c>
      <c r="L29" s="179">
        <f ca="1">-L26/L24</f>
        <v>2.0833333333333332E-2</v>
      </c>
      <c r="M29" s="168"/>
      <c r="N29" s="179">
        <f ca="1">-N26/N24</f>
        <v>5.9701492537313432E-2</v>
      </c>
      <c r="O29" s="169"/>
      <c r="P29" s="151"/>
    </row>
    <row r="30" spans="2:17" ht="12.75" customHeight="1">
      <c r="B30" s="3" t="s">
        <v>262</v>
      </c>
      <c r="G30" s="168">
        <f ca="1">G7/AVERAGE(G24,G27)</f>
        <v>77.303964757709252</v>
      </c>
      <c r="H30" s="168">
        <f ca="1">H7/AVERAGE(H24,H27)</f>
        <v>79.212598425196845</v>
      </c>
      <c r="I30" s="168">
        <f ca="1">I7/AVERAGE(I24,I27)</f>
        <v>81.326086956521735</v>
      </c>
      <c r="J30" s="168"/>
      <c r="K30" s="168">
        <f ca="1">K7/AVERAGE(K24,K27)</f>
        <v>18.857142857142858</v>
      </c>
      <c r="L30" s="168">
        <f ca="1">L7/AVERAGE(L24,L27)</f>
        <v>17.993103448275861</v>
      </c>
      <c r="M30" s="168"/>
      <c r="N30" s="168">
        <f ca="1">N7/AVERAGE(N24,N27)</f>
        <v>80.885714285714286</v>
      </c>
      <c r="O30" s="169"/>
      <c r="P30" s="151"/>
    </row>
    <row r="31" spans="2:17" ht="12.75" customHeight="1">
      <c r="G31" s="152"/>
      <c r="H31" s="152"/>
      <c r="I31" s="152"/>
      <c r="J31" s="149"/>
      <c r="K31" s="152"/>
      <c r="L31" s="152"/>
      <c r="M31" s="149"/>
      <c r="N31" s="118"/>
      <c r="O31" s="169"/>
      <c r="P31" s="172"/>
    </row>
    <row r="32" spans="2:17" ht="12.75" customHeight="1">
      <c r="B32" s="99" t="s">
        <v>15</v>
      </c>
      <c r="G32" s="169"/>
      <c r="H32" s="169"/>
      <c r="I32" s="169"/>
      <c r="J32" s="169"/>
      <c r="K32" s="169"/>
      <c r="L32" s="169"/>
      <c r="M32" s="169"/>
      <c r="N32" s="169"/>
      <c r="O32" s="169"/>
      <c r="P32" s="172"/>
    </row>
    <row r="33" spans="2:16" ht="12.75" customHeight="1">
      <c r="B33" s="3" t="s">
        <v>241</v>
      </c>
      <c r="G33" s="111">
        <f ca="1">+G43</f>
        <v>580</v>
      </c>
      <c r="H33" s="111">
        <f t="shared" ref="H33:N33" ca="1" si="3">+H43</f>
        <v>667</v>
      </c>
      <c r="I33" s="111">
        <f t="shared" ca="1" si="3"/>
        <v>783</v>
      </c>
      <c r="J33" s="111"/>
      <c r="K33" s="111">
        <f t="shared" ca="1" si="3"/>
        <v>-162</v>
      </c>
      <c r="L33" s="111">
        <f t="shared" ca="1" si="3"/>
        <v>-111</v>
      </c>
      <c r="M33" s="111"/>
      <c r="N33" s="111">
        <f t="shared" ca="1" si="3"/>
        <v>834</v>
      </c>
      <c r="O33" s="162"/>
      <c r="P33" s="173">
        <f ca="1">IF(OR(G33&lt;=0,I33&lt;=0),"NM",(I33/G33)^(1/(I$6-G$6))-1)</f>
        <v>0.16189500386222511</v>
      </c>
    </row>
    <row r="34" spans="2:16" ht="12.75" customHeight="1">
      <c r="B34" s="3" t="s">
        <v>226</v>
      </c>
      <c r="G34" s="75">
        <f ca="1">+'Cash Flow'!G10</f>
        <v>242</v>
      </c>
      <c r="H34" s="75">
        <f ca="1">+'Cash Flow'!H10</f>
        <v>149</v>
      </c>
      <c r="I34" s="75">
        <f ca="1">+'Cash Flow'!I10</f>
        <v>203</v>
      </c>
      <c r="J34" s="75"/>
      <c r="K34" s="75">
        <f ca="1">+'Cash Flow'!K10</f>
        <v>50</v>
      </c>
      <c r="L34" s="75">
        <f ca="1">+'Cash Flow'!L10</f>
        <v>56</v>
      </c>
      <c r="M34" s="118"/>
      <c r="N34" s="118">
        <f ca="1">N13</f>
        <v>109</v>
      </c>
      <c r="O34" s="162"/>
      <c r="P34" s="173">
        <f ca="1">IF(OR(G34&lt;=0,I34&lt;=0),"NM",(I34/G34)^(1/(I$6-G$6))-1)</f>
        <v>-8.4116287290459835E-2</v>
      </c>
    </row>
    <row r="35" spans="2:16" ht="12.75" customHeight="1">
      <c r="B35" s="174" t="s">
        <v>16</v>
      </c>
      <c r="C35" s="4"/>
      <c r="D35" s="4"/>
      <c r="E35" s="4"/>
      <c r="F35" s="4"/>
      <c r="G35" s="100">
        <f ca="1">'Cash Flow'!G9</f>
        <v>829</v>
      </c>
      <c r="H35" s="100">
        <f ca="1">'Cash Flow'!H9</f>
        <v>889</v>
      </c>
      <c r="I35" s="100">
        <f ca="1">'Cash Flow'!I9</f>
        <v>1001</v>
      </c>
      <c r="J35" s="100"/>
      <c r="K35" s="100">
        <f ca="1">'Cash Flow'!K9</f>
        <v>239</v>
      </c>
      <c r="L35" s="100">
        <f ca="1">'Cash Flow'!L9</f>
        <v>228</v>
      </c>
      <c r="M35" s="53"/>
      <c r="N35" s="143">
        <f ca="1">I35-K35+L35</f>
        <v>990</v>
      </c>
      <c r="O35" s="176"/>
      <c r="P35" s="177">
        <f ca="1">IF(OR(G35&lt;=0,I35&lt;=0),"NM",(I35/G35)^(1/(I$6-G$6))-1)</f>
        <v>9.8853443471508484E-2</v>
      </c>
    </row>
    <row r="36" spans="2:16" ht="12.75" customHeight="1">
      <c r="B36" s="3" t="s">
        <v>10</v>
      </c>
      <c r="G36" s="178">
        <f ca="1">+SUM(G33:G35)</f>
        <v>1651</v>
      </c>
      <c r="H36" s="178">
        <f ca="1">+SUM(H33:H35)</f>
        <v>1705</v>
      </c>
      <c r="I36" s="178">
        <f ca="1">+SUM(I33:I35)</f>
        <v>1987</v>
      </c>
      <c r="J36" s="158"/>
      <c r="K36" s="178">
        <f ca="1">+SUM(K33:K35)</f>
        <v>127</v>
      </c>
      <c r="L36" s="178">
        <f ca="1">+SUM(L33:L35)</f>
        <v>173</v>
      </c>
      <c r="M36" s="158"/>
      <c r="N36" s="178">
        <f ca="1">+SUM(N33:N35)</f>
        <v>1933</v>
      </c>
      <c r="O36" s="150"/>
      <c r="P36" s="173">
        <f ca="1">IF(OR(G36&lt;=0,I36&lt;=0),"NM",(I36/G36)^(1/(I$6-G$6))-1)</f>
        <v>9.7047411195459787E-2</v>
      </c>
    </row>
    <row r="37" spans="2:16" ht="12.75" customHeight="1">
      <c r="G37" s="179"/>
      <c r="H37" s="179"/>
      <c r="I37" s="179"/>
      <c r="J37" s="158"/>
      <c r="K37" s="179"/>
      <c r="L37" s="179"/>
      <c r="M37" s="158"/>
      <c r="N37" s="158"/>
      <c r="O37" s="150"/>
      <c r="P37" s="173"/>
    </row>
    <row r="38" spans="2:16" ht="12.75" customHeight="1">
      <c r="B38" s="99" t="s">
        <v>165</v>
      </c>
      <c r="G38" s="169"/>
      <c r="H38" s="169"/>
      <c r="I38" s="169"/>
      <c r="J38" s="169"/>
      <c r="K38" s="169"/>
      <c r="L38" s="169"/>
      <c r="M38" s="169"/>
      <c r="N38" s="169"/>
      <c r="O38" s="169"/>
      <c r="P38" s="172"/>
    </row>
    <row r="39" spans="2:16" ht="12.75" customHeight="1">
      <c r="B39" s="3" t="str">
        <f ca="1">+B9</f>
        <v>Gross Profit</v>
      </c>
      <c r="G39" s="111">
        <f ca="1">+G9+G$75</f>
        <v>7177</v>
      </c>
      <c r="H39" s="111">
        <f ca="1">+H9+H$75</f>
        <v>8303</v>
      </c>
      <c r="I39" s="111">
        <f ca="1">+I9+I$75</f>
        <v>9258</v>
      </c>
      <c r="J39" s="111"/>
      <c r="K39" s="111">
        <f ca="1">+K9+K$75</f>
        <v>2021</v>
      </c>
      <c r="L39" s="111">
        <f ca="1">+L9+L$75</f>
        <v>2096</v>
      </c>
      <c r="M39" s="111"/>
      <c r="N39" s="111">
        <f t="shared" ref="N39:N46" ca="1" si="4">I39-K39+L39</f>
        <v>9333</v>
      </c>
      <c r="O39" s="162"/>
      <c r="P39" s="173">
        <f t="shared" ref="P39:P46" ca="1" si="5">IF(OR(G39&lt;=0,I39&lt;=0),"NM",(I39/G39)^(1/(I$6-G$6))-1)</f>
        <v>0.13576142731888274</v>
      </c>
    </row>
    <row r="40" spans="2:16" ht="12.75" customHeight="1">
      <c r="B40" s="3" t="s">
        <v>256</v>
      </c>
      <c r="G40" s="118">
        <f ca="1">+G10+G$81</f>
        <v>6280</v>
      </c>
      <c r="H40" s="118">
        <f ca="1">+H10+H$81</f>
        <v>7361</v>
      </c>
      <c r="I40" s="118">
        <f ca="1">+I10+I$81</f>
        <v>8192</v>
      </c>
      <c r="J40" s="118"/>
      <c r="K40" s="118">
        <f ca="1">+K10+K$81</f>
        <v>2111</v>
      </c>
      <c r="L40" s="118">
        <f ca="1">+L10+L$81</f>
        <v>2155</v>
      </c>
      <c r="M40" s="118"/>
      <c r="N40" s="118">
        <f t="shared" ca="1" si="4"/>
        <v>8236</v>
      </c>
      <c r="O40" s="162"/>
      <c r="P40" s="173">
        <f t="shared" ca="1" si="5"/>
        <v>0.14212897639719935</v>
      </c>
    </row>
    <row r="41" spans="2:16" ht="12.75" customHeight="1">
      <c r="B41" s="3" t="s">
        <v>276</v>
      </c>
      <c r="G41" s="118">
        <f ca="1">+G11-G87</f>
        <v>317</v>
      </c>
      <c r="H41" s="118">
        <f ca="1">+H11-H87</f>
        <v>275</v>
      </c>
      <c r="I41" s="118">
        <f ca="1">+I11-I87</f>
        <v>283</v>
      </c>
      <c r="J41" s="118"/>
      <c r="K41" s="118">
        <f ca="1">+K11-K87</f>
        <v>72</v>
      </c>
      <c r="L41" s="118">
        <f ca="1">+L11-L87</f>
        <v>52</v>
      </c>
      <c r="M41" s="118"/>
      <c r="N41" s="118">
        <f t="shared" ca="1" si="4"/>
        <v>263</v>
      </c>
      <c r="O41" s="162"/>
      <c r="P41" s="173">
        <f t="shared" ca="1" si="5"/>
        <v>-5.5148435205154445E-2</v>
      </c>
    </row>
    <row r="42" spans="2:16" ht="12.75" customHeight="1">
      <c r="B42" s="3" t="str">
        <f ca="1">+B36</f>
        <v>EBITDA</v>
      </c>
      <c r="G42" s="118">
        <f ca="1">+G36+G$89</f>
        <v>1769</v>
      </c>
      <c r="H42" s="118">
        <f ca="1">+H36+H$89</f>
        <v>1747</v>
      </c>
      <c r="I42" s="118">
        <f ca="1">+I36+I$89</f>
        <v>2056</v>
      </c>
      <c r="J42" s="118"/>
      <c r="K42" s="118">
        <f ca="1">+K36+K$89</f>
        <v>130</v>
      </c>
      <c r="L42" s="118">
        <f ca="1">+L36+L$89</f>
        <v>193</v>
      </c>
      <c r="M42" s="118"/>
      <c r="N42" s="118">
        <f t="shared" ca="1" si="4"/>
        <v>2119</v>
      </c>
      <c r="O42" s="162"/>
      <c r="P42" s="173">
        <f t="shared" ca="1" si="5"/>
        <v>7.8071682614250015E-2</v>
      </c>
    </row>
    <row r="43" spans="2:16" ht="12.75" customHeight="1">
      <c r="B43" s="3" t="str">
        <f ca="1">+B33</f>
        <v>Operating Income</v>
      </c>
      <c r="G43" s="118">
        <f ca="1">+G12+G$89</f>
        <v>580</v>
      </c>
      <c r="H43" s="118">
        <f ca="1">+H12+H$89</f>
        <v>667</v>
      </c>
      <c r="I43" s="118">
        <f ca="1">+I12+I$89</f>
        <v>783</v>
      </c>
      <c r="J43" s="118"/>
      <c r="K43" s="118">
        <f ca="1">+K12+K$89</f>
        <v>-162</v>
      </c>
      <c r="L43" s="118">
        <f ca="1">+L12+L$89</f>
        <v>-111</v>
      </c>
      <c r="M43" s="118"/>
      <c r="N43" s="118">
        <f t="shared" ca="1" si="4"/>
        <v>834</v>
      </c>
      <c r="O43" s="162"/>
      <c r="P43" s="173">
        <f t="shared" ca="1" si="5"/>
        <v>0.16189500386222511</v>
      </c>
    </row>
    <row r="44" spans="2:16" ht="12.75" customHeight="1">
      <c r="B44" s="3" t="s">
        <v>276</v>
      </c>
      <c r="G44" s="118">
        <f ca="1">+G14+G95</f>
        <v>32</v>
      </c>
      <c r="H44" s="118">
        <f ca="1">+H14+H95</f>
        <v>60</v>
      </c>
      <c r="I44" s="118">
        <f ca="1">+I14+I95</f>
        <v>110</v>
      </c>
      <c r="J44" s="118"/>
      <c r="K44" s="118">
        <f ca="1">+K14+K95</f>
        <v>-36</v>
      </c>
      <c r="L44" s="118">
        <f ca="1">+L14+L95</f>
        <v>-20</v>
      </c>
      <c r="M44" s="118"/>
      <c r="N44" s="118">
        <f t="shared" ca="1" si="4"/>
        <v>126</v>
      </c>
      <c r="O44" s="162"/>
      <c r="P44" s="173">
        <f t="shared" ca="1" si="5"/>
        <v>0.85404962177391575</v>
      </c>
    </row>
    <row r="45" spans="2:16" ht="12.75" customHeight="1">
      <c r="B45" s="3" t="str">
        <f ca="1">+B19</f>
        <v>Net Income Attributable to Common</v>
      </c>
      <c r="G45" s="118">
        <f ca="1">+G19+G$102</f>
        <v>370.5</v>
      </c>
      <c r="H45" s="118">
        <f ca="1">+H19+H$102</f>
        <v>409.5</v>
      </c>
      <c r="I45" s="118">
        <f ca="1">+I19+I$102</f>
        <v>457.75</v>
      </c>
      <c r="J45" s="118"/>
      <c r="K45" s="118">
        <f ca="1">+K19+K$102</f>
        <v>-134</v>
      </c>
      <c r="L45" s="118">
        <f ca="1">+L19+L$102</f>
        <v>-83</v>
      </c>
      <c r="M45" s="118"/>
      <c r="N45" s="118">
        <f t="shared" ca="1" si="4"/>
        <v>508.75</v>
      </c>
      <c r="O45" s="162"/>
      <c r="P45" s="173">
        <f t="shared" ca="1" si="5"/>
        <v>0.11152713758946997</v>
      </c>
    </row>
    <row r="46" spans="2:16" ht="12.75" customHeight="1">
      <c r="B46" s="3" t="str">
        <f ca="1">+B21</f>
        <v>Diluted EPS</v>
      </c>
      <c r="G46" s="98">
        <f ca="1">+G45/G20</f>
        <v>2.397794417442741</v>
      </c>
      <c r="H46" s="98">
        <f ca="1">+H45/H20</f>
        <v>2.6185375835278322</v>
      </c>
      <c r="I46" s="98">
        <f ca="1">+I45/I20</f>
        <v>2.9940021845914355</v>
      </c>
      <c r="J46" s="111"/>
      <c r="K46" s="98">
        <f ca="1">+K45/K20</f>
        <v>-0.88264160140168757</v>
      </c>
      <c r="L46" s="98">
        <f ca="1">+L45/L20</f>
        <v>-0.5612583005369145</v>
      </c>
      <c r="M46" s="111"/>
      <c r="N46" s="98">
        <f t="shared" ca="1" si="4"/>
        <v>3.3153854854562086</v>
      </c>
      <c r="O46" s="162"/>
      <c r="P46" s="173">
        <f t="shared" ca="1" si="5"/>
        <v>0.11742937542352938</v>
      </c>
    </row>
    <row r="47" spans="2:16" ht="12.75" customHeight="1">
      <c r="G47" s="111"/>
      <c r="H47" s="111"/>
      <c r="I47" s="111"/>
      <c r="J47" s="111"/>
      <c r="K47" s="111"/>
      <c r="L47" s="111"/>
      <c r="M47" s="111"/>
      <c r="N47" s="111"/>
      <c r="O47" s="162"/>
      <c r="P47" s="173"/>
    </row>
    <row r="48" spans="2:16" ht="12.75" customHeight="1">
      <c r="B48" s="99" t="s">
        <v>206</v>
      </c>
      <c r="G48" s="179"/>
      <c r="H48" s="179"/>
      <c r="I48" s="179"/>
      <c r="J48" s="159"/>
      <c r="K48" s="179"/>
      <c r="L48" s="179"/>
      <c r="M48" s="159"/>
      <c r="N48" s="179"/>
      <c r="O48" s="150"/>
      <c r="P48" s="180"/>
    </row>
    <row r="49" spans="2:16" ht="12.75" customHeight="1">
      <c r="B49" s="3" t="str">
        <f ca="1">+B39</f>
        <v>Gross Profit</v>
      </c>
      <c r="G49" s="179">
        <f ca="1">+G39/G7</f>
        <v>0.81798495555049011</v>
      </c>
      <c r="H49" s="179">
        <f ca="1">+H39/H7</f>
        <v>0.82534791252485085</v>
      </c>
      <c r="I49" s="179">
        <f ca="1">+I39/I7</f>
        <v>0.82491312483293233</v>
      </c>
      <c r="J49" s="181"/>
      <c r="K49" s="179">
        <f ca="1">+K39/K7</f>
        <v>0.80582137161084533</v>
      </c>
      <c r="L49" s="179">
        <f ca="1">+L39/L7</f>
        <v>0.80337293982368718</v>
      </c>
      <c r="M49" s="179"/>
      <c r="N49" s="179">
        <f ca="1">+N39/N7</f>
        <v>0.82417873542917697</v>
      </c>
      <c r="O49" s="181"/>
      <c r="P49" s="180"/>
    </row>
    <row r="50" spans="2:16" ht="12.75" customHeight="1">
      <c r="B50" s="3" t="str">
        <f ca="1">+B40</f>
        <v>SG&amp;A</v>
      </c>
      <c r="G50" s="179">
        <f ca="1">+G40/G7</f>
        <v>0.7157510827444723</v>
      </c>
      <c r="H50" s="179">
        <f ca="1">+H40/H7</f>
        <v>0.73170974155069579</v>
      </c>
      <c r="I50" s="179">
        <f ca="1">+I40/I7</f>
        <v>0.72992960883899138</v>
      </c>
      <c r="J50" s="181"/>
      <c r="K50" s="179">
        <f ca="1">+K40/K7</f>
        <v>0.84170653907496018</v>
      </c>
      <c r="L50" s="179">
        <f ca="1">+L40/L7</f>
        <v>0.82598696818704487</v>
      </c>
      <c r="M50" s="179"/>
      <c r="N50" s="179">
        <f ca="1">+N40/N7</f>
        <v>0.72730483927940659</v>
      </c>
      <c r="O50" s="181"/>
      <c r="P50" s="180"/>
    </row>
    <row r="51" spans="2:16" ht="12.75" customHeight="1">
      <c r="B51" s="3" t="str">
        <f ca="1">+B42</f>
        <v>EBITDA</v>
      </c>
      <c r="G51" s="179">
        <f ca="1">+G42/G7</f>
        <v>0.20161841805333941</v>
      </c>
      <c r="H51" s="179">
        <f ca="1">+H42/H7</f>
        <v>0.17365805168986084</v>
      </c>
      <c r="I51" s="179">
        <f ca="1">+I42/I7</f>
        <v>0.18319522409337965</v>
      </c>
      <c r="J51" s="181"/>
      <c r="K51" s="179">
        <f ca="1">+K42/K7</f>
        <v>5.1834130781499205E-2</v>
      </c>
      <c r="L51" s="179">
        <f ca="1">+L42/L7</f>
        <v>7.3974702951322344E-2</v>
      </c>
      <c r="M51" s="179"/>
      <c r="N51" s="179">
        <f ca="1">+N42/N7</f>
        <v>0.1871246909219357</v>
      </c>
      <c r="O51" s="181"/>
      <c r="P51" s="180"/>
    </row>
    <row r="52" spans="2:16" ht="12.75" customHeight="1">
      <c r="B52" s="3" t="str">
        <f ca="1">+B43</f>
        <v>Operating Income</v>
      </c>
      <c r="G52" s="179">
        <f ca="1">+G43/G7</f>
        <v>6.6104399361750624E-2</v>
      </c>
      <c r="H52" s="179">
        <f ca="1">+H43/H7</f>
        <v>6.6302186878727631E-2</v>
      </c>
      <c r="I52" s="179">
        <f ca="1">+I43/I7</f>
        <v>6.9767441860465115E-2</v>
      </c>
      <c r="J52" s="181"/>
      <c r="K52" s="179">
        <f ca="1">+K43/K7</f>
        <v>-6.4593301435406703E-2</v>
      </c>
      <c r="L52" s="179">
        <f ca="1">+L43/L7</f>
        <v>-4.2545036412418552E-2</v>
      </c>
      <c r="M52" s="179"/>
      <c r="N52" s="179">
        <f ca="1">+N43/N7</f>
        <v>7.3648887318968556E-2</v>
      </c>
      <c r="O52" s="181"/>
      <c r="P52" s="180"/>
    </row>
    <row r="53" spans="2:16" ht="12.75" customHeight="1">
      <c r="B53" s="3" t="s">
        <v>11</v>
      </c>
      <c r="G53" s="179">
        <f ca="1">+G45/G7</f>
        <v>4.2227034419876908E-2</v>
      </c>
      <c r="H53" s="179">
        <f ca="1">+H45/H7</f>
        <v>4.0705765407554675E-2</v>
      </c>
      <c r="I53" s="179">
        <f ca="1">+I45/I7</f>
        <v>4.078677715405863E-2</v>
      </c>
      <c r="J53" s="181"/>
      <c r="K53" s="179">
        <f ca="1">+K45/K7</f>
        <v>-5.3429027113237638E-2</v>
      </c>
      <c r="L53" s="179">
        <f ca="1">+L45/L7</f>
        <v>-3.1812955155231887E-2</v>
      </c>
      <c r="M53" s="179"/>
      <c r="N53" s="179">
        <f ca="1">+N45/N7</f>
        <v>4.4926704344754501E-2</v>
      </c>
      <c r="O53" s="181"/>
      <c r="P53" s="180"/>
    </row>
    <row r="54" spans="2:16" ht="12.75" customHeight="1">
      <c r="G54" s="149"/>
      <c r="H54" s="149"/>
      <c r="I54" s="149"/>
      <c r="J54" s="181"/>
      <c r="K54" s="149"/>
      <c r="L54" s="149"/>
      <c r="M54" s="181"/>
      <c r="N54" s="149"/>
      <c r="O54" s="181"/>
      <c r="P54" s="180"/>
    </row>
    <row r="55" spans="2:16" ht="12.75" customHeight="1">
      <c r="B55" s="99" t="s">
        <v>207</v>
      </c>
      <c r="G55" s="181"/>
      <c r="H55" s="181"/>
      <c r="I55" s="181"/>
      <c r="J55" s="181"/>
      <c r="K55" s="181"/>
      <c r="L55" s="181"/>
      <c r="M55" s="181"/>
      <c r="N55" s="181"/>
      <c r="O55" s="181"/>
      <c r="P55" s="180"/>
    </row>
    <row r="56" spans="2:16" ht="12.75" customHeight="1">
      <c r="B56" s="3" t="str">
        <f ca="1">B7</f>
        <v>Revenue</v>
      </c>
      <c r="G56" s="182">
        <v>0</v>
      </c>
      <c r="H56" s="182">
        <f ca="1">(H7/G7-1)</f>
        <v>0.14656940961932974</v>
      </c>
      <c r="I56" s="182">
        <f ca="1">(I7/H7-1)</f>
        <v>0.11560636182902595</v>
      </c>
      <c r="K56" s="182">
        <v>0</v>
      </c>
      <c r="L56" s="182">
        <f ca="1">(L7/K7-1)</f>
        <v>4.0271132376395569E-2</v>
      </c>
      <c r="N56" s="182">
        <v>0</v>
      </c>
      <c r="O56" s="181"/>
      <c r="P56" s="180"/>
    </row>
    <row r="57" spans="2:16" ht="12.75" customHeight="1">
      <c r="B57" s="3" t="str">
        <f ca="1">+B42</f>
        <v>EBITDA</v>
      </c>
      <c r="G57" s="182">
        <v>0</v>
      </c>
      <c r="H57" s="182">
        <f ca="1">IF(OR(G42&lt;=0,H42&lt;0),"NM",(H42/G42-1))</f>
        <v>-1.2436404748445429E-2</v>
      </c>
      <c r="I57" s="182">
        <f ca="1">IF(OR(H42&lt;=0,I42&lt;0),"NM",(I42/H42-1))</f>
        <v>0.17687464224384652</v>
      </c>
      <c r="J57" s="96"/>
      <c r="K57" s="182">
        <v>0</v>
      </c>
      <c r="L57" s="182">
        <f ca="1">IF(OR(K42&lt;=0,L42&lt;0),"NM",(L42/K42-1))</f>
        <v>0.48461538461538467</v>
      </c>
      <c r="M57" s="96"/>
      <c r="N57" s="182">
        <v>0</v>
      </c>
      <c r="O57" s="181"/>
      <c r="P57" s="180"/>
    </row>
    <row r="58" spans="2:16" ht="12.75" customHeight="1">
      <c r="B58" s="3" t="str">
        <f ca="1">+B43</f>
        <v>Operating Income</v>
      </c>
      <c r="G58" s="182">
        <v>0</v>
      </c>
      <c r="H58" s="182">
        <f ca="1">IF(OR(G43&lt;=0,H43&lt;0),"NM",(H43/G43-1))</f>
        <v>0.14999999999999991</v>
      </c>
      <c r="I58" s="182">
        <f ca="1">IF(OR(H43&lt;=0,I43&lt;0),"NM",(I43/H43-1))</f>
        <v>0.17391304347826098</v>
      </c>
      <c r="J58" s="96"/>
      <c r="K58" s="182">
        <v>0</v>
      </c>
      <c r="L58" s="182" t="str">
        <f ca="1">IF(OR(K43&lt;=0,L43&lt;0),"NM",(L43/K43-1))</f>
        <v>NM</v>
      </c>
      <c r="M58" s="96"/>
      <c r="N58" s="182">
        <v>0</v>
      </c>
      <c r="O58" s="181"/>
      <c r="P58" s="180"/>
    </row>
    <row r="59" spans="2:16" ht="12.75" customHeight="1">
      <c r="B59" s="3" t="str">
        <f ca="1">+B45</f>
        <v>Net Income Attributable to Common</v>
      </c>
      <c r="G59" s="182">
        <v>0</v>
      </c>
      <c r="H59" s="182">
        <f ca="1">IF(OR(G45&lt;=0,H45&lt;0),"NM",(H45/G45-1))</f>
        <v>0.10526315789473695</v>
      </c>
      <c r="I59" s="182">
        <f ca="1">IF(OR(H45&lt;=0,I45&lt;0),"NM",(I45/H45-1))</f>
        <v>0.11782661782661785</v>
      </c>
      <c r="J59" s="96"/>
      <c r="K59" s="182">
        <v>0</v>
      </c>
      <c r="L59" s="182" t="str">
        <f ca="1">IF(OR(K45&lt;=0,L45&lt;0),"NM",(L45/K45-1))</f>
        <v>NM</v>
      </c>
      <c r="M59" s="96"/>
      <c r="N59" s="182">
        <v>0</v>
      </c>
      <c r="O59" s="181"/>
      <c r="P59" s="180"/>
    </row>
    <row r="60" spans="2:16" ht="12.75" customHeight="1">
      <c r="B60" s="3" t="str">
        <f ca="1">+B46</f>
        <v>Diluted EPS</v>
      </c>
      <c r="G60" s="182">
        <v>0</v>
      </c>
      <c r="H60" s="182">
        <f ca="1">IF(OR(G46&lt;=0,H46&lt;0),"NM",(H46/G46-1))</f>
        <v>9.2060922520836863E-2</v>
      </c>
      <c r="I60" s="182">
        <f ca="1">IF(OR(H46&lt;=0,I46&lt;0),"NM",(I46/H46-1))</f>
        <v>0.14338713464549846</v>
      </c>
      <c r="J60" s="96"/>
      <c r="K60" s="182">
        <v>0</v>
      </c>
      <c r="L60" s="182" t="str">
        <f ca="1">IF(OR(K46&lt;=0,L46&lt;0),"NM",(L46/K46-1))</f>
        <v>NM</v>
      </c>
      <c r="M60" s="96"/>
      <c r="N60" s="182">
        <v>0</v>
      </c>
      <c r="O60" s="181"/>
      <c r="P60" s="180"/>
    </row>
    <row r="61" spans="2:16" ht="12.75" customHeight="1">
      <c r="B61" s="4"/>
      <c r="C61" s="4"/>
      <c r="D61" s="4"/>
      <c r="E61" s="4"/>
      <c r="F61" s="4"/>
      <c r="G61" s="183"/>
      <c r="H61" s="4"/>
      <c r="I61" s="4"/>
      <c r="J61" s="4"/>
      <c r="K61" s="4"/>
      <c r="L61" s="4"/>
      <c r="M61" s="4"/>
      <c r="N61" s="4"/>
      <c r="O61" s="4"/>
      <c r="P61" s="184"/>
    </row>
    <row r="62" spans="2:16" ht="12.75" customHeight="1">
      <c r="B62" s="185" t="str">
        <f ca="1">"Source: Company's "&amp;YEAR(afye)&amp;" Form 10-K"&amp;IF(aquarter&lt;&gt;4," and Form 10-Q for the period ended "&amp;TEXT(altmdate,"mmmm d, yyyy")&amp;".",".")</f>
        <v>Source: Company's 2018 Form 10-K and Form 10-Q for the period ended March 31, 2019.</v>
      </c>
      <c r="C62" s="113"/>
      <c r="D62" s="186"/>
      <c r="E62" s="186"/>
      <c r="F62" s="186"/>
      <c r="G62" s="113"/>
      <c r="H62" s="113"/>
      <c r="I62" s="113"/>
      <c r="J62" s="113"/>
      <c r="K62" s="113"/>
      <c r="L62" s="187"/>
      <c r="M62" s="187"/>
      <c r="N62" s="113"/>
      <c r="O62" s="113"/>
      <c r="P62" s="187"/>
    </row>
    <row r="63" spans="2:16" ht="12.75" customHeight="1">
      <c r="B63" s="114" t="s">
        <v>158</v>
      </c>
      <c r="K63" s="117"/>
      <c r="L63" s="117"/>
      <c r="M63" s="117"/>
      <c r="N63" s="117"/>
      <c r="P63" s="188"/>
    </row>
    <row r="66" spans="2:16" ht="15.75" customHeight="1" thickBot="1">
      <c r="B66" s="189" t="s">
        <v>153</v>
      </c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2:16" ht="12.75" customHeight="1">
      <c r="B67" s="61" t="s">
        <v>110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2:16" s="14" customFormat="1" ht="12.75" customHeight="1">
      <c r="B68" s="9"/>
      <c r="C68" s="9"/>
      <c r="D68" s="9"/>
      <c r="E68" s="9"/>
      <c r="F68" s="9"/>
      <c r="G68" s="131"/>
      <c r="H68" s="18"/>
      <c r="I68" s="18"/>
      <c r="J68" s="10"/>
      <c r="K68" s="131" t="str">
        <f ca="1">K$5</f>
        <v>Three Months Ended</v>
      </c>
      <c r="L68" s="131"/>
      <c r="M68" s="9"/>
      <c r="N68" s="190"/>
      <c r="O68" s="9"/>
      <c r="P68" s="190"/>
    </row>
    <row r="69" spans="2:16" s="14" customFormat="1" ht="15" customHeight="1">
      <c r="B69" s="191" t="s">
        <v>154</v>
      </c>
      <c r="C69" s="9"/>
      <c r="D69" s="9"/>
      <c r="E69" s="9"/>
      <c r="F69" s="9"/>
      <c r="G69" s="131">
        <f t="shared" ref="G69:L69" ca="1" si="6">G$6</f>
        <v>2016</v>
      </c>
      <c r="H69" s="131">
        <f t="shared" ca="1" si="6"/>
        <v>2017</v>
      </c>
      <c r="I69" s="131">
        <f t="shared" ca="1" si="6"/>
        <v>2018</v>
      </c>
      <c r="J69" s="192"/>
      <c r="K69" s="193">
        <f t="shared" ca="1" si="6"/>
        <v>43190</v>
      </c>
      <c r="L69" s="193">
        <f t="shared" ca="1" si="6"/>
        <v>43555</v>
      </c>
      <c r="M69" s="192"/>
      <c r="N69" s="194"/>
      <c r="O69" s="9"/>
      <c r="P69" s="42"/>
    </row>
    <row r="70" spans="2:16" s="14" customFormat="1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O70" s="9"/>
    </row>
    <row r="71" spans="2:16">
      <c r="B71" s="99" t="s">
        <v>264</v>
      </c>
      <c r="N71" s="4"/>
    </row>
    <row r="72" spans="2:16">
      <c r="B72" s="1" t="s">
        <v>141</v>
      </c>
      <c r="G72" s="152">
        <v>0</v>
      </c>
      <c r="H72" s="152">
        <v>0</v>
      </c>
      <c r="I72" s="152">
        <v>0</v>
      </c>
      <c r="J72" s="152"/>
      <c r="K72" s="152">
        <v>0</v>
      </c>
      <c r="L72" s="152">
        <v>0</v>
      </c>
      <c r="M72" s="152"/>
      <c r="N72" s="143"/>
    </row>
    <row r="73" spans="2:16">
      <c r="B73" s="1" t="s">
        <v>141</v>
      </c>
      <c r="G73" s="152">
        <v>0</v>
      </c>
      <c r="H73" s="152">
        <v>0</v>
      </c>
      <c r="I73" s="152">
        <v>0</v>
      </c>
      <c r="J73" s="152"/>
      <c r="K73" s="152">
        <v>0</v>
      </c>
      <c r="L73" s="152">
        <v>0</v>
      </c>
      <c r="M73" s="152"/>
      <c r="N73" s="143"/>
    </row>
    <row r="74" spans="2:16">
      <c r="B74" s="1" t="s">
        <v>141</v>
      </c>
      <c r="G74" s="142">
        <v>0</v>
      </c>
      <c r="H74" s="142">
        <v>0</v>
      </c>
      <c r="I74" s="142">
        <v>0</v>
      </c>
      <c r="J74" s="152"/>
      <c r="K74" s="142">
        <v>0</v>
      </c>
      <c r="L74" s="142">
        <v>0</v>
      </c>
      <c r="M74" s="152"/>
      <c r="N74" s="143"/>
    </row>
    <row r="75" spans="2:16">
      <c r="B75" s="110" t="s">
        <v>12</v>
      </c>
      <c r="G75" s="195">
        <f ca="1">SUM(G72:G74)</f>
        <v>0</v>
      </c>
      <c r="H75" s="195">
        <f ca="1">SUM(H72:H74)</f>
        <v>0</v>
      </c>
      <c r="I75" s="195">
        <f ca="1">SUM(I72:I74)</f>
        <v>0</v>
      </c>
      <c r="J75" s="142"/>
      <c r="K75" s="195">
        <f ca="1">SUM(K72:K74)</f>
        <v>0</v>
      </c>
      <c r="L75" s="195">
        <f ca="1">SUM(L72:L74)</f>
        <v>0</v>
      </c>
      <c r="M75" s="152"/>
      <c r="N75" s="53"/>
    </row>
    <row r="76" spans="2:16">
      <c r="B76" s="1"/>
      <c r="G76" s="196"/>
      <c r="H76" s="196"/>
      <c r="I76" s="196"/>
      <c r="J76" s="196"/>
      <c r="K76" s="196"/>
      <c r="L76" s="196"/>
      <c r="M76" s="196"/>
      <c r="N76" s="197"/>
    </row>
    <row r="77" spans="2:16">
      <c r="B77" s="99" t="s">
        <v>265</v>
      </c>
      <c r="C77" s="99"/>
      <c r="G77" s="196"/>
      <c r="H77" s="196"/>
      <c r="I77" s="196"/>
      <c r="J77" s="196"/>
      <c r="K77" s="196"/>
      <c r="L77" s="196"/>
      <c r="M77" s="196"/>
      <c r="N77" s="197"/>
    </row>
    <row r="78" spans="2:16">
      <c r="B78" s="1" t="s">
        <v>141</v>
      </c>
      <c r="G78" s="152">
        <v>0</v>
      </c>
      <c r="H78" s="152">
        <v>0</v>
      </c>
      <c r="I78" s="152">
        <v>0</v>
      </c>
      <c r="J78" s="152"/>
      <c r="K78" s="152">
        <v>0</v>
      </c>
      <c r="L78" s="152">
        <v>0</v>
      </c>
      <c r="M78" s="152"/>
      <c r="N78" s="143"/>
    </row>
    <row r="79" spans="2:16">
      <c r="B79" s="1" t="s">
        <v>141</v>
      </c>
      <c r="G79" s="152">
        <v>0</v>
      </c>
      <c r="H79" s="152">
        <v>0</v>
      </c>
      <c r="I79" s="152">
        <v>0</v>
      </c>
      <c r="J79" s="152"/>
      <c r="K79" s="152">
        <v>0</v>
      </c>
      <c r="L79" s="152">
        <v>0</v>
      </c>
      <c r="M79" s="152"/>
      <c r="N79" s="143"/>
    </row>
    <row r="80" spans="2:16">
      <c r="B80" s="1" t="s">
        <v>141</v>
      </c>
      <c r="G80" s="142">
        <v>0</v>
      </c>
      <c r="H80" s="142">
        <v>0</v>
      </c>
      <c r="I80" s="142">
        <v>0</v>
      </c>
      <c r="J80" s="152"/>
      <c r="K80" s="142">
        <v>0</v>
      </c>
      <c r="L80" s="142">
        <v>0</v>
      </c>
      <c r="M80" s="152"/>
      <c r="N80" s="143"/>
    </row>
    <row r="81" spans="2:14">
      <c r="B81" s="110" t="s">
        <v>12</v>
      </c>
      <c r="G81" s="195">
        <f ca="1">SUM(G78:G80)</f>
        <v>0</v>
      </c>
      <c r="H81" s="195">
        <f ca="1">SUM(H78:H80)</f>
        <v>0</v>
      </c>
      <c r="I81" s="195">
        <f ca="1">SUM(I78:I80)</f>
        <v>0</v>
      </c>
      <c r="J81" s="142"/>
      <c r="K81" s="195">
        <f ca="1">SUM(K78:K80)</f>
        <v>0</v>
      </c>
      <c r="L81" s="195">
        <f ca="1">SUM(L78:L80)</f>
        <v>0</v>
      </c>
      <c r="M81" s="152"/>
      <c r="N81" s="53"/>
    </row>
    <row r="82" spans="2:14">
      <c r="B82" s="1"/>
      <c r="G82" s="196"/>
      <c r="H82" s="196"/>
      <c r="I82" s="196"/>
      <c r="J82" s="196"/>
      <c r="K82" s="196"/>
      <c r="L82" s="196"/>
      <c r="M82" s="196"/>
      <c r="N82" s="197"/>
    </row>
    <row r="83" spans="2:14">
      <c r="B83" s="99" t="s">
        <v>242</v>
      </c>
      <c r="G83" s="196"/>
      <c r="H83" s="196"/>
      <c r="I83" s="196"/>
      <c r="J83" s="196"/>
      <c r="K83" s="196"/>
      <c r="L83" s="196"/>
      <c r="M83" s="196"/>
      <c r="N83" s="197"/>
    </row>
    <row r="84" spans="2:14">
      <c r="B84" s="1" t="s">
        <v>275</v>
      </c>
      <c r="G84" s="152">
        <v>35</v>
      </c>
      <c r="H84" s="152">
        <v>0</v>
      </c>
      <c r="I84" s="152">
        <f ca="1">86+42</f>
        <v>128</v>
      </c>
      <c r="J84" s="152"/>
      <c r="K84" s="152">
        <v>0</v>
      </c>
      <c r="L84" s="152">
        <v>0</v>
      </c>
      <c r="M84" s="152"/>
      <c r="N84" s="143"/>
    </row>
    <row r="85" spans="2:14">
      <c r="B85" s="1" t="s">
        <v>273</v>
      </c>
      <c r="G85" s="152">
        <v>27</v>
      </c>
      <c r="H85" s="152">
        <v>25</v>
      </c>
      <c r="I85" s="152">
        <v>-59</v>
      </c>
      <c r="J85" s="152"/>
      <c r="K85" s="152">
        <v>3</v>
      </c>
      <c r="L85" s="152">
        <v>10</v>
      </c>
      <c r="M85" s="152"/>
      <c r="N85" s="143"/>
    </row>
    <row r="86" spans="2:14">
      <c r="B86" s="1" t="s">
        <v>274</v>
      </c>
      <c r="G86" s="142">
        <v>56</v>
      </c>
      <c r="H86" s="142">
        <v>17</v>
      </c>
      <c r="I86" s="142">
        <v>0</v>
      </c>
      <c r="J86" s="152"/>
      <c r="K86" s="142">
        <v>0</v>
      </c>
      <c r="L86" s="142">
        <v>10</v>
      </c>
      <c r="M86" s="152"/>
      <c r="N86" s="143"/>
    </row>
    <row r="87" spans="2:14">
      <c r="B87" s="110" t="s">
        <v>12</v>
      </c>
      <c r="G87" s="195">
        <f ca="1">SUM(G84:G86)</f>
        <v>118</v>
      </c>
      <c r="H87" s="195">
        <f ca="1">SUM(H84:H86)</f>
        <v>42</v>
      </c>
      <c r="I87" s="195">
        <f ca="1">SUM(I84:I86)</f>
        <v>69</v>
      </c>
      <c r="J87" s="142"/>
      <c r="K87" s="195">
        <f ca="1">SUM(K84:K86)</f>
        <v>3</v>
      </c>
      <c r="L87" s="195">
        <f ca="1">SUM(L84:L86)</f>
        <v>20</v>
      </c>
      <c r="M87" s="152"/>
      <c r="N87" s="53"/>
    </row>
    <row r="88" spans="2:14">
      <c r="B88" s="110"/>
      <c r="G88" s="53"/>
      <c r="H88" s="53"/>
      <c r="I88" s="53"/>
      <c r="J88" s="142"/>
      <c r="K88" s="53"/>
      <c r="L88" s="53"/>
      <c r="M88" s="152"/>
      <c r="N88" s="53"/>
    </row>
    <row r="89" spans="2:14">
      <c r="B89" s="110" t="s">
        <v>245</v>
      </c>
      <c r="G89" s="195">
        <f t="shared" ref="G89:L89" ca="1" si="7">SUM(G87,G81,G75)</f>
        <v>118</v>
      </c>
      <c r="H89" s="195">
        <f t="shared" ca="1" si="7"/>
        <v>42</v>
      </c>
      <c r="I89" s="195">
        <f t="shared" ca="1" si="7"/>
        <v>69</v>
      </c>
      <c r="J89" s="142"/>
      <c r="K89" s="195">
        <f t="shared" ca="1" si="7"/>
        <v>3</v>
      </c>
      <c r="L89" s="195">
        <f t="shared" ca="1" si="7"/>
        <v>20</v>
      </c>
      <c r="M89" s="152"/>
      <c r="N89" s="53"/>
    </row>
    <row r="90" spans="2:14">
      <c r="B90" s="1"/>
      <c r="G90" s="196"/>
      <c r="H90" s="196"/>
      <c r="I90" s="196"/>
      <c r="J90" s="196"/>
      <c r="K90" s="196"/>
      <c r="L90" s="196"/>
      <c r="M90" s="196"/>
      <c r="N90" s="197"/>
    </row>
    <row r="91" spans="2:14">
      <c r="B91" s="99" t="s">
        <v>243</v>
      </c>
      <c r="G91" s="196"/>
      <c r="H91" s="196"/>
      <c r="I91" s="196"/>
      <c r="J91" s="196"/>
      <c r="K91" s="196"/>
      <c r="L91" s="196"/>
      <c r="M91" s="196"/>
      <c r="N91" s="197"/>
    </row>
    <row r="92" spans="2:14">
      <c r="B92" s="1" t="s">
        <v>141</v>
      </c>
      <c r="G92" s="152">
        <v>0</v>
      </c>
      <c r="H92" s="152">
        <v>0</v>
      </c>
      <c r="I92" s="152">
        <v>0</v>
      </c>
      <c r="J92" s="152"/>
      <c r="K92" s="152">
        <v>0</v>
      </c>
      <c r="L92" s="152">
        <v>0</v>
      </c>
      <c r="M92" s="152"/>
      <c r="N92" s="143"/>
    </row>
    <row r="93" spans="2:14">
      <c r="B93" s="1" t="s">
        <v>141</v>
      </c>
      <c r="G93" s="152">
        <v>0</v>
      </c>
      <c r="H93" s="152">
        <v>0</v>
      </c>
      <c r="I93" s="152">
        <v>0</v>
      </c>
      <c r="J93" s="152"/>
      <c r="K93" s="152">
        <v>0</v>
      </c>
      <c r="L93" s="152">
        <v>0</v>
      </c>
      <c r="M93" s="152"/>
      <c r="N93" s="143"/>
    </row>
    <row r="94" spans="2:14">
      <c r="B94" s="1" t="s">
        <v>141</v>
      </c>
      <c r="G94" s="142">
        <v>0</v>
      </c>
      <c r="H94" s="142">
        <v>0</v>
      </c>
      <c r="I94" s="142">
        <v>0</v>
      </c>
      <c r="J94" s="152"/>
      <c r="K94" s="142">
        <v>0</v>
      </c>
      <c r="L94" s="142">
        <v>0</v>
      </c>
      <c r="M94" s="152"/>
      <c r="N94" s="143"/>
    </row>
    <row r="95" spans="2:14">
      <c r="B95" s="110" t="s">
        <v>244</v>
      </c>
      <c r="G95" s="195">
        <f ca="1">SUM(G92:G94)</f>
        <v>0</v>
      </c>
      <c r="H95" s="195">
        <f ca="1">SUM(H92:H94)</f>
        <v>0</v>
      </c>
      <c r="I95" s="195">
        <f ca="1">SUM(I92:I94)</f>
        <v>0</v>
      </c>
      <c r="J95" s="142"/>
      <c r="K95" s="195">
        <f ca="1">SUM(K92:K94)</f>
        <v>0</v>
      </c>
      <c r="L95" s="195">
        <f ca="1">SUM(L92:L94)</f>
        <v>0</v>
      </c>
      <c r="M95" s="152"/>
      <c r="N95" s="53"/>
    </row>
    <row r="96" spans="2:14">
      <c r="B96" s="1"/>
      <c r="G96" s="196"/>
      <c r="H96" s="196"/>
      <c r="I96" s="196"/>
      <c r="J96" s="196"/>
      <c r="K96" s="196"/>
      <c r="L96" s="196"/>
      <c r="M96" s="196"/>
      <c r="N96" s="197"/>
    </row>
    <row r="97" spans="2:16">
      <c r="B97" s="110" t="s">
        <v>167</v>
      </c>
      <c r="G97" s="195">
        <f t="shared" ref="G97:L97" ca="1" si="8">SUM(G95,G89)</f>
        <v>118</v>
      </c>
      <c r="H97" s="195">
        <f t="shared" ca="1" si="8"/>
        <v>42</v>
      </c>
      <c r="I97" s="195">
        <f t="shared" ca="1" si="8"/>
        <v>69</v>
      </c>
      <c r="J97" s="142"/>
      <c r="K97" s="195">
        <f t="shared" ca="1" si="8"/>
        <v>3</v>
      </c>
      <c r="L97" s="195">
        <f t="shared" ca="1" si="8"/>
        <v>20</v>
      </c>
      <c r="M97" s="196"/>
      <c r="N97" s="197"/>
    </row>
    <row r="98" spans="2:16">
      <c r="B98" s="1"/>
      <c r="G98" s="196"/>
      <c r="H98" s="196"/>
      <c r="I98" s="196"/>
      <c r="J98" s="196"/>
      <c r="K98" s="196"/>
      <c r="L98" s="196"/>
      <c r="M98" s="196"/>
      <c r="N98" s="197"/>
    </row>
    <row r="99" spans="2:16" s="202" customFormat="1">
      <c r="B99" s="198" t="s">
        <v>53</v>
      </c>
      <c r="C99" s="198"/>
      <c r="D99" s="198"/>
      <c r="E99" s="198"/>
      <c r="F99" s="198"/>
      <c r="G99" s="199">
        <v>0.25</v>
      </c>
      <c r="H99" s="199">
        <v>0.25</v>
      </c>
      <c r="I99" s="199">
        <v>0.25</v>
      </c>
      <c r="J99" s="200"/>
      <c r="K99" s="199">
        <v>0</v>
      </c>
      <c r="L99" s="199">
        <v>0</v>
      </c>
      <c r="M99" s="200"/>
      <c r="N99" s="201"/>
      <c r="O99" s="198"/>
      <c r="P99" s="198"/>
    </row>
    <row r="100" spans="2:16">
      <c r="B100" s="110" t="s">
        <v>208</v>
      </c>
      <c r="G100" s="118">
        <f ca="1">G97*G99</f>
        <v>29.5</v>
      </c>
      <c r="H100" s="118">
        <f ca="1">H97*H99</f>
        <v>10.5</v>
      </c>
      <c r="I100" s="118">
        <f ca="1">I97*I99</f>
        <v>17.25</v>
      </c>
      <c r="J100" s="118"/>
      <c r="K100" s="118">
        <f ca="1">K97*K99</f>
        <v>0</v>
      </c>
      <c r="L100" s="118">
        <f ca="1">L97*L99</f>
        <v>0</v>
      </c>
      <c r="M100" s="118"/>
      <c r="N100" s="53"/>
    </row>
    <row r="101" spans="2:16">
      <c r="G101" s="118"/>
      <c r="H101" s="118"/>
      <c r="I101" s="118"/>
      <c r="J101" s="118"/>
      <c r="K101" s="118"/>
      <c r="L101" s="118"/>
      <c r="M101" s="118"/>
      <c r="N101" s="53"/>
    </row>
    <row r="102" spans="2:16">
      <c r="B102" s="110" t="s">
        <v>111</v>
      </c>
      <c r="G102" s="118">
        <f t="shared" ref="G102:L102" ca="1" si="9">+G97-G100</f>
        <v>88.5</v>
      </c>
      <c r="H102" s="118">
        <f t="shared" ca="1" si="9"/>
        <v>31.5</v>
      </c>
      <c r="I102" s="118">
        <f t="shared" ca="1" si="9"/>
        <v>51.75</v>
      </c>
      <c r="J102" s="118"/>
      <c r="K102" s="118">
        <f t="shared" ca="1" si="9"/>
        <v>3</v>
      </c>
      <c r="L102" s="118">
        <f t="shared" ca="1" si="9"/>
        <v>20</v>
      </c>
      <c r="M102" s="118"/>
      <c r="N102" s="53"/>
    </row>
  </sheetData>
  <customSheetViews>
    <customSheetView guid="{9AE38660-BF5A-49A3-9FC0-AD5890AFC019}" showPageBreaks="1" showGridLines="0" printArea="1" view="pageBreakPreview" showRuler="0" topLeftCell="A13">
      <selection activeCell="I38" sqref="I38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65" orientation="landscape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64"/>
  <sheetViews>
    <sheetView showGridLines="0" zoomScale="115" zoomScaleNormal="115" zoomScaleSheetLayoutView="115" workbookViewId="0">
      <selection activeCell="M3" sqref="M3"/>
    </sheetView>
  </sheetViews>
  <sheetFormatPr defaultColWidth="10.296875" defaultRowHeight="13"/>
  <cols>
    <col min="1" max="1" width="2.796875" style="4" customWidth="1"/>
    <col min="2" max="7" width="10.296875" style="3" customWidth="1"/>
    <col min="8" max="9" width="15.796875" style="3" customWidth="1"/>
    <col min="10" max="10" width="2.796875" style="3" customWidth="1"/>
    <col min="11" max="12" width="10.296875" style="3" customWidth="1"/>
    <col min="13" max="13" width="2.796875" style="3" customWidth="1"/>
    <col min="14" max="14" width="10.296875" style="4"/>
    <col min="15" max="15" width="11.5" style="188" customWidth="1"/>
    <col min="16" max="16384" width="10.296875" style="4"/>
  </cols>
  <sheetData>
    <row r="1" spans="1:20">
      <c r="A1" s="2"/>
    </row>
    <row r="2" spans="1:20" ht="22.5">
      <c r="B2" s="60" t="str">
        <f ca="1">proj</f>
        <v>TMT Model</v>
      </c>
      <c r="C2" s="384"/>
      <c r="D2" s="384"/>
      <c r="E2" s="384"/>
      <c r="F2" s="384"/>
      <c r="G2" s="360"/>
      <c r="H2" s="360"/>
      <c r="I2" s="360"/>
      <c r="J2" s="360"/>
      <c r="K2" s="360"/>
      <c r="L2" s="360"/>
      <c r="M2" s="6"/>
      <c r="N2" s="6"/>
      <c r="O2" s="184"/>
      <c r="P2" s="6"/>
      <c r="Q2" s="6"/>
      <c r="R2" s="6"/>
      <c r="S2" s="6"/>
      <c r="T2" s="6"/>
    </row>
    <row r="3" spans="1:20" s="207" customFormat="1" ht="20.149999999999999" customHeight="1">
      <c r="B3" s="244" t="str">
        <f ca="1">acq&amp;" - Historical Balance Sheet"</f>
        <v>COLEMAN MEDIA - Historical Balance Sheet</v>
      </c>
      <c r="C3" s="249"/>
      <c r="D3" s="249"/>
      <c r="E3" s="249"/>
      <c r="F3" s="249"/>
      <c r="G3" s="250"/>
      <c r="H3" s="250"/>
      <c r="I3" s="250"/>
      <c r="J3" s="250"/>
      <c r="K3" s="250"/>
      <c r="L3" s="250"/>
      <c r="M3" s="208"/>
      <c r="N3" s="208"/>
      <c r="O3" s="451"/>
      <c r="P3" s="208"/>
      <c r="Q3" s="208"/>
    </row>
    <row r="4" spans="1:20" s="209" customFormat="1">
      <c r="B4" s="61" t="s">
        <v>110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O4" s="184"/>
    </row>
    <row r="5" spans="1:20" ht="12.75" customHeight="1">
      <c r="H5" s="210" t="str">
        <f ca="1">'Income Statement'!G5</f>
        <v>Fiscal Year Ended December 31,</v>
      </c>
      <c r="I5" s="210"/>
      <c r="J5" s="14"/>
      <c r="K5" s="210" t="s">
        <v>66</v>
      </c>
      <c r="L5" s="210"/>
      <c r="M5" s="14"/>
      <c r="O5" s="452"/>
    </row>
    <row r="6" spans="1:20">
      <c r="G6"/>
      <c r="H6" s="211">
        <f ca="1">'Income Statement'!H6</f>
        <v>2017</v>
      </c>
      <c r="I6" s="211">
        <f ca="1">'Income Statement'!I6</f>
        <v>2018</v>
      </c>
      <c r="J6" s="212"/>
      <c r="K6" s="213">
        <f ca="1">'Income Statement'!K6</f>
        <v>43190</v>
      </c>
      <c r="L6" s="213">
        <f ca="1">'Income Statement'!L6</f>
        <v>43555</v>
      </c>
      <c r="M6" s="14"/>
      <c r="O6" s="458" t="s">
        <v>34</v>
      </c>
    </row>
    <row r="7" spans="1:20" ht="18" customHeight="1">
      <c r="B7" s="214" t="s">
        <v>2</v>
      </c>
      <c r="G7"/>
      <c r="H7" s="216"/>
      <c r="I7" s="217"/>
      <c r="J7" s="6"/>
      <c r="K7" s="218"/>
      <c r="L7" s="219"/>
      <c r="M7" s="6"/>
      <c r="N7" s="220"/>
      <c r="O7" s="184"/>
      <c r="P7" s="6"/>
      <c r="Q7" s="6"/>
    </row>
    <row r="8" spans="1:20">
      <c r="B8" s="3" t="s">
        <v>278</v>
      </c>
      <c r="G8"/>
      <c r="H8" s="137">
        <f ca="1">2847+468</f>
        <v>3315</v>
      </c>
      <c r="I8" s="137">
        <f ca="1">2443+28</f>
        <v>2471</v>
      </c>
      <c r="J8" s="221"/>
      <c r="K8" s="137">
        <f ca="1">3423+1031</f>
        <v>4454</v>
      </c>
      <c r="L8" s="137">
        <f ca="1">3708+466</f>
        <v>4174</v>
      </c>
      <c r="M8" s="222"/>
      <c r="N8" s="223"/>
      <c r="O8" s="239">
        <f ca="1">IF(aquarter&lt;&gt;4,L8,I8)</f>
        <v>4174</v>
      </c>
      <c r="P8" s="223"/>
      <c r="Q8" s="223"/>
    </row>
    <row r="9" spans="1:20">
      <c r="B9" s="3" t="s">
        <v>277</v>
      </c>
      <c r="G9"/>
      <c r="H9" s="152">
        <v>69</v>
      </c>
      <c r="I9" s="152">
        <v>259</v>
      </c>
      <c r="J9" s="142"/>
      <c r="K9" s="152">
        <v>219</v>
      </c>
      <c r="L9" s="152">
        <v>447</v>
      </c>
      <c r="M9" s="222"/>
      <c r="N9" s="223"/>
      <c r="O9" s="239"/>
      <c r="P9" s="223"/>
      <c r="Q9" s="223"/>
    </row>
    <row r="10" spans="1:20">
      <c r="B10" s="3" t="s">
        <v>279</v>
      </c>
      <c r="G10"/>
      <c r="H10" s="152">
        <v>1866</v>
      </c>
      <c r="I10" s="152">
        <v>2151</v>
      </c>
      <c r="J10" s="142"/>
      <c r="K10" s="152">
        <v>2253</v>
      </c>
      <c r="L10" s="152">
        <v>2617</v>
      </c>
      <c r="M10" s="222"/>
      <c r="N10" s="223"/>
      <c r="O10" s="239"/>
      <c r="P10" s="223"/>
      <c r="Q10" s="223"/>
    </row>
    <row r="11" spans="1:20">
      <c r="B11" s="3" t="s">
        <v>280</v>
      </c>
      <c r="G11"/>
      <c r="H11" s="152">
        <f ca="1">21+269</f>
        <v>290</v>
      </c>
      <c r="I11" s="152">
        <f ca="1">24+292</f>
        <v>316</v>
      </c>
      <c r="J11" s="142"/>
      <c r="K11" s="152">
        <f ca="1">176+329</f>
        <v>505</v>
      </c>
      <c r="L11" s="152">
        <f ca="1">146+318</f>
        <v>464</v>
      </c>
      <c r="M11" s="222"/>
      <c r="N11" s="223"/>
      <c r="O11" s="239"/>
      <c r="P11" s="223"/>
      <c r="Q11" s="223"/>
    </row>
    <row r="12" spans="1:20">
      <c r="B12" s="3" t="s">
        <v>281</v>
      </c>
      <c r="G12"/>
      <c r="H12" s="421">
        <f ca="1">+SUM(H8:H11)</f>
        <v>5540</v>
      </c>
      <c r="I12" s="421">
        <f ca="1">+SUM(I8:I11)</f>
        <v>5197</v>
      </c>
      <c r="J12" s="106"/>
      <c r="K12" s="421">
        <f ca="1">+SUM(K8:K11)</f>
        <v>7431</v>
      </c>
      <c r="L12" s="435">
        <f ca="1">+SUM(L8:L11)</f>
        <v>7702</v>
      </c>
      <c r="M12" s="222"/>
      <c r="N12" s="223"/>
      <c r="O12" s="239"/>
      <c r="P12" s="223"/>
      <c r="Q12" s="223"/>
    </row>
    <row r="13" spans="1:20">
      <c r="B13" s="3" t="s">
        <v>3</v>
      </c>
      <c r="G13"/>
      <c r="H13" s="152">
        <v>1575</v>
      </c>
      <c r="I13" s="152">
        <v>1877</v>
      </c>
      <c r="J13" s="142"/>
      <c r="K13" s="152">
        <v>1627</v>
      </c>
      <c r="L13" s="152">
        <v>1828</v>
      </c>
      <c r="M13" s="224"/>
      <c r="N13" s="176"/>
      <c r="O13" s="272"/>
      <c r="P13" s="176"/>
      <c r="Q13" s="176"/>
    </row>
    <row r="14" spans="1:20">
      <c r="B14" s="3" t="s">
        <v>125</v>
      </c>
      <c r="G14"/>
      <c r="H14" s="152">
        <v>8229</v>
      </c>
      <c r="I14" s="152">
        <v>8120</v>
      </c>
      <c r="J14" s="142"/>
      <c r="K14" s="152">
        <v>8251</v>
      </c>
      <c r="L14" s="152">
        <v>8109</v>
      </c>
      <c r="M14" s="224"/>
      <c r="N14" s="176"/>
      <c r="O14" s="272"/>
      <c r="P14" s="176"/>
      <c r="Q14" s="176"/>
    </row>
    <row r="15" spans="1:20">
      <c r="B15" s="3" t="s">
        <v>135</v>
      </c>
      <c r="G15"/>
      <c r="H15" s="152">
        <v>2309</v>
      </c>
      <c r="I15" s="152">
        <v>1992</v>
      </c>
      <c r="J15" s="142"/>
      <c r="K15" s="152">
        <v>2243</v>
      </c>
      <c r="L15" s="152">
        <v>1936</v>
      </c>
      <c r="M15" s="224"/>
      <c r="N15" s="176"/>
      <c r="O15" s="272"/>
      <c r="P15" s="176"/>
      <c r="Q15" s="176"/>
    </row>
    <row r="16" spans="1:20">
      <c r="B16" s="3" t="s">
        <v>97</v>
      </c>
      <c r="G16"/>
      <c r="H16" s="225">
        <f ca="1">845+18</f>
        <v>863</v>
      </c>
      <c r="I16" s="225">
        <f ca="1">778+69</f>
        <v>847</v>
      </c>
      <c r="J16" s="142"/>
      <c r="K16" s="225">
        <f ca="1">858+19</f>
        <v>877</v>
      </c>
      <c r="L16" s="225">
        <f ca="1">537+47+804</f>
        <v>1388</v>
      </c>
      <c r="M16" s="224"/>
      <c r="N16" s="176"/>
      <c r="O16" s="272"/>
      <c r="P16" s="224"/>
      <c r="Q16" s="224"/>
    </row>
    <row r="17" spans="2:17" ht="13.5" thickBot="1">
      <c r="B17" s="3" t="s">
        <v>48</v>
      </c>
      <c r="G17"/>
      <c r="H17" s="226">
        <f ca="1">+SUM(H12:H16)</f>
        <v>18516</v>
      </c>
      <c r="I17" s="226">
        <f ca="1">+SUM(I12:I16)</f>
        <v>18033</v>
      </c>
      <c r="J17" s="106"/>
      <c r="K17" s="226">
        <f ca="1">+SUM(K12:K16)</f>
        <v>20429</v>
      </c>
      <c r="L17" s="226">
        <f ca="1">+SUM(L12:L16)</f>
        <v>20963</v>
      </c>
      <c r="M17" s="223"/>
      <c r="N17" s="223"/>
      <c r="O17" s="453"/>
      <c r="P17" s="223"/>
      <c r="Q17" s="223"/>
    </row>
    <row r="18" spans="2:17" ht="13.5" thickTop="1">
      <c r="G18"/>
      <c r="J18" s="4"/>
      <c r="M18" s="4"/>
      <c r="O18" s="184"/>
    </row>
    <row r="19" spans="2:17">
      <c r="B19" s="214" t="s">
        <v>5</v>
      </c>
      <c r="G19"/>
      <c r="J19" s="4"/>
      <c r="M19" s="4"/>
      <c r="O19" s="184"/>
    </row>
    <row r="20" spans="2:17">
      <c r="B20" s="3" t="s">
        <v>168</v>
      </c>
      <c r="G20"/>
      <c r="H20" s="137">
        <v>500</v>
      </c>
      <c r="I20" s="137">
        <v>0</v>
      </c>
      <c r="J20" s="106"/>
      <c r="K20" s="137">
        <v>500</v>
      </c>
      <c r="L20" s="137">
        <v>0</v>
      </c>
      <c r="M20" s="4"/>
      <c r="O20" s="239">
        <f ca="1">IF(aquarter&lt;&gt;4,L20,I20)</f>
        <v>0</v>
      </c>
    </row>
    <row r="21" spans="2:17">
      <c r="B21" s="3" t="s">
        <v>282</v>
      </c>
      <c r="G21"/>
      <c r="H21" s="152">
        <f ca="1">1838+698</f>
        <v>2536</v>
      </c>
      <c r="I21" s="152">
        <f ca="1">1699+788</f>
        <v>2487</v>
      </c>
      <c r="J21" s="53"/>
      <c r="K21" s="152">
        <f ca="1">1713+838</f>
        <v>2551</v>
      </c>
      <c r="L21" s="152">
        <f ca="1">1736+1033</f>
        <v>2769</v>
      </c>
      <c r="M21" s="4"/>
      <c r="O21" s="239"/>
    </row>
    <row r="22" spans="2:17">
      <c r="B22" s="3" t="s">
        <v>284</v>
      </c>
      <c r="G22"/>
      <c r="H22" s="152">
        <f ca="1">326+3219</f>
        <v>3545</v>
      </c>
      <c r="I22" s="152">
        <f ca="1">364+4327</f>
        <v>4691</v>
      </c>
      <c r="J22" s="53"/>
      <c r="K22" s="152">
        <f ca="1">5866+469</f>
        <v>6335</v>
      </c>
      <c r="L22" s="152">
        <f ca="1">533+6612</f>
        <v>7145</v>
      </c>
      <c r="M22" s="4"/>
      <c r="O22" s="239"/>
    </row>
    <row r="23" spans="2:17">
      <c r="B23" s="3" t="s">
        <v>283</v>
      </c>
      <c r="G23"/>
      <c r="H23" s="152">
        <f ca="1">7879-SUM(H20:H22)</f>
        <v>1298</v>
      </c>
      <c r="I23" s="152">
        <v>882</v>
      </c>
      <c r="J23" s="53"/>
      <c r="K23" s="152">
        <f ca="1">8+597</f>
        <v>605</v>
      </c>
      <c r="L23" s="152">
        <v>812</v>
      </c>
      <c r="M23" s="4"/>
      <c r="O23" s="239"/>
    </row>
    <row r="24" spans="2:17">
      <c r="B24" s="3" t="s">
        <v>281</v>
      </c>
      <c r="G24"/>
      <c r="H24" s="421">
        <f ca="1">+SUM(H20:H23)</f>
        <v>7879</v>
      </c>
      <c r="I24" s="421">
        <f ca="1">+SUM(I20:I23)</f>
        <v>8060</v>
      </c>
      <c r="J24" s="106"/>
      <c r="K24" s="421">
        <f ca="1">+SUM(K20:K23)</f>
        <v>9991</v>
      </c>
      <c r="L24" s="435">
        <f ca="1">+SUM(L20:L23)</f>
        <v>10726</v>
      </c>
      <c r="M24" s="4"/>
      <c r="O24" s="239"/>
    </row>
    <row r="25" spans="2:17">
      <c r="B25" s="3" t="s">
        <v>36</v>
      </c>
      <c r="G25"/>
      <c r="H25" s="152">
        <v>3749</v>
      </c>
      <c r="I25" s="152">
        <v>3717</v>
      </c>
      <c r="J25" s="107"/>
      <c r="K25" s="152">
        <v>3771</v>
      </c>
      <c r="L25" s="152">
        <v>3704</v>
      </c>
      <c r="M25" s="224"/>
      <c r="N25" s="176"/>
      <c r="O25" s="454">
        <f ca="1">IF(aquarter&lt;&gt;4,L25,I25)</f>
        <v>3704</v>
      </c>
      <c r="P25" s="176"/>
      <c r="Q25" s="176"/>
    </row>
    <row r="26" spans="2:17">
      <c r="B26" s="3" t="s">
        <v>98</v>
      </c>
      <c r="G26"/>
      <c r="H26" s="152">
        <f ca="1">329+408</f>
        <v>737</v>
      </c>
      <c r="I26" s="152">
        <f ca="1">69+506</f>
        <v>575</v>
      </c>
      <c r="J26" s="107"/>
      <c r="K26" s="152">
        <f ca="1">405+432</f>
        <v>837</v>
      </c>
      <c r="L26" s="152">
        <f ca="1">66+472+332</f>
        <v>870</v>
      </c>
      <c r="M26" s="224"/>
      <c r="N26" s="176"/>
      <c r="O26" s="272"/>
      <c r="P26" s="224"/>
      <c r="Q26" s="224"/>
    </row>
    <row r="27" spans="2:17">
      <c r="B27" s="3" t="s">
        <v>6</v>
      </c>
      <c r="G27"/>
      <c r="H27" s="152">
        <f ca="1">22+1606</f>
        <v>1628</v>
      </c>
      <c r="I27" s="152">
        <f ca="1">1547+30</f>
        <v>1577</v>
      </c>
      <c r="J27" s="107"/>
      <c r="K27" s="152">
        <f ca="1">22+1613</f>
        <v>1635</v>
      </c>
      <c r="L27" s="152">
        <f ca="1">29+1551</f>
        <v>1580</v>
      </c>
      <c r="M27" s="224"/>
      <c r="N27" s="176"/>
      <c r="O27" s="454">
        <f ca="1">IF(aquarter&lt;&gt;4,L27,I27)</f>
        <v>1580</v>
      </c>
      <c r="P27" s="224"/>
      <c r="Q27" s="224"/>
    </row>
    <row r="28" spans="2:17">
      <c r="B28" s="3" t="s">
        <v>7</v>
      </c>
      <c r="G28"/>
      <c r="H28" s="152">
        <v>0</v>
      </c>
      <c r="I28" s="152">
        <v>0</v>
      </c>
      <c r="J28" s="107"/>
      <c r="K28" s="152">
        <v>0</v>
      </c>
      <c r="L28" s="152">
        <v>0</v>
      </c>
      <c r="M28" s="224"/>
      <c r="N28" s="176"/>
      <c r="O28" s="454">
        <f ca="1">IF(aquarter&lt;&gt;4,L28,I28)</f>
        <v>0</v>
      </c>
      <c r="P28" s="224"/>
      <c r="Q28" s="224"/>
    </row>
    <row r="29" spans="2:17">
      <c r="B29" s="3" t="s">
        <v>49</v>
      </c>
      <c r="G29"/>
      <c r="H29" s="225">
        <v>4523</v>
      </c>
      <c r="I29" s="225">
        <v>4104</v>
      </c>
      <c r="J29" s="107"/>
      <c r="K29" s="225">
        <v>4195</v>
      </c>
      <c r="L29" s="225">
        <v>4083</v>
      </c>
      <c r="M29" s="224"/>
      <c r="N29" s="176"/>
      <c r="O29" s="272">
        <f ca="1">IF(aquarter&lt;&gt;4,L29,I29)</f>
        <v>4083</v>
      </c>
      <c r="P29" s="176"/>
      <c r="Q29" s="176"/>
    </row>
    <row r="30" spans="2:17" ht="13.5" thickBot="1">
      <c r="B30" s="3" t="s">
        <v>73</v>
      </c>
      <c r="G30"/>
      <c r="H30" s="226">
        <f ca="1">+SUM(H24:H29)</f>
        <v>18516</v>
      </c>
      <c r="I30" s="226">
        <f ca="1">+SUM(I24:I29)</f>
        <v>18033</v>
      </c>
      <c r="J30" s="106"/>
      <c r="K30" s="226">
        <f ca="1">+SUM(K24:K29)</f>
        <v>20429</v>
      </c>
      <c r="L30" s="226">
        <f ca="1">+SUM(L24:L29)</f>
        <v>20963</v>
      </c>
      <c r="M30" s="223"/>
      <c r="N30" s="223"/>
      <c r="O30" s="454"/>
      <c r="P30" s="223"/>
      <c r="Q30" s="223"/>
    </row>
    <row r="31" spans="2:17" ht="13.5" thickTop="1">
      <c r="G31"/>
      <c r="J31" s="4"/>
      <c r="K31" s="4"/>
      <c r="L31" s="4"/>
      <c r="M31" s="4"/>
      <c r="O31" s="454"/>
    </row>
    <row r="32" spans="2:17">
      <c r="G32"/>
      <c r="H32" s="227"/>
      <c r="I32" s="227"/>
      <c r="J32" s="228"/>
      <c r="K32" s="227"/>
      <c r="L32" s="227"/>
      <c r="M32" s="223"/>
      <c r="N32" s="223"/>
      <c r="O32" s="455"/>
      <c r="P32" s="223"/>
      <c r="Q32" s="223"/>
    </row>
    <row r="33" spans="2:17">
      <c r="B33" s="3" t="s">
        <v>23</v>
      </c>
      <c r="G33"/>
      <c r="H33" s="111">
        <f ca="1">H25+H20</f>
        <v>4249</v>
      </c>
      <c r="I33" s="111">
        <f ca="1">I25+I20</f>
        <v>3717</v>
      </c>
      <c r="J33" s="106"/>
      <c r="K33" s="111">
        <f ca="1">K25+K20</f>
        <v>4271</v>
      </c>
      <c r="L33" s="111">
        <f ca="1">L25+L20</f>
        <v>3704</v>
      </c>
      <c r="M33" s="223"/>
      <c r="N33" s="223"/>
      <c r="O33" s="239">
        <f ca="1">IF(aquarter&lt;&gt;4,L33,I33)</f>
        <v>3704</v>
      </c>
      <c r="P33" s="223"/>
      <c r="Q33" s="223"/>
    </row>
    <row r="34" spans="2:17">
      <c r="B34" s="3" t="s">
        <v>117</v>
      </c>
      <c r="G34"/>
      <c r="H34" s="118">
        <f ca="1">H25+H20-H8</f>
        <v>934</v>
      </c>
      <c r="I34" s="118">
        <f ca="1">I25+I20-I8</f>
        <v>1246</v>
      </c>
      <c r="J34" s="53"/>
      <c r="K34" s="118">
        <f ca="1">K25+K20-K8</f>
        <v>-183</v>
      </c>
      <c r="L34" s="118">
        <f ca="1">L25+L20-L8</f>
        <v>-470</v>
      </c>
      <c r="M34" s="223"/>
      <c r="N34" s="223"/>
      <c r="O34" s="454">
        <f ca="1">IF(aquarter&lt;&gt;4,L34,I34)</f>
        <v>-470</v>
      </c>
      <c r="P34" s="223"/>
      <c r="Q34" s="223"/>
    </row>
    <row r="35" spans="2:17">
      <c r="B35" s="4"/>
      <c r="C35" s="4"/>
      <c r="D35" s="4"/>
      <c r="E35" s="4"/>
      <c r="F35" s="4"/>
      <c r="G35" s="426"/>
      <c r="H35" s="223"/>
      <c r="I35" s="223"/>
      <c r="J35" s="223"/>
      <c r="K35" s="223"/>
      <c r="L35" s="223"/>
      <c r="M35" s="223"/>
      <c r="N35" s="223"/>
      <c r="O35" s="455"/>
      <c r="P35" s="223"/>
      <c r="Q35" s="223"/>
    </row>
    <row r="36" spans="2:17">
      <c r="B36" s="185" t="str">
        <f ca="1">'Income Statement'!B62</f>
        <v>Source: Company's 2018 Form 10-K and Form 10-Q for the period ended March 31, 2019.</v>
      </c>
      <c r="C36" s="229"/>
      <c r="D36" s="230"/>
      <c r="E36" s="230"/>
      <c r="F36" s="230"/>
      <c r="G36"/>
      <c r="H36" s="229"/>
      <c r="I36" s="229"/>
      <c r="J36" s="231"/>
      <c r="K36" s="231"/>
      <c r="L36" s="231"/>
      <c r="M36" s="231"/>
      <c r="N36" s="232"/>
      <c r="O36" s="239"/>
      <c r="P36" s="232"/>
      <c r="Q36" s="232"/>
    </row>
    <row r="37" spans="2:17">
      <c r="G37"/>
      <c r="O37" s="454"/>
    </row>
    <row r="38" spans="2:17">
      <c r="B38" s="3" t="s">
        <v>1</v>
      </c>
      <c r="G38"/>
      <c r="H38" s="118">
        <f ca="1">H17-H30</f>
        <v>0</v>
      </c>
      <c r="I38" s="118">
        <f ca="1">I17-I30</f>
        <v>0</v>
      </c>
      <c r="K38" s="118">
        <f ca="1">K17-K30</f>
        <v>0</v>
      </c>
      <c r="L38" s="118">
        <f ca="1">L17-L30</f>
        <v>0</v>
      </c>
      <c r="O38" s="456"/>
    </row>
    <row r="39" spans="2:17">
      <c r="G39"/>
      <c r="O39" s="457"/>
    </row>
    <row r="40" spans="2:17">
      <c r="B40" s="198" t="s">
        <v>169</v>
      </c>
      <c r="G40"/>
    </row>
    <row r="41" spans="2:17">
      <c r="B41" s="113" t="s">
        <v>24</v>
      </c>
      <c r="C41" s="113"/>
      <c r="D41" s="186"/>
      <c r="E41" s="186"/>
      <c r="F41" s="186"/>
      <c r="G41"/>
      <c r="H41" s="195">
        <f ca="1">SUM(H27:H29,H25,H20)</f>
        <v>10400</v>
      </c>
      <c r="I41" s="195">
        <f ca="1">SUM(I27:I29,I25,I20)</f>
        <v>9398</v>
      </c>
      <c r="J41" s="113"/>
      <c r="K41" s="195">
        <f ca="1">SUM(K27:K29,K25,K20)</f>
        <v>10101</v>
      </c>
      <c r="L41" s="195">
        <f ca="1">SUM(L27:L29,L25,L20)</f>
        <v>9367</v>
      </c>
      <c r="O41" s="454"/>
    </row>
    <row r="42" spans="2:17">
      <c r="B42" s="3" t="s">
        <v>144</v>
      </c>
      <c r="G42"/>
      <c r="H42" s="118">
        <f ca="1">H41-H8</f>
        <v>7085</v>
      </c>
      <c r="I42" s="118">
        <f ca="1">I41-I8</f>
        <v>6927</v>
      </c>
      <c r="K42" s="118">
        <f ca="1">K41-K8</f>
        <v>5647</v>
      </c>
      <c r="L42" s="118">
        <f ca="1">L41-L8</f>
        <v>5193</v>
      </c>
    </row>
    <row r="43" spans="2:17">
      <c r="G43"/>
      <c r="O43" s="184"/>
    </row>
    <row r="44" spans="2:17">
      <c r="B44" s="4" t="s">
        <v>8</v>
      </c>
      <c r="G44"/>
      <c r="H44" s="151">
        <f ca="1">H33/H41</f>
        <v>0.40855769230769229</v>
      </c>
      <c r="I44" s="151">
        <f ca="1">I33/I41</f>
        <v>0.39550968291125771</v>
      </c>
      <c r="J44" s="101"/>
      <c r="K44" s="151">
        <f ca="1">K33/K41</f>
        <v>0.42282942282942282</v>
      </c>
      <c r="L44" s="151">
        <f ca="1">L33/L41</f>
        <v>0.39543076758834206</v>
      </c>
      <c r="O44" s="151">
        <f ca="1">IF(aquarter&lt;&gt;4,L44,I44)</f>
        <v>0.39543076758834206</v>
      </c>
    </row>
    <row r="45" spans="2:17">
      <c r="B45" s="3" t="s">
        <v>9</v>
      </c>
      <c r="G45"/>
      <c r="H45" s="151">
        <f ca="1">IF(H34&gt;=0,H34/H42,"NM")</f>
        <v>0.13182780522230064</v>
      </c>
      <c r="I45" s="151">
        <f ca="1">IF(I34&gt;=0,I34/I42,"NM")</f>
        <v>0.17987584813050383</v>
      </c>
      <c r="J45" s="233"/>
      <c r="K45" s="151" t="str">
        <f ca="1">IF(K34&gt;=0,K34/K42,"NM")</f>
        <v>NM</v>
      </c>
      <c r="L45" s="151" t="str">
        <f ca="1">IF(L34&gt;=0,L34/L42,"NM")</f>
        <v>NM</v>
      </c>
      <c r="O45" s="151" t="str">
        <f ca="1">IF(aquarter&lt;&gt;4,L45,I45)</f>
        <v>NM</v>
      </c>
    </row>
    <row r="46" spans="2:17">
      <c r="G46"/>
    </row>
    <row r="47" spans="2:17">
      <c r="B47" s="3" t="s">
        <v>166</v>
      </c>
      <c r="G47"/>
      <c r="H47" s="75">
        <f ca="1">+'Income Statement'!H42</f>
        <v>1747</v>
      </c>
      <c r="I47" s="75">
        <f ca="1">+'Income Statement'!I42</f>
        <v>2056</v>
      </c>
      <c r="J47" s="75"/>
      <c r="K47" s="75">
        <f ca="1">+'Income Statement'!K42</f>
        <v>130</v>
      </c>
      <c r="L47" s="75">
        <f ca="1">+'Income Statement'!L42</f>
        <v>193</v>
      </c>
      <c r="O47" s="272">
        <f ca="1">+'Income Statement'!N36</f>
        <v>1933</v>
      </c>
    </row>
    <row r="48" spans="2:17">
      <c r="B48" s="3" t="s">
        <v>54</v>
      </c>
      <c r="G48"/>
      <c r="H48" s="234">
        <f ca="1">+H33/H$47</f>
        <v>2.4321694333142529</v>
      </c>
      <c r="I48" s="234">
        <f ca="1">+I33/I$47</f>
        <v>1.8078793774319066</v>
      </c>
      <c r="J48" s="108"/>
      <c r="K48" s="234">
        <f ca="1">+K33/K$47</f>
        <v>32.853846153846156</v>
      </c>
      <c r="L48" s="234">
        <f ca="1">+L33/L$47</f>
        <v>19.191709844559586</v>
      </c>
      <c r="O48" s="234">
        <f ca="1">+O33/O$47</f>
        <v>1.9161924469736162</v>
      </c>
    </row>
    <row r="49" spans="2:15">
      <c r="B49" s="4" t="s">
        <v>109</v>
      </c>
      <c r="C49" s="4"/>
      <c r="D49" s="4"/>
      <c r="E49" s="4"/>
      <c r="F49" s="4"/>
      <c r="G49"/>
      <c r="H49" s="72">
        <f ca="1">IF(H34&gt;=0,H34/H$47,"NM")</f>
        <v>0.53463079564968519</v>
      </c>
      <c r="I49" s="72">
        <f ca="1">IF(I34&gt;=0,I34/I$47,"NM")</f>
        <v>0.60603112840466922</v>
      </c>
      <c r="J49" s="235"/>
      <c r="K49" s="72" t="str">
        <f ca="1">IF(K34&gt;=0,K34/K$47,"NM")</f>
        <v>NM</v>
      </c>
      <c r="L49" s="72" t="str">
        <f ca="1">IF(L34&gt;=0,L34/L$47,"NM")</f>
        <v>NM</v>
      </c>
      <c r="M49" s="4"/>
      <c r="O49" s="72" t="str">
        <f ca="1">IF(O34&gt;=0,O34/O$47,"NM")</f>
        <v>NM</v>
      </c>
    </row>
    <row r="50" spans="2:15">
      <c r="G50"/>
      <c r="O50" s="272"/>
    </row>
    <row r="51" spans="2:15">
      <c r="G51"/>
    </row>
    <row r="52" spans="2:15">
      <c r="G52"/>
    </row>
    <row r="53" spans="2:15">
      <c r="G53"/>
    </row>
    <row r="54" spans="2:15">
      <c r="G54"/>
    </row>
    <row r="55" spans="2:15">
      <c r="G55"/>
    </row>
    <row r="56" spans="2:15">
      <c r="G56"/>
    </row>
    <row r="57" spans="2:15">
      <c r="G57"/>
    </row>
    <row r="58" spans="2:15">
      <c r="G58"/>
    </row>
    <row r="59" spans="2:15">
      <c r="G59"/>
    </row>
    <row r="60" spans="2:15">
      <c r="G60"/>
    </row>
    <row r="61" spans="2:15">
      <c r="G61"/>
    </row>
    <row r="62" spans="2:15">
      <c r="G62"/>
    </row>
    <row r="63" spans="2:15">
      <c r="G63"/>
    </row>
    <row r="64" spans="2:15">
      <c r="G64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T51"/>
  <sheetViews>
    <sheetView showGridLines="0" zoomScale="115" zoomScaleNormal="115" zoomScaleSheetLayoutView="115" workbookViewId="0">
      <selection activeCell="R37" sqref="R37"/>
    </sheetView>
  </sheetViews>
  <sheetFormatPr defaultColWidth="10.296875" defaultRowHeight="13"/>
  <cols>
    <col min="1" max="1" width="2.796875" style="4" customWidth="1"/>
    <col min="2" max="6" width="10.296875" style="3" customWidth="1"/>
    <col min="7" max="7" width="9.69921875" style="3" customWidth="1"/>
    <col min="8" max="9" width="9.5" style="3" customWidth="1"/>
    <col min="10" max="10" width="2.796875" style="3" customWidth="1"/>
    <col min="11" max="12" width="10.296875" style="3" customWidth="1"/>
    <col min="13" max="13" width="2.796875" style="3" customWidth="1"/>
    <col min="14" max="14" width="10.296875" style="3" customWidth="1"/>
    <col min="15" max="15" width="2.796875" style="4" customWidth="1"/>
    <col min="16" max="16384" width="10.296875" style="4"/>
  </cols>
  <sheetData>
    <row r="1" spans="1:20">
      <c r="A1" s="2"/>
    </row>
    <row r="2" spans="1:20" ht="22.5">
      <c r="B2" s="60" t="str">
        <f ca="1">proj</f>
        <v>TMT Model</v>
      </c>
      <c r="C2" s="384"/>
      <c r="D2" s="384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6"/>
      <c r="P2" s="6"/>
      <c r="Q2" s="6"/>
      <c r="R2" s="6"/>
      <c r="S2" s="6"/>
      <c r="T2" s="6"/>
    </row>
    <row r="3" spans="1:20" s="207" customFormat="1" ht="20.149999999999999" customHeight="1">
      <c r="B3" s="244" t="str">
        <f ca="1">acq&amp;" - Cash Flow Statement"</f>
        <v>COLEMAN MEDIA - Cash Flow Statement</v>
      </c>
      <c r="C3" s="249"/>
      <c r="D3" s="249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08"/>
      <c r="P3" s="208"/>
      <c r="Q3" s="208"/>
    </row>
    <row r="4" spans="1:20" s="209" customFormat="1">
      <c r="B4" s="129" t="str">
        <f ca="1">'Balance Sheet'!B4</f>
        <v>(Amounts in Millions)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20" s="209" customFormat="1">
      <c r="B5" s="376"/>
      <c r="C5" s="7"/>
      <c r="D5" s="7"/>
      <c r="E5" s="7"/>
      <c r="F5" s="7"/>
      <c r="G5" s="204" t="str">
        <f ca="1">+'Balance Sheet'!H5</f>
        <v>Fiscal Year Ended December 31,</v>
      </c>
      <c r="H5" s="204"/>
      <c r="I5" s="204"/>
      <c r="J5" s="14"/>
      <c r="K5" s="204" t="str">
        <f ca="1">'Income Statement'!K5</f>
        <v>Three Months Ended</v>
      </c>
      <c r="L5" s="204"/>
      <c r="M5" s="132"/>
      <c r="N5" s="204" t="str">
        <f ca="1">'Income Statement'!N5</f>
        <v>LTM</v>
      </c>
    </row>
    <row r="6" spans="1:20" ht="12.75" customHeight="1">
      <c r="G6" s="133">
        <f ca="1">'Income Statement'!G6</f>
        <v>2016</v>
      </c>
      <c r="H6" s="133">
        <f ca="1">'Income Statement'!H6</f>
        <v>2017</v>
      </c>
      <c r="I6" s="133">
        <f ca="1">'Income Statement'!I6</f>
        <v>2018</v>
      </c>
      <c r="J6" s="70"/>
      <c r="K6" s="134">
        <f ca="1">'Income Statement'!K6</f>
        <v>43190</v>
      </c>
      <c r="L6" s="134">
        <f ca="1">'Income Statement'!L6</f>
        <v>43555</v>
      </c>
      <c r="M6" s="134"/>
      <c r="N6" s="377">
        <f ca="1">'Income Statement'!N6</f>
        <v>43555</v>
      </c>
    </row>
    <row r="7" spans="1:20" ht="18" customHeight="1">
      <c r="B7" s="155" t="s">
        <v>67</v>
      </c>
      <c r="G7" s="216"/>
      <c r="H7" s="216"/>
      <c r="I7" s="217"/>
      <c r="K7" s="215"/>
      <c r="L7" s="217"/>
    </row>
    <row r="8" spans="1:20" ht="12.75" customHeight="1">
      <c r="B8" s="265" t="s">
        <v>11</v>
      </c>
      <c r="G8" s="73">
        <f ca="1">+'Income Statement'!G17</f>
        <v>261</v>
      </c>
      <c r="H8" s="73">
        <f ca="1">+'Income Statement'!H17</f>
        <v>372</v>
      </c>
      <c r="I8" s="73">
        <f ca="1">+'Income Statement'!I17</f>
        <v>398</v>
      </c>
      <c r="J8" s="73"/>
      <c r="K8" s="73">
        <f ca="1">+'Income Statement'!K17</f>
        <v>-149</v>
      </c>
      <c r="L8" s="73">
        <f ca="1">+'Income Statement'!L17</f>
        <v>-100</v>
      </c>
      <c r="M8" s="111"/>
      <c r="N8" s="111">
        <f t="shared" ref="N8:N13" ca="1" si="0">I8-K8+L8</f>
        <v>447</v>
      </c>
    </row>
    <row r="9" spans="1:20" ht="12.75" customHeight="1">
      <c r="B9" s="414" t="s">
        <v>16</v>
      </c>
      <c r="D9" s="63"/>
      <c r="E9" s="63"/>
      <c r="F9" s="63"/>
      <c r="G9" s="142">
        <f ca="1">477+352</f>
        <v>829</v>
      </c>
      <c r="H9" s="142">
        <f ca="1">614+275</f>
        <v>889</v>
      </c>
      <c r="I9" s="142">
        <f ca="1">676+325</f>
        <v>1001</v>
      </c>
      <c r="J9" s="118"/>
      <c r="K9" s="142">
        <f ca="1">167+72</f>
        <v>239</v>
      </c>
      <c r="L9" s="142">
        <f ca="1">176+52</f>
        <v>228</v>
      </c>
      <c r="M9" s="118"/>
      <c r="N9" s="53">
        <f t="shared" ca="1" si="0"/>
        <v>990</v>
      </c>
    </row>
    <row r="10" spans="1:20" ht="12.75" customHeight="1">
      <c r="B10" s="265" t="s">
        <v>226</v>
      </c>
      <c r="D10" s="117"/>
      <c r="E10" s="117"/>
      <c r="F10" s="117"/>
      <c r="G10" s="142">
        <v>242</v>
      </c>
      <c r="H10" s="142">
        <v>149</v>
      </c>
      <c r="I10" s="142">
        <v>203</v>
      </c>
      <c r="J10" s="118"/>
      <c r="K10" s="142">
        <v>50</v>
      </c>
      <c r="L10" s="142">
        <v>56</v>
      </c>
      <c r="M10" s="118"/>
      <c r="N10" s="53">
        <f t="shared" ca="1" si="0"/>
        <v>209</v>
      </c>
    </row>
    <row r="11" spans="1:20" ht="12.75" customHeight="1">
      <c r="B11" s="265" t="s">
        <v>287</v>
      </c>
      <c r="D11" s="117"/>
      <c r="E11" s="117"/>
      <c r="F11" s="117"/>
      <c r="G11" s="142">
        <v>-14</v>
      </c>
      <c r="H11" s="142">
        <v>-103</v>
      </c>
      <c r="I11" s="142">
        <v>-308</v>
      </c>
      <c r="J11" s="118"/>
      <c r="K11" s="142">
        <v>88</v>
      </c>
      <c r="L11" s="142">
        <v>17</v>
      </c>
      <c r="M11" s="118"/>
      <c r="N11" s="53">
        <f t="shared" ca="1" si="0"/>
        <v>-379</v>
      </c>
    </row>
    <row r="12" spans="1:20" ht="12.75" customHeight="1">
      <c r="B12" s="265" t="s">
        <v>288</v>
      </c>
      <c r="D12" s="117"/>
      <c r="E12" s="117"/>
      <c r="F12" s="117"/>
      <c r="G12" s="142">
        <f ca="1">16+53+12-4</f>
        <v>77</v>
      </c>
      <c r="H12" s="142">
        <f ca="1">+-79-6+14-30</f>
        <v>-101</v>
      </c>
      <c r="I12" s="142">
        <f ca="1">111-31+111+22+86</f>
        <v>299</v>
      </c>
      <c r="J12" s="118"/>
      <c r="K12" s="142">
        <f ca="1">+-5-8-37-3</f>
        <v>-53</v>
      </c>
      <c r="L12" s="142">
        <f ca="1">5-7-22-7</f>
        <v>-31</v>
      </c>
      <c r="M12" s="118"/>
      <c r="N12" s="53">
        <f t="shared" ca="1" si="0"/>
        <v>321</v>
      </c>
    </row>
    <row r="13" spans="1:20" ht="12.75" customHeight="1">
      <c r="B13" s="414" t="s">
        <v>285</v>
      </c>
      <c r="D13" s="63"/>
      <c r="E13" s="63"/>
      <c r="F13" s="63"/>
      <c r="G13" s="203">
        <f ca="1">+G51</f>
        <v>154</v>
      </c>
      <c r="H13" s="203">
        <f ca="1">+H51</f>
        <v>639</v>
      </c>
      <c r="I13" s="203">
        <f ca="1">+I51</f>
        <v>382</v>
      </c>
      <c r="J13" s="118"/>
      <c r="K13" s="203">
        <f ca="1">+K51</f>
        <v>1501</v>
      </c>
      <c r="L13" s="203">
        <f ca="1">+L51</f>
        <v>1979</v>
      </c>
      <c r="M13" s="118"/>
      <c r="N13" s="203">
        <f t="shared" ca="1" si="0"/>
        <v>860</v>
      </c>
    </row>
    <row r="14" spans="1:20" ht="12.75" customHeight="1">
      <c r="B14" s="63" t="s">
        <v>74</v>
      </c>
      <c r="G14" s="158">
        <f ca="1">SUM(G8:G13)</f>
        <v>1549</v>
      </c>
      <c r="H14" s="158">
        <f ca="1">SUM(H8:H13)</f>
        <v>1845</v>
      </c>
      <c r="I14" s="158">
        <f ca="1">SUM(I8:I13)</f>
        <v>1975</v>
      </c>
      <c r="J14" s="111"/>
      <c r="K14" s="158">
        <f ca="1">SUM(K8:K13)</f>
        <v>1676</v>
      </c>
      <c r="L14" s="158">
        <f ca="1">SUM(L8:L13)</f>
        <v>2149</v>
      </c>
      <c r="M14" s="111"/>
      <c r="N14" s="158">
        <f ca="1">SUM(N8:N13)</f>
        <v>2448</v>
      </c>
    </row>
    <row r="15" spans="1:20" ht="12.75" customHeight="1">
      <c r="G15" s="236"/>
      <c r="H15" s="236"/>
      <c r="I15" s="236"/>
      <c r="K15" s="236"/>
      <c r="L15" s="236"/>
      <c r="N15" s="236"/>
    </row>
    <row r="16" spans="1:20" ht="12.75" customHeight="1">
      <c r="B16" s="155" t="s">
        <v>68</v>
      </c>
      <c r="G16" s="236"/>
      <c r="H16" s="236"/>
      <c r="I16" s="236"/>
      <c r="K16" s="236"/>
      <c r="L16" s="236"/>
      <c r="N16" s="236"/>
    </row>
    <row r="17" spans="2:14" ht="12.75" customHeight="1">
      <c r="B17" s="414" t="s">
        <v>38</v>
      </c>
      <c r="D17" s="63"/>
      <c r="E17" s="63"/>
      <c r="F17" s="63"/>
      <c r="G17" s="221">
        <v>-749</v>
      </c>
      <c r="H17" s="221">
        <v>-710</v>
      </c>
      <c r="I17" s="221">
        <v>-878</v>
      </c>
      <c r="J17" s="111"/>
      <c r="K17" s="221">
        <v>-192</v>
      </c>
      <c r="L17" s="221">
        <v>-274</v>
      </c>
      <c r="M17" s="111"/>
      <c r="N17" s="111">
        <f ca="1">I17-K17+L17</f>
        <v>-960</v>
      </c>
    </row>
    <row r="18" spans="2:14" ht="12.75" customHeight="1">
      <c r="B18" s="414" t="s">
        <v>291</v>
      </c>
      <c r="D18" s="63"/>
      <c r="E18" s="63"/>
      <c r="F18" s="63"/>
      <c r="G18" s="221">
        <f ca="1">+-45+61-1</f>
        <v>15</v>
      </c>
      <c r="H18" s="221">
        <f ca="1">+-1811+1096-169</f>
        <v>-884</v>
      </c>
      <c r="I18" s="221">
        <f ca="1">+-1803+2137-53</f>
        <v>281</v>
      </c>
      <c r="J18" s="111"/>
      <c r="K18" s="221">
        <f ca="1">-867+317</f>
        <v>-550</v>
      </c>
      <c r="L18" s="221">
        <v>-438</v>
      </c>
      <c r="M18" s="111"/>
      <c r="N18" s="111">
        <f ca="1">I18-K18+L18</f>
        <v>393</v>
      </c>
    </row>
    <row r="19" spans="2:14" ht="12.75" customHeight="1">
      <c r="B19" s="265" t="s">
        <v>199</v>
      </c>
      <c r="D19" s="117"/>
      <c r="E19" s="117"/>
      <c r="F19" s="117"/>
      <c r="G19" s="225">
        <v>16</v>
      </c>
      <c r="H19" s="225">
        <v>13</v>
      </c>
      <c r="I19" s="225">
        <v>38</v>
      </c>
      <c r="J19" s="118"/>
      <c r="K19" s="225">
        <v>14</v>
      </c>
      <c r="L19" s="225">
        <v>6</v>
      </c>
      <c r="M19" s="118"/>
      <c r="N19" s="203">
        <f ca="1">I19-K19+L19</f>
        <v>30</v>
      </c>
    </row>
    <row r="20" spans="2:14" ht="12.75" customHeight="1">
      <c r="B20" s="63" t="s">
        <v>75</v>
      </c>
      <c r="G20" s="158">
        <f ca="1">SUM(G17:G19)</f>
        <v>-718</v>
      </c>
      <c r="H20" s="158">
        <f ca="1">SUM(H17:H19)</f>
        <v>-1581</v>
      </c>
      <c r="I20" s="158">
        <f ca="1">SUM(I17:I19)</f>
        <v>-559</v>
      </c>
      <c r="J20" s="111"/>
      <c r="K20" s="158">
        <f ca="1">SUM(K17:K19)</f>
        <v>-728</v>
      </c>
      <c r="L20" s="158">
        <f ca="1">SUM(L17:L19)</f>
        <v>-706</v>
      </c>
      <c r="M20" s="111"/>
      <c r="N20" s="158">
        <f ca="1">SUM(N17:N19)</f>
        <v>-537</v>
      </c>
    </row>
    <row r="21" spans="2:14" ht="12.75" customHeight="1">
      <c r="G21" s="236"/>
      <c r="H21" s="236"/>
      <c r="I21" s="236"/>
      <c r="K21" s="236"/>
      <c r="L21" s="236"/>
      <c r="N21" s="236"/>
    </row>
    <row r="22" spans="2:14" ht="12.75" customHeight="1">
      <c r="B22" s="155" t="s">
        <v>69</v>
      </c>
      <c r="G22" s="236"/>
      <c r="H22" s="236"/>
      <c r="I22" s="236"/>
      <c r="K22" s="236"/>
      <c r="L22" s="236"/>
      <c r="N22" s="236"/>
    </row>
    <row r="23" spans="2:14" ht="12.75" customHeight="1">
      <c r="B23" s="1" t="s">
        <v>292</v>
      </c>
      <c r="G23" s="152">
        <v>-456</v>
      </c>
      <c r="H23" s="152">
        <v>-312</v>
      </c>
      <c r="I23" s="152">
        <v>-923</v>
      </c>
      <c r="K23" s="196">
        <v>-202</v>
      </c>
      <c r="L23" s="196">
        <v>-25</v>
      </c>
      <c r="N23" s="236">
        <f ca="1">I23-K23+L23</f>
        <v>-746</v>
      </c>
    </row>
    <row r="24" spans="2:14" ht="12.75" customHeight="1">
      <c r="B24" s="1" t="s">
        <v>307</v>
      </c>
      <c r="G24" s="152">
        <v>0</v>
      </c>
      <c r="H24" s="152">
        <v>990</v>
      </c>
      <c r="I24" s="152">
        <v>-500</v>
      </c>
      <c r="K24" s="196">
        <v>0</v>
      </c>
      <c r="L24" s="196">
        <v>0</v>
      </c>
      <c r="N24" s="236">
        <f ca="1">I24-K24+L24</f>
        <v>-500</v>
      </c>
    </row>
    <row r="25" spans="2:14" ht="12.75" customHeight="1">
      <c r="B25" s="1" t="s">
        <v>234</v>
      </c>
      <c r="G25" s="152">
        <v>-150</v>
      </c>
      <c r="H25" s="152">
        <v>-176</v>
      </c>
      <c r="I25" s="152">
        <v>-186</v>
      </c>
      <c r="K25" s="196">
        <v>-46</v>
      </c>
      <c r="L25" s="196">
        <v>-47</v>
      </c>
      <c r="N25" s="236">
        <f ca="1">I25-K25+L25</f>
        <v>-187</v>
      </c>
    </row>
    <row r="26" spans="2:14" ht="12.75" customHeight="1">
      <c r="B26" s="1" t="s">
        <v>293</v>
      </c>
      <c r="G26" s="152">
        <v>141</v>
      </c>
      <c r="H26" s="152">
        <v>229</v>
      </c>
      <c r="I26" s="152">
        <v>166</v>
      </c>
      <c r="K26" s="196">
        <v>20</v>
      </c>
      <c r="L26" s="196">
        <v>91</v>
      </c>
      <c r="N26" s="236">
        <f ca="1">I26-K26+L26</f>
        <v>237</v>
      </c>
    </row>
    <row r="27" spans="2:14" ht="12.75" customHeight="1">
      <c r="B27" s="1" t="s">
        <v>235</v>
      </c>
      <c r="G27" s="152">
        <v>-226</v>
      </c>
      <c r="H27" s="152">
        <v>-44</v>
      </c>
      <c r="I27" s="152">
        <v>-48</v>
      </c>
      <c r="K27" s="196">
        <v>-11</v>
      </c>
      <c r="L27" s="196">
        <v>2</v>
      </c>
      <c r="N27" s="236">
        <f ca="1">I27-K27+L27</f>
        <v>-35</v>
      </c>
    </row>
    <row r="28" spans="2:14" ht="12.75" customHeight="1">
      <c r="B28" s="63" t="s">
        <v>76</v>
      </c>
      <c r="G28" s="138">
        <f ca="1">+SUM(G23:G27)</f>
        <v>-691</v>
      </c>
      <c r="H28" s="413">
        <f ca="1">+SUM(H23:H27)</f>
        <v>687</v>
      </c>
      <c r="I28" s="139">
        <f ca="1">+SUM(I23:I27)</f>
        <v>-1491</v>
      </c>
      <c r="J28" s="111"/>
      <c r="K28" s="139">
        <f ca="1">+SUM(K23:K27)</f>
        <v>-239</v>
      </c>
      <c r="L28" s="139">
        <f ca="1">+SUM(L23:L27)</f>
        <v>21</v>
      </c>
      <c r="M28" s="111"/>
      <c r="N28" s="139">
        <f ca="1">+SUM(N23:N27)</f>
        <v>-1231</v>
      </c>
    </row>
    <row r="29" spans="2:14" ht="12.75" customHeight="1">
      <c r="G29" s="236"/>
      <c r="H29" s="236"/>
      <c r="I29" s="236"/>
      <c r="K29" s="236"/>
      <c r="L29" s="236"/>
      <c r="N29" s="236"/>
    </row>
    <row r="30" spans="2:14" ht="12.75" customHeight="1">
      <c r="B30" s="3" t="s">
        <v>152</v>
      </c>
      <c r="G30" s="137">
        <v>-35</v>
      </c>
      <c r="H30" s="137">
        <v>147</v>
      </c>
      <c r="I30" s="137">
        <v>-139</v>
      </c>
      <c r="J30" s="111"/>
      <c r="K30" s="137">
        <v>17</v>
      </c>
      <c r="L30" s="137">
        <v>-11</v>
      </c>
      <c r="M30" s="111"/>
      <c r="N30" s="111">
        <f ca="1">I30-K30+L30</f>
        <v>-167</v>
      </c>
    </row>
    <row r="31" spans="2:14" ht="12.75" customHeight="1">
      <c r="G31" s="111"/>
      <c r="H31" s="111"/>
      <c r="I31" s="111"/>
      <c r="J31" s="111"/>
      <c r="K31" s="111"/>
      <c r="L31" s="111"/>
      <c r="M31" s="111"/>
      <c r="N31" s="111"/>
    </row>
    <row r="32" spans="2:14" ht="12.75" customHeight="1">
      <c r="B32" s="63" t="s">
        <v>77</v>
      </c>
      <c r="G32" s="158">
        <f ca="1">G14+G20+G28+G30</f>
        <v>105</v>
      </c>
      <c r="H32" s="158">
        <f ca="1">H14+H20+H28+H30</f>
        <v>1098</v>
      </c>
      <c r="I32" s="158">
        <f ca="1">I14+I20+I28+I30</f>
        <v>-214</v>
      </c>
      <c r="J32" s="111"/>
      <c r="K32" s="158">
        <f ca="1">K14+K20+K28+K30</f>
        <v>726</v>
      </c>
      <c r="L32" s="158">
        <f ca="1">L14+L20+L28+L30</f>
        <v>1453</v>
      </c>
      <c r="M32" s="111"/>
      <c r="N32" s="158">
        <f ca="1">N14+N20+N28+N30</f>
        <v>513</v>
      </c>
    </row>
    <row r="33" spans="2:16" ht="12.75" customHeight="1">
      <c r="B33" s="63"/>
      <c r="G33" s="158"/>
      <c r="H33" s="158"/>
      <c r="I33" s="158"/>
      <c r="J33" s="111"/>
      <c r="K33" s="158"/>
      <c r="L33" s="158"/>
      <c r="M33" s="111"/>
      <c r="N33" s="158"/>
    </row>
    <row r="34" spans="2:16" ht="12.75" customHeight="1">
      <c r="B34" s="3" t="s">
        <v>311</v>
      </c>
      <c r="G34" s="378">
        <v>1713</v>
      </c>
      <c r="H34" s="379">
        <f ca="1">G35</f>
        <v>1818</v>
      </c>
      <c r="I34" s="379">
        <f ca="1">H35</f>
        <v>2916</v>
      </c>
      <c r="J34" s="111"/>
      <c r="K34" s="379">
        <f ca="1">+H35</f>
        <v>2916</v>
      </c>
      <c r="L34" s="379">
        <f ca="1">+I35</f>
        <v>2702</v>
      </c>
      <c r="M34" s="111"/>
      <c r="N34" s="379">
        <f ca="1">+K35</f>
        <v>3642</v>
      </c>
    </row>
    <row r="35" spans="2:16" ht="12.75" customHeight="1" thickBot="1">
      <c r="B35" s="3" t="s">
        <v>312</v>
      </c>
      <c r="G35" s="380">
        <f ca="1">G32+G34</f>
        <v>1818</v>
      </c>
      <c r="H35" s="380">
        <f ca="1">H32+H34</f>
        <v>2916</v>
      </c>
      <c r="I35" s="380">
        <f ca="1">I32+I34</f>
        <v>2702</v>
      </c>
      <c r="J35" s="111"/>
      <c r="K35" s="380">
        <f ca="1">K32+K34</f>
        <v>3642</v>
      </c>
      <c r="L35" s="380">
        <f ca="1">L32+L34</f>
        <v>4155</v>
      </c>
      <c r="M35" s="111"/>
      <c r="N35" s="380">
        <f ca="1">N32+N34</f>
        <v>4155</v>
      </c>
    </row>
    <row r="36" spans="2:16" ht="12.75" customHeight="1" thickTop="1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</row>
    <row r="37" spans="2:16" ht="12.75" customHeight="1">
      <c r="B37" s="185" t="str">
        <f ca="1">"Source: Company's "&amp;YEAR(afye)&amp;" Form 10-K."</f>
        <v>Source: Company's 2018 Form 10-K.</v>
      </c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6" ht="12.75" customHeight="1"/>
    <row r="39" spans="2:16" ht="12.75" customHeight="1">
      <c r="B39" s="3" t="s">
        <v>143</v>
      </c>
      <c r="G39" s="73"/>
      <c r="H39" s="73">
        <f ca="1">'Balance Sheet'!H8</f>
        <v>3315</v>
      </c>
      <c r="I39" s="73">
        <f ca="1">'Balance Sheet'!I8</f>
        <v>2471</v>
      </c>
      <c r="J39" s="73"/>
      <c r="K39" s="73">
        <f ca="1">'Balance Sheet'!K8</f>
        <v>4454</v>
      </c>
      <c r="L39" s="73">
        <f ca="1">'Balance Sheet'!L8</f>
        <v>4174</v>
      </c>
      <c r="M39" s="70"/>
      <c r="N39" s="111"/>
    </row>
    <row r="40" spans="2:16" ht="12.75" customHeight="1">
      <c r="B40" s="3" t="s">
        <v>308</v>
      </c>
      <c r="G40" s="73"/>
      <c r="H40" s="73">
        <f ca="1">+-468</f>
        <v>-468</v>
      </c>
      <c r="I40" s="73">
        <v>-28</v>
      </c>
      <c r="J40" s="73"/>
      <c r="K40" s="73">
        <f ca="1">+-1031</f>
        <v>-1031</v>
      </c>
      <c r="L40" s="73">
        <v>-466</v>
      </c>
      <c r="M40" s="70"/>
      <c r="N40" s="111"/>
    </row>
    <row r="41" spans="2:16" ht="12.75" customHeight="1">
      <c r="B41" s="3" t="s">
        <v>309</v>
      </c>
      <c r="G41" s="73"/>
      <c r="H41" s="459">
        <f ca="1">+'Balance Sheet'!H9</f>
        <v>69</v>
      </c>
      <c r="I41" s="459">
        <f ca="1">+'Balance Sheet'!I9</f>
        <v>259</v>
      </c>
      <c r="J41" s="73"/>
      <c r="K41" s="459">
        <f ca="1">+'Balance Sheet'!K9</f>
        <v>219</v>
      </c>
      <c r="L41" s="459">
        <f ca="1">+'Balance Sheet'!L9</f>
        <v>447</v>
      </c>
      <c r="M41" s="70"/>
      <c r="N41" s="111"/>
    </row>
    <row r="42" spans="2:16" ht="12.75" customHeight="1">
      <c r="B42" s="4" t="s">
        <v>310</v>
      </c>
      <c r="C42" s="4"/>
      <c r="D42" s="4"/>
      <c r="E42" s="4"/>
      <c r="F42" s="4"/>
      <c r="G42" s="447"/>
      <c r="H42" s="106">
        <f ca="1">+SUM(H39:H41)</f>
        <v>2916</v>
      </c>
      <c r="I42" s="106">
        <f t="shared" ref="I42" ca="1" si="1">+SUM(I39:I41)</f>
        <v>2702</v>
      </c>
      <c r="J42" s="447"/>
      <c r="K42" s="106">
        <f t="shared" ref="K42" ca="1" si="2">+SUM(K39:K41)</f>
        <v>3642</v>
      </c>
      <c r="L42" s="106">
        <f t="shared" ref="L42" ca="1" si="3">+SUM(L39:L41)</f>
        <v>4155</v>
      </c>
      <c r="M42" s="175"/>
      <c r="N42" s="106"/>
    </row>
    <row r="43" spans="2:16" s="202" customFormat="1" ht="12.75" customHeight="1">
      <c r="B43" s="305" t="s">
        <v>112</v>
      </c>
      <c r="C43" s="198"/>
      <c r="D43" s="198"/>
      <c r="E43" s="198"/>
      <c r="F43" s="198"/>
      <c r="G43" s="381"/>
      <c r="H43" s="381">
        <f ca="1">H35-H42</f>
        <v>0</v>
      </c>
      <c r="I43" s="381">
        <f ca="1">I35-I42</f>
        <v>0</v>
      </c>
      <c r="J43" s="198"/>
      <c r="K43" s="381">
        <f t="shared" ref="K43:L43" ca="1" si="4">K35-K42</f>
        <v>0</v>
      </c>
      <c r="L43" s="381">
        <f t="shared" ca="1" si="4"/>
        <v>0</v>
      </c>
      <c r="M43" s="198"/>
      <c r="N43" s="381"/>
    </row>
    <row r="44" spans="2:16" ht="12.75" customHeight="1">
      <c r="H44" s="382"/>
      <c r="N44" s="383"/>
    </row>
    <row r="45" spans="2:16">
      <c r="B45" s="522" t="s">
        <v>285</v>
      </c>
      <c r="G45" s="242"/>
      <c r="H45" s="242"/>
      <c r="I45" s="242"/>
      <c r="J45" s="242"/>
      <c r="K45" s="242"/>
      <c r="M45" s="242"/>
      <c r="N45" s="242"/>
      <c r="O45" s="3"/>
      <c r="P45" s="242"/>
    </row>
    <row r="46" spans="2:16">
      <c r="B46" s="1" t="s">
        <v>279</v>
      </c>
      <c r="F46" s="152"/>
      <c r="G46" s="137">
        <v>-276</v>
      </c>
      <c r="H46" s="137">
        <v>-456</v>
      </c>
      <c r="I46" s="137">
        <v>-282</v>
      </c>
      <c r="J46" s="137"/>
      <c r="K46" s="137">
        <v>-345</v>
      </c>
      <c r="L46" s="137">
        <v>-468</v>
      </c>
      <c r="M46" s="137"/>
      <c r="N46" s="111">
        <f ca="1">+I46+L46-K46</f>
        <v>-405</v>
      </c>
      <c r="O46" s="111"/>
    </row>
    <row r="47" spans="2:16">
      <c r="B47" s="1" t="s">
        <v>289</v>
      </c>
      <c r="G47" s="152">
        <v>-45</v>
      </c>
      <c r="H47" s="152">
        <v>-71</v>
      </c>
      <c r="I47" s="152">
        <v>-29</v>
      </c>
      <c r="J47" s="152"/>
      <c r="K47" s="152">
        <v>-57</v>
      </c>
      <c r="L47" s="152">
        <v>-23</v>
      </c>
      <c r="M47" s="152"/>
      <c r="N47" s="118">
        <f t="shared" ref="N47:N51" ca="1" si="5">+I47+L47-K47</f>
        <v>5</v>
      </c>
      <c r="O47" s="118"/>
    </row>
    <row r="48" spans="2:16">
      <c r="B48" s="1" t="s">
        <v>282</v>
      </c>
      <c r="G48" s="152">
        <f ca="1">184+79</f>
        <v>263</v>
      </c>
      <c r="H48" s="152">
        <f ca="1">316+257</f>
        <v>573</v>
      </c>
      <c r="I48" s="152">
        <f ca="1">-134+196</f>
        <v>62</v>
      </c>
      <c r="J48" s="152"/>
      <c r="K48" s="152">
        <f ca="1">-127+38</f>
        <v>-89</v>
      </c>
      <c r="L48" s="152">
        <f ca="1">39+146</f>
        <v>185</v>
      </c>
      <c r="M48" s="152"/>
      <c r="N48" s="118">
        <f t="shared" ca="1" si="5"/>
        <v>336</v>
      </c>
      <c r="O48" s="118"/>
    </row>
    <row r="49" spans="2:15">
      <c r="B49" s="1" t="s">
        <v>290</v>
      </c>
      <c r="G49" s="152">
        <v>-100</v>
      </c>
      <c r="H49" s="152">
        <v>-30</v>
      </c>
      <c r="I49" s="152">
        <v>102</v>
      </c>
      <c r="J49" s="152"/>
      <c r="K49" s="152">
        <v>-178</v>
      </c>
      <c r="L49" s="152">
        <v>-169</v>
      </c>
      <c r="M49" s="152"/>
      <c r="N49" s="118">
        <f t="shared" ca="1" si="5"/>
        <v>111</v>
      </c>
      <c r="O49" s="118"/>
    </row>
    <row r="50" spans="2:15">
      <c r="B50" s="1" t="s">
        <v>284</v>
      </c>
      <c r="G50" s="152">
        <f ca="1">261+51</f>
        <v>312</v>
      </c>
      <c r="H50" s="152">
        <f ca="1">593+30</f>
        <v>623</v>
      </c>
      <c r="I50" s="152">
        <f ca="1">489+40</f>
        <v>529</v>
      </c>
      <c r="J50" s="152"/>
      <c r="K50" s="152">
        <f ca="1">2027+143</f>
        <v>2170</v>
      </c>
      <c r="L50" s="152">
        <f ca="1">2285+169</f>
        <v>2454</v>
      </c>
      <c r="M50" s="152"/>
      <c r="N50" s="118">
        <f t="shared" ca="1" si="5"/>
        <v>813</v>
      </c>
      <c r="O50" s="118"/>
    </row>
    <row r="51" spans="2:15">
      <c r="B51" s="105" t="s">
        <v>286</v>
      </c>
      <c r="G51" s="472">
        <f ca="1">SUM(G46:G50)</f>
        <v>154</v>
      </c>
      <c r="H51" s="472">
        <f ca="1">SUM(H46:H50)</f>
        <v>639</v>
      </c>
      <c r="I51" s="472">
        <f ca="1">SUM(I46:I50)</f>
        <v>382</v>
      </c>
      <c r="J51" s="472"/>
      <c r="K51" s="472">
        <f ca="1">SUM(K46:K50)</f>
        <v>1501</v>
      </c>
      <c r="L51" s="472">
        <f ca="1">SUM(L46:L50)</f>
        <v>1979</v>
      </c>
      <c r="M51" s="472"/>
      <c r="N51" s="472">
        <f t="shared" ca="1" si="5"/>
        <v>860</v>
      </c>
      <c r="O51" s="111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T258"/>
  <sheetViews>
    <sheetView showGridLines="0" zoomScale="115" zoomScaleNormal="115" zoomScaleSheetLayoutView="115" workbookViewId="0">
      <selection activeCell="B6" sqref="B6"/>
    </sheetView>
  </sheetViews>
  <sheetFormatPr defaultColWidth="11.296875" defaultRowHeight="13"/>
  <cols>
    <col min="1" max="1" width="2.796875" style="4" customWidth="1"/>
    <col min="2" max="17" width="11.296875" style="3" customWidth="1"/>
    <col min="18" max="16384" width="11.296875" style="4"/>
  </cols>
  <sheetData>
    <row r="1" spans="1:20">
      <c r="A1" s="259"/>
    </row>
    <row r="2" spans="1:20" ht="22.5">
      <c r="B2" s="60" t="str">
        <f ca="1">proj</f>
        <v>TMT Model</v>
      </c>
      <c r="C2" s="252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263" t="str">
        <f ca="1">IFERROR(IF(MAX(L123:Q123)&lt;F148,"","ERROR! REVOLVER BALANCE OVERDRAWN"),"")</f>
        <v/>
      </c>
      <c r="R2" s="6"/>
      <c r="S2" s="6"/>
      <c r="T2" s="6"/>
    </row>
    <row r="3" spans="1:20" s="207" customFormat="1" ht="20.149999999999999" customHeight="1">
      <c r="B3" s="244" t="str">
        <f ca="1">acq&amp;" - Projections"</f>
        <v>COLEMAN MEDIA - Projections</v>
      </c>
      <c r="C3" s="244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1"/>
      <c r="Q3" s="251" t="str">
        <f ca="1">acname</f>
        <v>Wall street consensus</v>
      </c>
    </row>
    <row r="4" spans="1:20">
      <c r="B4" s="129" t="str">
        <f ca="1">'Spread Cover'!B4</f>
        <v>(Amounts in Millions, Except Per Share Data)</v>
      </c>
      <c r="C4" s="61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01"/>
      <c r="Q4" s="301" t="str">
        <f ca="1">"Source: "&amp;CHOOSE(acase,E240,E241,E242,E243,E244)</f>
        <v>Source: Research Provider</v>
      </c>
    </row>
    <row r="5" spans="1:20">
      <c r="B5" s="61"/>
      <c r="C5" s="61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4"/>
      <c r="Q5" s="4"/>
    </row>
    <row r="6" spans="1:20" ht="16" customHeight="1" thickBot="1">
      <c r="B6" s="269" t="s">
        <v>39</v>
      </c>
      <c r="C6" s="269"/>
      <c r="D6" s="270"/>
      <c r="E6" s="270"/>
      <c r="F6" s="270"/>
      <c r="G6" s="270"/>
      <c r="H6" s="270"/>
      <c r="I6" s="270"/>
      <c r="J6" s="270"/>
      <c r="K6" s="270"/>
      <c r="L6" s="270"/>
      <c r="M6" s="270"/>
      <c r="N6" s="270"/>
      <c r="O6" s="270"/>
      <c r="P6" s="271"/>
      <c r="Q6" s="271"/>
    </row>
    <row r="7" spans="1:20" ht="15" customHeight="1">
      <c r="B7" s="260" t="str">
        <f ca="1">+'Income Statement'!G5</f>
        <v>Fiscal Year Ended December 31,</v>
      </c>
      <c r="C7" s="260"/>
      <c r="D7" s="260"/>
      <c r="E7" s="260"/>
      <c r="F7" s="260"/>
      <c r="G7" s="260"/>
      <c r="H7" s="260"/>
      <c r="I7" s="289">
        <f ca="1">J7-1</f>
        <v>2016</v>
      </c>
      <c r="J7" s="289">
        <f ca="1">K7-1</f>
        <v>2017</v>
      </c>
      <c r="K7" s="319">
        <f ca="1">afy</f>
        <v>2018</v>
      </c>
      <c r="L7" s="320">
        <f ca="1">K7+1</f>
        <v>2019</v>
      </c>
      <c r="M7" s="290">
        <f ca="1">K7+2</f>
        <v>2020</v>
      </c>
      <c r="N7" s="290">
        <f ca="1">M7+1</f>
        <v>2021</v>
      </c>
      <c r="O7" s="290">
        <f ca="1">N7+1</f>
        <v>2022</v>
      </c>
      <c r="P7" s="290">
        <f ca="1">O7+1</f>
        <v>2023</v>
      </c>
      <c r="Q7" s="290">
        <f ca="1">P7+1</f>
        <v>2024</v>
      </c>
    </row>
    <row r="8" spans="1:20" ht="15" customHeight="1">
      <c r="B8" s="4" t="str">
        <f ca="1">+'Income Statement'!B7</f>
        <v>Revenue</v>
      </c>
      <c r="C8" s="4"/>
      <c r="D8" s="4"/>
      <c r="E8" s="4"/>
      <c r="F8" s="4"/>
      <c r="G8" s="4"/>
      <c r="H8" s="4"/>
      <c r="I8" s="106">
        <f ca="1">+I10+I9</f>
        <v>8774</v>
      </c>
      <c r="J8" s="106">
        <f ca="1">+J10+J9</f>
        <v>10060</v>
      </c>
      <c r="K8" s="106">
        <f ca="1">+K10+K9</f>
        <v>11223</v>
      </c>
      <c r="L8" s="106">
        <f t="shared" ref="L8:Q8" ca="1" si="0">K8*(1+L239)</f>
        <v>12135.9</v>
      </c>
      <c r="M8" s="106">
        <f t="shared" ca="1" si="0"/>
        <v>13278.5</v>
      </c>
      <c r="N8" s="106">
        <f t="shared" ca="1" si="0"/>
        <v>14466.000000000002</v>
      </c>
      <c r="O8" s="106">
        <f t="shared" ca="1" si="0"/>
        <v>15806.000000000002</v>
      </c>
      <c r="P8" s="106">
        <f t="shared" ca="1" si="0"/>
        <v>17270.125535738978</v>
      </c>
      <c r="Q8" s="106">
        <f t="shared" ca="1" si="0"/>
        <v>18869.874479323262</v>
      </c>
    </row>
    <row r="9" spans="1:20" ht="12.75" customHeight="1">
      <c r="B9" s="3" t="str">
        <f ca="1">+'Income Statement'!B8</f>
        <v>Cost of Revenue</v>
      </c>
      <c r="I9" s="103">
        <f ca="1">'Income Statement'!G8-'Income Statement'!G75</f>
        <v>1597</v>
      </c>
      <c r="J9" s="103">
        <f ca="1">'Income Statement'!H8-'Income Statement'!H75</f>
        <v>1757</v>
      </c>
      <c r="K9" s="103">
        <f ca="1">'Income Statement'!I8-'Income Statement'!I75</f>
        <v>1965</v>
      </c>
      <c r="L9" s="203">
        <f t="shared" ref="L9:Q9" ca="1" si="1">+L8-L10</f>
        <v>2123.7825000000012</v>
      </c>
      <c r="M9" s="203">
        <f t="shared" ca="1" si="1"/>
        <v>2323.7375000000011</v>
      </c>
      <c r="N9" s="203">
        <f t="shared" ca="1" si="1"/>
        <v>2531.5500000000011</v>
      </c>
      <c r="O9" s="203">
        <f t="shared" ca="1" si="1"/>
        <v>2766.0500000000011</v>
      </c>
      <c r="P9" s="203">
        <f t="shared" ca="1" si="1"/>
        <v>3022.2719687543213</v>
      </c>
      <c r="Q9" s="203">
        <f t="shared" ca="1" si="1"/>
        <v>3302.2280338815708</v>
      </c>
    </row>
    <row r="10" spans="1:20" ht="12.75" customHeight="1">
      <c r="B10" s="3" t="str">
        <f ca="1">+'Income Statement'!B9</f>
        <v>Gross Profit</v>
      </c>
      <c r="I10" s="420">
        <f ca="1">+'Income Statement'!G39</f>
        <v>7177</v>
      </c>
      <c r="J10" s="420">
        <f ca="1">+'Income Statement'!H39</f>
        <v>8303</v>
      </c>
      <c r="K10" s="420">
        <f ca="1">+'Income Statement'!I39</f>
        <v>9258</v>
      </c>
      <c r="L10" s="314">
        <f t="shared" ref="L10:Q10" ca="1" si="2">+L8*L246</f>
        <v>10012.117499999998</v>
      </c>
      <c r="M10" s="314">
        <f t="shared" ca="1" si="2"/>
        <v>10954.762499999999</v>
      </c>
      <c r="N10" s="314">
        <f t="shared" ca="1" si="2"/>
        <v>11934.45</v>
      </c>
      <c r="O10" s="314">
        <f t="shared" ca="1" si="2"/>
        <v>13039.95</v>
      </c>
      <c r="P10" s="314">
        <f t="shared" ca="1" si="2"/>
        <v>14247.853566984657</v>
      </c>
      <c r="Q10" s="314">
        <f t="shared" ca="1" si="2"/>
        <v>15567.646445441691</v>
      </c>
    </row>
    <row r="11" spans="1:20" ht="12.75" customHeight="1">
      <c r="B11" s="3" t="str">
        <f ca="1">+'Income Statement'!B10</f>
        <v>SG&amp;A</v>
      </c>
      <c r="I11" s="100">
        <f ca="1">'Income Statement'!G40</f>
        <v>6280</v>
      </c>
      <c r="J11" s="100">
        <f ca="1">'Income Statement'!H40</f>
        <v>7361</v>
      </c>
      <c r="K11" s="100">
        <f ca="1">'Income Statement'!I40</f>
        <v>8192</v>
      </c>
      <c r="L11" s="53">
        <f t="shared" ref="L11:Q11" ca="1" si="3">+L8*L253</f>
        <v>8859.2070000000003</v>
      </c>
      <c r="M11" s="53">
        <f t="shared" ca="1" si="3"/>
        <v>9693.3050000000003</v>
      </c>
      <c r="N11" s="53">
        <f t="shared" ca="1" si="3"/>
        <v>10560.18</v>
      </c>
      <c r="O11" s="53">
        <f t="shared" ca="1" si="3"/>
        <v>11538.380000000001</v>
      </c>
      <c r="P11" s="53">
        <f t="shared" ca="1" si="3"/>
        <v>12607.191641089454</v>
      </c>
      <c r="Q11" s="53">
        <f t="shared" ca="1" si="3"/>
        <v>13775.008369905981</v>
      </c>
    </row>
    <row r="12" spans="1:20" ht="12.75" customHeight="1">
      <c r="B12" s="3" t="str">
        <f ca="1">+'Income Statement'!B11</f>
        <v>Other Income</v>
      </c>
      <c r="I12" s="419">
        <f ca="1">'Income Statement'!G41</f>
        <v>317</v>
      </c>
      <c r="J12" s="419">
        <f ca="1">'Income Statement'!H41</f>
        <v>275</v>
      </c>
      <c r="K12" s="419">
        <f ca="1">'Income Statement'!I41</f>
        <v>283</v>
      </c>
      <c r="L12" s="415">
        <f t="shared" ref="L12:Q12" ca="1" si="4">+K12</f>
        <v>283</v>
      </c>
      <c r="M12" s="415">
        <f t="shared" ca="1" si="4"/>
        <v>283</v>
      </c>
      <c r="N12" s="415">
        <f t="shared" ca="1" si="4"/>
        <v>283</v>
      </c>
      <c r="O12" s="415">
        <f t="shared" ca="1" si="4"/>
        <v>283</v>
      </c>
      <c r="P12" s="415">
        <f t="shared" ca="1" si="4"/>
        <v>283</v>
      </c>
      <c r="Q12" s="415">
        <f t="shared" ca="1" si="4"/>
        <v>283</v>
      </c>
    </row>
    <row r="13" spans="1:20" ht="12.75" customHeight="1">
      <c r="B13" s="3" t="str">
        <f ca="1">+'Income Statement'!B12</f>
        <v>Operating Income</v>
      </c>
      <c r="I13" s="410">
        <f t="shared" ref="I13:Q13" ca="1" si="5">+I10-SUM(I11:I12)</f>
        <v>580</v>
      </c>
      <c r="J13" s="410">
        <f t="shared" ca="1" si="5"/>
        <v>667</v>
      </c>
      <c r="K13" s="410">
        <f t="shared" ca="1" si="5"/>
        <v>783</v>
      </c>
      <c r="L13" s="410">
        <f t="shared" ca="1" si="5"/>
        <v>869.91049999999814</v>
      </c>
      <c r="M13" s="410">
        <f t="shared" ca="1" si="5"/>
        <v>978.45749999999862</v>
      </c>
      <c r="N13" s="410">
        <f t="shared" ca="1" si="5"/>
        <v>1091.2700000000004</v>
      </c>
      <c r="O13" s="410">
        <f t="shared" ca="1" si="5"/>
        <v>1218.5699999999997</v>
      </c>
      <c r="P13" s="410">
        <f t="shared" ca="1" si="5"/>
        <v>1357.6619258952032</v>
      </c>
      <c r="Q13" s="410">
        <f t="shared" ca="1" si="5"/>
        <v>1509.6380755357095</v>
      </c>
      <c r="R13" s="53"/>
      <c r="S13" s="53"/>
      <c r="T13" s="53"/>
    </row>
    <row r="14" spans="1:20" ht="12.75" customHeight="1">
      <c r="B14" s="3" t="s">
        <v>13</v>
      </c>
      <c r="I14" s="100">
        <f ca="1">'Income Statement'!G13</f>
        <v>153</v>
      </c>
      <c r="J14" s="100">
        <f ca="1">'Income Statement'!H13</f>
        <v>148</v>
      </c>
      <c r="K14" s="100">
        <f ca="1">'Income Statement'!I13</f>
        <v>119</v>
      </c>
      <c r="L14" s="53">
        <f ca="1">+L156</f>
        <v>72.671605480116696</v>
      </c>
      <c r="M14" s="53">
        <f t="shared" ref="M14:Q14" ca="1" si="6">+M156</f>
        <v>70.780177824188684</v>
      </c>
      <c r="N14" s="53">
        <f t="shared" ca="1" si="6"/>
        <v>67.927990772295601</v>
      </c>
      <c r="O14" s="53">
        <f t="shared" ca="1" si="6"/>
        <v>64.16828408142301</v>
      </c>
      <c r="P14" s="53">
        <f t="shared" ca="1" si="6"/>
        <v>59.334307221754564</v>
      </c>
      <c r="Q14" s="53">
        <f t="shared" ca="1" si="6"/>
        <v>53.38221293300834</v>
      </c>
      <c r="R14" s="53"/>
      <c r="S14" s="53"/>
      <c r="T14" s="53"/>
    </row>
    <row r="15" spans="1:20" ht="12.75" customHeight="1">
      <c r="B15" s="3" t="str">
        <f ca="1">+'Income Statement'!B14</f>
        <v>Other Expense, Net</v>
      </c>
      <c r="I15" s="419">
        <f ca="1">'Income Statement'!G44</f>
        <v>32</v>
      </c>
      <c r="J15" s="419">
        <f ca="1">'Income Statement'!H44</f>
        <v>60</v>
      </c>
      <c r="K15" s="419">
        <f ca="1">'Income Statement'!I44</f>
        <v>110</v>
      </c>
      <c r="L15" s="416">
        <f ca="1">+K15</f>
        <v>110</v>
      </c>
      <c r="M15" s="416">
        <f t="shared" ref="M15:Q15" ca="1" si="7">+L15</f>
        <v>110</v>
      </c>
      <c r="N15" s="416">
        <f t="shared" ca="1" si="7"/>
        <v>110</v>
      </c>
      <c r="O15" s="416">
        <f t="shared" ca="1" si="7"/>
        <v>110</v>
      </c>
      <c r="P15" s="416">
        <f t="shared" ca="1" si="7"/>
        <v>110</v>
      </c>
      <c r="Q15" s="416">
        <f t="shared" ca="1" si="7"/>
        <v>110</v>
      </c>
      <c r="R15" s="361"/>
      <c r="S15" s="361"/>
      <c r="T15" s="361"/>
    </row>
    <row r="16" spans="1:20" ht="12.75" customHeight="1">
      <c r="B16" s="3" t="str">
        <f ca="1">+'Income Statement'!B15</f>
        <v>Pre-Tax Income</v>
      </c>
      <c r="D16" s="304"/>
      <c r="F16" s="4"/>
      <c r="I16" s="410">
        <f t="shared" ref="I16:Q16" ca="1" si="8">+I13-SUM(I14:I15)</f>
        <v>395</v>
      </c>
      <c r="J16" s="410">
        <f t="shared" ca="1" si="8"/>
        <v>459</v>
      </c>
      <c r="K16" s="410">
        <f t="shared" ca="1" si="8"/>
        <v>554</v>
      </c>
      <c r="L16" s="410">
        <f t="shared" ca="1" si="8"/>
        <v>687.23889451988146</v>
      </c>
      <c r="M16" s="410">
        <f t="shared" ca="1" si="8"/>
        <v>797.67732217580988</v>
      </c>
      <c r="N16" s="410">
        <f t="shared" ca="1" si="8"/>
        <v>913.34200922770481</v>
      </c>
      <c r="O16" s="410">
        <f t="shared" ca="1" si="8"/>
        <v>1044.4017159185767</v>
      </c>
      <c r="P16" s="410">
        <f t="shared" ca="1" si="8"/>
        <v>1188.3276186734488</v>
      </c>
      <c r="Q16" s="410">
        <f t="shared" ca="1" si="8"/>
        <v>1346.2558626027012</v>
      </c>
    </row>
    <row r="17" spans="2:17" ht="12.75" customHeight="1">
      <c r="B17" s="3" t="str">
        <f ca="1">+'Income Statement'!B16</f>
        <v>Income Taxes</v>
      </c>
      <c r="D17" s="304"/>
      <c r="F17" s="4"/>
      <c r="I17" s="418">
        <f ca="1">+'Income Statement'!G16+'Income Statement'!G100</f>
        <v>45.5</v>
      </c>
      <c r="J17" s="418">
        <f ca="1">+'Income Statement'!H16+'Income Statement'!H100</f>
        <v>55.5</v>
      </c>
      <c r="K17" s="418">
        <f ca="1">+'Income Statement'!I16+'Income Statement'!I100</f>
        <v>104.25</v>
      </c>
      <c r="L17" s="417">
        <f t="shared" ref="L17:Q17" ca="1" si="9">+L16*L34</f>
        <v>171.80972362997036</v>
      </c>
      <c r="M17" s="417">
        <f t="shared" ca="1" si="9"/>
        <v>199.41933054395247</v>
      </c>
      <c r="N17" s="417">
        <f t="shared" ca="1" si="9"/>
        <v>228.3355023069262</v>
      </c>
      <c r="O17" s="417">
        <f t="shared" ca="1" si="9"/>
        <v>261.10042897964416</v>
      </c>
      <c r="P17" s="417">
        <f t="shared" ca="1" si="9"/>
        <v>297.0819046683622</v>
      </c>
      <c r="Q17" s="417">
        <f t="shared" ca="1" si="9"/>
        <v>336.5639656506753</v>
      </c>
    </row>
    <row r="18" spans="2:17" ht="12.75" customHeight="1">
      <c r="B18" s="3" t="str">
        <f ca="1">+'Income Statement'!B17</f>
        <v>Net Income</v>
      </c>
      <c r="D18" s="304"/>
      <c r="F18" s="4"/>
      <c r="I18" s="410">
        <f ca="1">+I16-I17</f>
        <v>349.5</v>
      </c>
      <c r="J18" s="410">
        <f ca="1">+J16-J17</f>
        <v>403.5</v>
      </c>
      <c r="K18" s="410">
        <f ca="1">+K16-K17</f>
        <v>449.75</v>
      </c>
      <c r="L18" s="412">
        <f t="shared" ref="L18:Q18" ca="1" si="10">+L16-L17</f>
        <v>515.42917088991112</v>
      </c>
      <c r="M18" s="412">
        <f t="shared" ca="1" si="10"/>
        <v>598.25799163185741</v>
      </c>
      <c r="N18" s="412">
        <f t="shared" ca="1" si="10"/>
        <v>685.00650692077863</v>
      </c>
      <c r="O18" s="412">
        <f t="shared" ca="1" si="10"/>
        <v>783.30128693893244</v>
      </c>
      <c r="P18" s="412">
        <f t="shared" ca="1" si="10"/>
        <v>891.2457140050866</v>
      </c>
      <c r="Q18" s="412">
        <f t="shared" ca="1" si="10"/>
        <v>1009.6918969520259</v>
      </c>
    </row>
    <row r="19" spans="2:17" ht="12.75" customHeight="1">
      <c r="B19" s="3" t="str">
        <f ca="1">+'Income Statement'!B18</f>
        <v>Non-Controlling Interest</v>
      </c>
      <c r="D19" s="304"/>
      <c r="F19" s="4"/>
      <c r="I19" s="100">
        <f ca="1">+'Income Statement'!G18</f>
        <v>21</v>
      </c>
      <c r="J19" s="100">
        <f ca="1">+'Income Statement'!H18</f>
        <v>6</v>
      </c>
      <c r="K19" s="100">
        <f ca="1">+'Income Statement'!I18</f>
        <v>8</v>
      </c>
      <c r="L19" s="53">
        <f t="shared" ref="L19:Q19" ca="1" si="11">+K19</f>
        <v>8</v>
      </c>
      <c r="M19" s="53">
        <f t="shared" ca="1" si="11"/>
        <v>8</v>
      </c>
      <c r="N19" s="53">
        <f t="shared" ca="1" si="11"/>
        <v>8</v>
      </c>
      <c r="O19" s="53">
        <f t="shared" ca="1" si="11"/>
        <v>8</v>
      </c>
      <c r="P19" s="53">
        <f t="shared" ca="1" si="11"/>
        <v>8</v>
      </c>
      <c r="Q19" s="53">
        <f t="shared" ca="1" si="11"/>
        <v>8</v>
      </c>
    </row>
    <row r="20" spans="2:17" ht="12.75" customHeight="1">
      <c r="B20" s="3" t="str">
        <f ca="1">+'Income Statement'!B19</f>
        <v>Net Income Attributable to Common</v>
      </c>
      <c r="D20" s="304"/>
      <c r="F20" s="4"/>
      <c r="I20" s="436">
        <f t="shared" ref="I20:Q20" ca="1" si="12">+I18+I19</f>
        <v>370.5</v>
      </c>
      <c r="J20" s="436">
        <f t="shared" ca="1" si="12"/>
        <v>409.5</v>
      </c>
      <c r="K20" s="410">
        <f t="shared" ca="1" si="12"/>
        <v>457.75</v>
      </c>
      <c r="L20" s="411">
        <f t="shared" ca="1" si="12"/>
        <v>523.42917088991112</v>
      </c>
      <c r="M20" s="411">
        <f t="shared" ca="1" si="12"/>
        <v>606.25799163185741</v>
      </c>
      <c r="N20" s="411">
        <f t="shared" ca="1" si="12"/>
        <v>693.00650692077863</v>
      </c>
      <c r="O20" s="411">
        <f t="shared" ca="1" si="12"/>
        <v>791.30128693893244</v>
      </c>
      <c r="P20" s="411">
        <f t="shared" ca="1" si="12"/>
        <v>899.2457140050866</v>
      </c>
      <c r="Q20" s="412">
        <f t="shared" ca="1" si="12"/>
        <v>1017.6918969520259</v>
      </c>
    </row>
    <row r="21" spans="2:17" ht="12.75" customHeight="1">
      <c r="B21" s="3" t="s">
        <v>70</v>
      </c>
      <c r="I21" s="100">
        <f ca="1">'Income Statement'!G20</f>
        <v>154.517</v>
      </c>
      <c r="J21" s="100">
        <f ca="1">'Income Statement'!H20</f>
        <v>156.38499999999999</v>
      </c>
      <c r="K21" s="100">
        <f ca="1">'Income Statement'!I20</f>
        <v>152.88900000000001</v>
      </c>
      <c r="L21" s="53">
        <f ca="1">+L201</f>
        <v>135.44556842456728</v>
      </c>
      <c r="M21" s="53">
        <f t="shared" ref="M21:Q21" ca="1" si="13">+M201</f>
        <v>131.33875896734969</v>
      </c>
      <c r="N21" s="53">
        <f t="shared" ca="1" si="13"/>
        <v>128.30825803935744</v>
      </c>
      <c r="O21" s="53">
        <f t="shared" ca="1" si="13"/>
        <v>126.17057443167582</v>
      </c>
      <c r="P21" s="53">
        <f t="shared" ca="1" si="13"/>
        <v>124.80786500268989</v>
      </c>
      <c r="Q21" s="53">
        <f t="shared" ca="1" si="13"/>
        <v>124.12817402224739</v>
      </c>
    </row>
    <row r="22" spans="2:17" ht="12.75" customHeight="1">
      <c r="B22" s="155" t="s">
        <v>114</v>
      </c>
      <c r="C22" s="155"/>
      <c r="D22" s="155"/>
      <c r="E22" s="155"/>
      <c r="F22" s="155"/>
      <c r="G22" s="155"/>
      <c r="H22" s="155"/>
      <c r="I22" s="316">
        <f ca="1">+I20/I21</f>
        <v>2.397794417442741</v>
      </c>
      <c r="J22" s="316">
        <f ca="1">+J20/J21</f>
        <v>2.6185375835278322</v>
      </c>
      <c r="K22" s="316">
        <f ca="1">+K20/K21</f>
        <v>2.9940021845914355</v>
      </c>
      <c r="L22" s="316">
        <f t="shared" ref="L22:Q22" ca="1" si="14">+L20/L21</f>
        <v>3.8644983145492922</v>
      </c>
      <c r="M22" s="316">
        <f t="shared" ca="1" si="14"/>
        <v>4.6159869059107743</v>
      </c>
      <c r="N22" s="316">
        <f t="shared" ca="1" si="14"/>
        <v>5.4011060356552028</v>
      </c>
      <c r="O22" s="316">
        <f t="shared" ca="1" si="14"/>
        <v>6.2716785629555787</v>
      </c>
      <c r="P22" s="316">
        <f t="shared" ca="1" si="14"/>
        <v>7.2050404354381499</v>
      </c>
      <c r="Q22" s="316">
        <f t="shared" ca="1" si="14"/>
        <v>8.1987180184381501</v>
      </c>
    </row>
    <row r="23" spans="2:17" ht="12.75" customHeight="1">
      <c r="B23" s="155"/>
      <c r="C23" s="155"/>
      <c r="D23" s="155"/>
      <c r="E23" s="155"/>
      <c r="F23" s="155"/>
      <c r="G23" s="155"/>
      <c r="H23" s="155"/>
      <c r="I23" s="317"/>
      <c r="J23" s="317"/>
      <c r="K23" s="317"/>
      <c r="L23" s="362"/>
      <c r="M23" s="317"/>
      <c r="N23" s="317"/>
      <c r="O23" s="317"/>
      <c r="P23" s="317"/>
      <c r="Q23" s="317"/>
    </row>
    <row r="24" spans="2:17" ht="12.75" customHeight="1">
      <c r="B24" s="99" t="str">
        <f ca="1">+'Income Statement'!B23</f>
        <v>Users</v>
      </c>
      <c r="C24" s="155"/>
      <c r="D24" s="155"/>
      <c r="E24" s="155"/>
      <c r="F24" s="155"/>
      <c r="G24" s="155"/>
      <c r="H24" s="155"/>
      <c r="I24" s="317"/>
      <c r="J24" s="317"/>
      <c r="K24" s="317"/>
      <c r="L24" s="362"/>
      <c r="M24" s="317"/>
      <c r="N24" s="317"/>
      <c r="O24" s="317"/>
      <c r="P24" s="317"/>
      <c r="Q24" s="317"/>
    </row>
    <row r="25" spans="2:17" ht="12.75" customHeight="1">
      <c r="B25" s="3" t="str">
        <f ca="1">+'Income Statement'!B24</f>
        <v>Beginning of Period</v>
      </c>
      <c r="C25" s="155"/>
      <c r="D25" s="155"/>
      <c r="E25" s="155"/>
      <c r="F25" s="155"/>
      <c r="G25" s="155"/>
      <c r="H25" s="155"/>
      <c r="I25" s="437">
        <f ca="1">+'Income Statement'!G24</f>
        <v>105</v>
      </c>
      <c r="J25" s="437">
        <f ca="1">+'Income Statement'!H24</f>
        <v>122</v>
      </c>
      <c r="K25" s="437">
        <f ca="1">+'Income Statement'!I24</f>
        <v>132</v>
      </c>
      <c r="L25" s="441">
        <f t="shared" ref="L25:Q25" ca="1" si="15">+K28</f>
        <v>144</v>
      </c>
      <c r="M25" s="441">
        <f t="shared" ca="1" si="15"/>
        <v>156.36363636363637</v>
      </c>
      <c r="N25" s="441">
        <f t="shared" ca="1" si="15"/>
        <v>169.07162534435264</v>
      </c>
      <c r="O25" s="441">
        <f t="shared" ca="1" si="15"/>
        <v>182.10570581851576</v>
      </c>
      <c r="P25" s="441">
        <f t="shared" ca="1" si="15"/>
        <v>195.44858505541265</v>
      </c>
      <c r="Q25" s="441">
        <f t="shared" ca="1" si="15"/>
        <v>209.08388736308015</v>
      </c>
    </row>
    <row r="26" spans="2:17" ht="12.75" customHeight="1">
      <c r="B26" s="3" t="str">
        <f ca="1">+'Income Statement'!B25</f>
        <v>New Users</v>
      </c>
      <c r="C26" s="155"/>
      <c r="D26" s="155"/>
      <c r="E26" s="155"/>
      <c r="F26" s="155"/>
      <c r="G26" s="155"/>
      <c r="H26" s="155"/>
      <c r="I26" s="438">
        <f ca="1">+'Income Statement'!G25</f>
        <v>24</v>
      </c>
      <c r="J26" s="439">
        <f ca="1">+'Income Statement'!H25</f>
        <v>18</v>
      </c>
      <c r="K26" s="439">
        <f ca="1">+'Income Statement'!I25</f>
        <v>19</v>
      </c>
      <c r="L26" s="442">
        <v>20</v>
      </c>
      <c r="M26" s="428">
        <v>21</v>
      </c>
      <c r="N26" s="428">
        <v>22</v>
      </c>
      <c r="O26" s="428">
        <v>23</v>
      </c>
      <c r="P26" s="428">
        <v>24</v>
      </c>
      <c r="Q26" s="429">
        <v>25</v>
      </c>
    </row>
    <row r="27" spans="2:17" ht="12.75" customHeight="1">
      <c r="B27" s="3" t="str">
        <f ca="1">+'Income Statement'!B26</f>
        <v>Cancellations</v>
      </c>
      <c r="C27" s="155"/>
      <c r="D27" s="155"/>
      <c r="E27" s="155"/>
      <c r="F27" s="155"/>
      <c r="G27" s="155"/>
      <c r="H27" s="155"/>
      <c r="I27" s="437">
        <f ca="1">+'Income Statement'!G26</f>
        <v>-7</v>
      </c>
      <c r="J27" s="437">
        <f ca="1">+'Income Statement'!H26</f>
        <v>-8</v>
      </c>
      <c r="K27" s="437">
        <f ca="1">+'Income Statement'!I26</f>
        <v>-7</v>
      </c>
      <c r="L27" s="441">
        <f t="shared" ref="L27:Q27" ca="1" si="16">+-L25*L30</f>
        <v>-7.6363636363636367</v>
      </c>
      <c r="M27" s="441">
        <f t="shared" ca="1" si="16"/>
        <v>-8.2920110192837466</v>
      </c>
      <c r="N27" s="441">
        <f t="shared" ca="1" si="16"/>
        <v>-8.9659195258368829</v>
      </c>
      <c r="O27" s="441">
        <f t="shared" ca="1" si="16"/>
        <v>-9.6571207631031086</v>
      </c>
      <c r="P27" s="441">
        <f t="shared" ca="1" si="16"/>
        <v>-10.36469769233249</v>
      </c>
      <c r="Q27" s="441">
        <f t="shared" ca="1" si="16"/>
        <v>-11.087781905617888</v>
      </c>
    </row>
    <row r="28" spans="2:17" ht="12.75" customHeight="1">
      <c r="B28" s="3" t="str">
        <f ca="1">+'Income Statement'!B27</f>
        <v>End of Period</v>
      </c>
      <c r="C28" s="155"/>
      <c r="D28" s="155"/>
      <c r="E28" s="155"/>
      <c r="F28" s="155"/>
      <c r="G28" s="155"/>
      <c r="H28" s="155"/>
      <c r="I28" s="438">
        <f ca="1">+'Income Statement'!G27</f>
        <v>122</v>
      </c>
      <c r="J28" s="439">
        <f ca="1">+'Income Statement'!H27</f>
        <v>132</v>
      </c>
      <c r="K28" s="439">
        <f ca="1">+'Income Statement'!I27</f>
        <v>144</v>
      </c>
      <c r="L28" s="443">
        <f t="shared" ref="L28:Q28" ca="1" si="17">+SUM(L25:L27)</f>
        <v>156.36363636363637</v>
      </c>
      <c r="M28" s="443">
        <f t="shared" ca="1" si="17"/>
        <v>169.07162534435264</v>
      </c>
      <c r="N28" s="443">
        <f t="shared" ca="1" si="17"/>
        <v>182.10570581851576</v>
      </c>
      <c r="O28" s="443">
        <f t="shared" ca="1" si="17"/>
        <v>195.44858505541265</v>
      </c>
      <c r="P28" s="443">
        <f t="shared" ca="1" si="17"/>
        <v>209.08388736308015</v>
      </c>
      <c r="Q28" s="443">
        <f t="shared" ca="1" si="17"/>
        <v>222.99610545746225</v>
      </c>
    </row>
    <row r="29" spans="2:17" ht="12.75" customHeight="1">
      <c r="C29" s="155"/>
      <c r="D29" s="155"/>
      <c r="E29" s="155"/>
      <c r="F29" s="155"/>
      <c r="G29" s="155"/>
      <c r="H29" s="155"/>
      <c r="I29" s="69"/>
      <c r="J29" s="69"/>
      <c r="K29" s="69"/>
      <c r="L29" s="362"/>
      <c r="M29" s="317"/>
      <c r="N29" s="317"/>
      <c r="O29" s="317"/>
      <c r="P29" s="317"/>
      <c r="Q29" s="317"/>
    </row>
    <row r="30" spans="2:17" ht="12.75" customHeight="1">
      <c r="B30" s="3" t="str">
        <f ca="1">+'Income Statement'!B29</f>
        <v xml:space="preserve">Churn </v>
      </c>
      <c r="C30" s="155"/>
      <c r="D30" s="155"/>
      <c r="E30" s="155"/>
      <c r="F30" s="155"/>
      <c r="G30" s="155"/>
      <c r="H30" s="155"/>
      <c r="I30" s="440">
        <f ca="1">+'Income Statement'!G29</f>
        <v>6.6666666666666666E-2</v>
      </c>
      <c r="J30" s="440">
        <f ca="1">+'Income Statement'!H29</f>
        <v>6.5573770491803282E-2</v>
      </c>
      <c r="K30" s="440">
        <f ca="1">+'Income Statement'!I29</f>
        <v>5.3030303030303032E-2</v>
      </c>
      <c r="L30" s="444">
        <f t="shared" ref="L30:Q30" ca="1" si="18">+K30</f>
        <v>5.3030303030303032E-2</v>
      </c>
      <c r="M30" s="444">
        <f t="shared" ca="1" si="18"/>
        <v>5.3030303030303032E-2</v>
      </c>
      <c r="N30" s="444">
        <f t="shared" ca="1" si="18"/>
        <v>5.3030303030303032E-2</v>
      </c>
      <c r="O30" s="444">
        <f t="shared" ca="1" si="18"/>
        <v>5.3030303030303032E-2</v>
      </c>
      <c r="P30" s="444">
        <f t="shared" ca="1" si="18"/>
        <v>5.3030303030303032E-2</v>
      </c>
      <c r="Q30" s="444">
        <f t="shared" ca="1" si="18"/>
        <v>5.3030303030303032E-2</v>
      </c>
    </row>
    <row r="31" spans="2:17" ht="12.75" customHeight="1">
      <c r="B31" s="3" t="str">
        <f ca="1">+'Income Statement'!B30</f>
        <v>Average Revenue per User</v>
      </c>
      <c r="C31" s="155"/>
      <c r="D31" s="155"/>
      <c r="E31" s="155"/>
      <c r="F31" s="155"/>
      <c r="G31" s="155"/>
      <c r="H31" s="155"/>
      <c r="I31" s="69">
        <f ca="1">+'Income Statement'!G30</f>
        <v>77.303964757709252</v>
      </c>
      <c r="J31" s="69">
        <f ca="1">+'Income Statement'!H30</f>
        <v>79.212598425196845</v>
      </c>
      <c r="K31" s="69">
        <f ca="1">+'Income Statement'!I30</f>
        <v>81.326086956521735</v>
      </c>
      <c r="L31" s="52">
        <f t="shared" ref="L31:Q31" ca="1" si="19">+L8/AVERAGE(L25,L28)</f>
        <v>80.808050847457622</v>
      </c>
      <c r="M31" s="52">
        <f t="shared" ca="1" si="19"/>
        <v>81.604555881929684</v>
      </c>
      <c r="N31" s="52">
        <f t="shared" ca="1" si="19"/>
        <v>82.385727758099421</v>
      </c>
      <c r="O31" s="52">
        <f t="shared" ca="1" si="19"/>
        <v>83.728355799711395</v>
      </c>
      <c r="P31" s="52">
        <f t="shared" ca="1" si="19"/>
        <v>85.383135907432731</v>
      </c>
      <c r="Q31" s="52">
        <f t="shared" ca="1" si="19"/>
        <v>87.34435656760698</v>
      </c>
    </row>
    <row r="32" spans="2:17" ht="12.75" customHeight="1">
      <c r="B32" s="155"/>
      <c r="C32" s="155"/>
      <c r="D32" s="155"/>
      <c r="E32" s="155"/>
      <c r="F32" s="155"/>
      <c r="G32" s="155"/>
      <c r="H32" s="155"/>
      <c r="I32" s="317"/>
      <c r="J32" s="317"/>
      <c r="K32" s="317"/>
      <c r="L32" s="362"/>
      <c r="M32" s="317"/>
      <c r="N32" s="317"/>
      <c r="O32" s="317"/>
      <c r="P32" s="317"/>
      <c r="Q32" s="317"/>
    </row>
    <row r="33" spans="2:17" ht="12.75" customHeight="1">
      <c r="B33" s="99" t="s">
        <v>195</v>
      </c>
      <c r="C33" s="99"/>
    </row>
    <row r="34" spans="2:17" ht="12.75" customHeight="1">
      <c r="B34" s="3" t="s">
        <v>196</v>
      </c>
      <c r="I34" s="151">
        <f ca="1">+I17/I16</f>
        <v>0.11518987341772152</v>
      </c>
      <c r="J34" s="151">
        <f ca="1">+J17/J16</f>
        <v>0.12091503267973856</v>
      </c>
      <c r="K34" s="151">
        <f ca="1">+K17/K16</f>
        <v>0.18817689530685922</v>
      </c>
      <c r="L34" s="278">
        <f ca="1">atax</f>
        <v>0.25</v>
      </c>
      <c r="M34" s="151">
        <f ca="1">+L34</f>
        <v>0.25</v>
      </c>
      <c r="N34" s="151">
        <f ca="1">+M34</f>
        <v>0.25</v>
      </c>
      <c r="O34" s="151">
        <f ca="1">+N34</f>
        <v>0.25</v>
      </c>
      <c r="P34" s="151">
        <f ca="1">+O34</f>
        <v>0.25</v>
      </c>
      <c r="Q34" s="151">
        <f ca="1">+P34</f>
        <v>0.25</v>
      </c>
    </row>
    <row r="35" spans="2:17" ht="12.75" customHeight="1">
      <c r="I35" s="363"/>
      <c r="J35" s="363"/>
      <c r="K35" s="363"/>
      <c r="L35" s="303"/>
      <c r="M35" s="273"/>
      <c r="N35" s="273"/>
      <c r="O35" s="273"/>
      <c r="P35" s="273"/>
      <c r="Q35" s="273"/>
    </row>
    <row r="36" spans="2:17" ht="12.75" customHeight="1">
      <c r="B36" s="99" t="s">
        <v>15</v>
      </c>
      <c r="C36" s="99"/>
      <c r="L36" s="9"/>
    </row>
    <row r="37" spans="2:17" ht="12.75" customHeight="1">
      <c r="B37" s="3" t="s">
        <v>241</v>
      </c>
      <c r="I37" s="111">
        <f t="shared" ref="I37:Q37" ca="1" si="20">+I13</f>
        <v>580</v>
      </c>
      <c r="J37" s="111">
        <f t="shared" ca="1" si="20"/>
        <v>667</v>
      </c>
      <c r="K37" s="111">
        <f t="shared" ca="1" si="20"/>
        <v>783</v>
      </c>
      <c r="L37" s="274">
        <f t="shared" ca="1" si="20"/>
        <v>869.91049999999814</v>
      </c>
      <c r="M37" s="111">
        <f t="shared" ca="1" si="20"/>
        <v>978.45749999999862</v>
      </c>
      <c r="N37" s="111">
        <f t="shared" ca="1" si="20"/>
        <v>1091.2700000000004</v>
      </c>
      <c r="O37" s="111">
        <f t="shared" ca="1" si="20"/>
        <v>1218.5699999999997</v>
      </c>
      <c r="P37" s="111">
        <f t="shared" ca="1" si="20"/>
        <v>1357.6619258952032</v>
      </c>
      <c r="Q37" s="111">
        <f t="shared" ca="1" si="20"/>
        <v>1509.6380755357095</v>
      </c>
    </row>
    <row r="38" spans="2:17" ht="12.75" customHeight="1">
      <c r="B38" s="3" t="s">
        <v>226</v>
      </c>
      <c r="I38" s="111">
        <f ca="1">+I217</f>
        <v>242</v>
      </c>
      <c r="J38" s="111">
        <f t="shared" ref="J38:Q38" ca="1" si="21">+J217</f>
        <v>149</v>
      </c>
      <c r="K38" s="111">
        <f t="shared" ca="1" si="21"/>
        <v>203</v>
      </c>
      <c r="L38" s="111">
        <f t="shared" ca="1" si="21"/>
        <v>219.51240310077517</v>
      </c>
      <c r="M38" s="111">
        <f t="shared" ca="1" si="21"/>
        <v>240.17958656330748</v>
      </c>
      <c r="N38" s="111">
        <f t="shared" ca="1" si="21"/>
        <v>261.65891472868219</v>
      </c>
      <c r="O38" s="111">
        <f t="shared" ca="1" si="21"/>
        <v>285.89664082687341</v>
      </c>
      <c r="P38" s="111">
        <f t="shared" ca="1" si="21"/>
        <v>312.37953165419339</v>
      </c>
      <c r="Q38" s="111">
        <f t="shared" ca="1" si="21"/>
        <v>341.31555905752668</v>
      </c>
    </row>
    <row r="39" spans="2:17" ht="12.75" customHeight="1">
      <c r="B39" s="3" t="s">
        <v>16</v>
      </c>
      <c r="I39" s="103">
        <f ca="1">'Income Statement'!G35</f>
        <v>829</v>
      </c>
      <c r="J39" s="103">
        <f ca="1">'Income Statement'!H35</f>
        <v>889</v>
      </c>
      <c r="K39" s="103">
        <f ca="1">'Income Statement'!I35</f>
        <v>1001</v>
      </c>
      <c r="L39" s="264">
        <f t="shared" ref="L39:Q39" ca="1" si="22">L91+L93</f>
        <v>1082.4232290831328</v>
      </c>
      <c r="M39" s="203">
        <f t="shared" ca="1" si="22"/>
        <v>1184.3338233983782</v>
      </c>
      <c r="N39" s="203">
        <f t="shared" ca="1" si="22"/>
        <v>1290.2491312483294</v>
      </c>
      <c r="O39" s="203">
        <f t="shared" ca="1" si="22"/>
        <v>1409.7661944221688</v>
      </c>
      <c r="P39" s="203">
        <f t="shared" ca="1" si="22"/>
        <v>1540.3542422948155</v>
      </c>
      <c r="Q39" s="203">
        <f t="shared" ca="1" si="22"/>
        <v>1683.0387912147005</v>
      </c>
    </row>
    <row r="40" spans="2:17" ht="12.75" customHeight="1">
      <c r="B40" s="3" t="s">
        <v>10</v>
      </c>
      <c r="I40" s="279">
        <f ca="1">I37+I39+I38</f>
        <v>1651</v>
      </c>
      <c r="J40" s="279">
        <f t="shared" ref="J40:Q40" ca="1" si="23">J37+J39+J38</f>
        <v>1705</v>
      </c>
      <c r="K40" s="279">
        <f t="shared" ca="1" si="23"/>
        <v>1987</v>
      </c>
      <c r="L40" s="279">
        <f t="shared" ca="1" si="23"/>
        <v>2171.8461321839063</v>
      </c>
      <c r="M40" s="279">
        <f t="shared" ca="1" si="23"/>
        <v>2402.9709099616844</v>
      </c>
      <c r="N40" s="279">
        <f t="shared" ca="1" si="23"/>
        <v>2643.1780459770121</v>
      </c>
      <c r="O40" s="279">
        <f t="shared" ca="1" si="23"/>
        <v>2914.2328352490422</v>
      </c>
      <c r="P40" s="279">
        <f t="shared" ca="1" si="23"/>
        <v>3210.3956998442122</v>
      </c>
      <c r="Q40" s="279">
        <f t="shared" ca="1" si="23"/>
        <v>3533.9924258079368</v>
      </c>
    </row>
    <row r="41" spans="2:17" ht="12.75" customHeight="1">
      <c r="G41" s="228"/>
      <c r="H41" s="228"/>
      <c r="I41" s="111"/>
      <c r="J41" s="111"/>
      <c r="K41" s="111"/>
      <c r="L41" s="274"/>
      <c r="M41" s="111"/>
      <c r="N41" s="111"/>
      <c r="O41" s="111"/>
      <c r="P41" s="111"/>
      <c r="Q41" s="111"/>
    </row>
    <row r="42" spans="2:17" ht="12.75" customHeight="1">
      <c r="B42" s="99" t="s">
        <v>65</v>
      </c>
      <c r="C42" s="99"/>
    </row>
    <row r="43" spans="2:17" ht="12.75" customHeight="1">
      <c r="B43" s="3" t="s">
        <v>255</v>
      </c>
      <c r="I43" s="151">
        <f t="shared" ref="I43:Q43" ca="1" si="24">+I10/I8</f>
        <v>0.81798495555049011</v>
      </c>
      <c r="J43" s="151">
        <f t="shared" ca="1" si="24"/>
        <v>0.82534791252485085</v>
      </c>
      <c r="K43" s="151">
        <f t="shared" ca="1" si="24"/>
        <v>0.82491312483293233</v>
      </c>
      <c r="L43" s="151">
        <f t="shared" ca="1" si="24"/>
        <v>0.82499999999999984</v>
      </c>
      <c r="M43" s="151">
        <f t="shared" ca="1" si="24"/>
        <v>0.82499999999999996</v>
      </c>
      <c r="N43" s="151">
        <f t="shared" ca="1" si="24"/>
        <v>0.82499999999999996</v>
      </c>
      <c r="O43" s="151">
        <f t="shared" ca="1" si="24"/>
        <v>0.82499999999999996</v>
      </c>
      <c r="P43" s="151">
        <f t="shared" ca="1" si="24"/>
        <v>0.82499999999999996</v>
      </c>
      <c r="Q43" s="151">
        <f t="shared" ca="1" si="24"/>
        <v>0.82499999999999996</v>
      </c>
    </row>
    <row r="44" spans="2:17" ht="12.75" customHeight="1">
      <c r="B44" s="3" t="str">
        <f ca="1">+B11</f>
        <v>SG&amp;A</v>
      </c>
      <c r="I44" s="151">
        <f t="shared" ref="I44:Q44" ca="1" si="25">+I11/I8</f>
        <v>0.7157510827444723</v>
      </c>
      <c r="J44" s="151">
        <f t="shared" ca="1" si="25"/>
        <v>0.73170974155069579</v>
      </c>
      <c r="K44" s="151">
        <f t="shared" ca="1" si="25"/>
        <v>0.72992960883899138</v>
      </c>
      <c r="L44" s="151">
        <f t="shared" ca="1" si="25"/>
        <v>0.73000000000000009</v>
      </c>
      <c r="M44" s="151">
        <f t="shared" ca="1" si="25"/>
        <v>0.73</v>
      </c>
      <c r="N44" s="151">
        <f t="shared" ca="1" si="25"/>
        <v>0.73</v>
      </c>
      <c r="O44" s="151">
        <f t="shared" ca="1" si="25"/>
        <v>0.73</v>
      </c>
      <c r="P44" s="151">
        <f t="shared" ca="1" si="25"/>
        <v>0.73</v>
      </c>
      <c r="Q44" s="151">
        <f t="shared" ca="1" si="25"/>
        <v>0.73</v>
      </c>
    </row>
    <row r="45" spans="2:17" ht="12.75" customHeight="1">
      <c r="B45" s="3" t="s">
        <v>10</v>
      </c>
      <c r="I45" s="151">
        <f t="shared" ref="I45:Q45" ca="1" si="26">I40/I8</f>
        <v>0.1881695919762936</v>
      </c>
      <c r="J45" s="151">
        <f t="shared" ca="1" si="26"/>
        <v>0.1694831013916501</v>
      </c>
      <c r="K45" s="151">
        <f t="shared" ca="1" si="26"/>
        <v>0.17704713534705516</v>
      </c>
      <c r="L45" s="151">
        <f t="shared" ca="1" si="26"/>
        <v>0.17896045057918294</v>
      </c>
      <c r="M45" s="151">
        <f t="shared" ca="1" si="26"/>
        <v>0.18096704522059603</v>
      </c>
      <c r="N45" s="151">
        <f t="shared" ca="1" si="26"/>
        <v>0.18271657997905513</v>
      </c>
      <c r="O45" s="151">
        <f t="shared" ca="1" si="26"/>
        <v>0.18437510029413146</v>
      </c>
      <c r="P45" s="151">
        <f t="shared" ca="1" si="26"/>
        <v>0.18589301468600131</v>
      </c>
      <c r="Q45" s="151">
        <f t="shared" ca="1" si="26"/>
        <v>0.18728224343412156</v>
      </c>
    </row>
    <row r="46" spans="2:17" ht="12.75" customHeight="1">
      <c r="B46" s="3" t="s">
        <v>241</v>
      </c>
      <c r="I46" s="151">
        <f t="shared" ref="I46:Q46" ca="1" si="27">I37/I8</f>
        <v>6.6104399361750624E-2</v>
      </c>
      <c r="J46" s="151">
        <f t="shared" ca="1" si="27"/>
        <v>6.6302186878727631E-2</v>
      </c>
      <c r="K46" s="151">
        <f t="shared" ca="1" si="27"/>
        <v>6.9767441860465115E-2</v>
      </c>
      <c r="L46" s="151">
        <f t="shared" ca="1" si="27"/>
        <v>7.1680757092592903E-2</v>
      </c>
      <c r="M46" s="151">
        <f t="shared" ca="1" si="27"/>
        <v>7.3687351734005993E-2</v>
      </c>
      <c r="N46" s="151">
        <f t="shared" ca="1" si="27"/>
        <v>7.5436886492465105E-2</v>
      </c>
      <c r="O46" s="151">
        <f t="shared" ca="1" si="27"/>
        <v>7.7095406807541414E-2</v>
      </c>
      <c r="P46" s="151">
        <f t="shared" ca="1" si="27"/>
        <v>7.8613321199411293E-2</v>
      </c>
      <c r="Q46" s="151">
        <f t="shared" ca="1" si="27"/>
        <v>8.0002549947531518E-2</v>
      </c>
    </row>
    <row r="47" spans="2:17" ht="12.75" customHeight="1">
      <c r="B47" s="3" t="s">
        <v>11</v>
      </c>
      <c r="I47" s="151">
        <f t="shared" ref="I47:Q47" ca="1" si="28">+I18/I8</f>
        <v>3.9833599270572145E-2</v>
      </c>
      <c r="J47" s="151">
        <f t="shared" ca="1" si="28"/>
        <v>4.0109343936381707E-2</v>
      </c>
      <c r="K47" s="151">
        <f t="shared" ca="1" si="28"/>
        <v>4.00739552704268E-2</v>
      </c>
      <c r="L47" s="151">
        <f t="shared" ca="1" si="28"/>
        <v>4.2471441828781639E-2</v>
      </c>
      <c r="M47" s="151">
        <f t="shared" ca="1" si="28"/>
        <v>4.5054636565263956E-2</v>
      </c>
      <c r="N47" s="151">
        <f t="shared" ca="1" si="28"/>
        <v>4.735286236145296E-2</v>
      </c>
      <c r="O47" s="151">
        <f t="shared" ca="1" si="28"/>
        <v>4.9557211624631933E-2</v>
      </c>
      <c r="P47" s="151">
        <f t="shared" ca="1" si="28"/>
        <v>5.1606209356193353E-2</v>
      </c>
      <c r="Q47" s="151">
        <f t="shared" ca="1" si="28"/>
        <v>5.3508140611025247E-2</v>
      </c>
    </row>
    <row r="48" spans="2:17" ht="12.75" customHeight="1">
      <c r="I48" s="151"/>
      <c r="J48" s="151"/>
      <c r="K48" s="151"/>
      <c r="L48" s="151"/>
      <c r="M48" s="151"/>
      <c r="N48" s="151"/>
      <c r="O48" s="151"/>
      <c r="P48" s="151"/>
      <c r="Q48" s="151"/>
    </row>
    <row r="49" spans="2:17" ht="12.75" customHeight="1">
      <c r="B49" s="99" t="s">
        <v>17</v>
      </c>
      <c r="C49" s="99"/>
      <c r="I49" s="262"/>
      <c r="J49" s="262"/>
      <c r="K49" s="262"/>
      <c r="L49" s="262"/>
      <c r="M49" s="262"/>
      <c r="N49" s="262"/>
      <c r="O49" s="262"/>
      <c r="P49" s="262"/>
      <c r="Q49" s="262"/>
    </row>
    <row r="50" spans="2:17" s="184" customFormat="1" ht="12.75" customHeight="1">
      <c r="B50" s="3" t="s">
        <v>253</v>
      </c>
      <c r="C50" s="3"/>
      <c r="D50" s="3"/>
      <c r="E50" s="3"/>
      <c r="F50" s="3"/>
      <c r="G50" s="3"/>
      <c r="H50" s="3"/>
      <c r="I50" s="151">
        <v>0</v>
      </c>
      <c r="J50" s="151">
        <f t="shared" ref="J50:Q50" ca="1" si="29">J8/I8-1</f>
        <v>0.14656940961932974</v>
      </c>
      <c r="K50" s="151">
        <f t="shared" ca="1" si="29"/>
        <v>0.11560636182902595</v>
      </c>
      <c r="L50" s="151">
        <f t="shared" ca="1" si="29"/>
        <v>8.1341887195936824E-2</v>
      </c>
      <c r="M50" s="151">
        <f t="shared" ca="1" si="29"/>
        <v>9.4150413236760322E-2</v>
      </c>
      <c r="N50" s="151">
        <f t="shared" ca="1" si="29"/>
        <v>8.9430282034868469E-2</v>
      </c>
      <c r="O50" s="151">
        <f t="shared" ca="1" si="29"/>
        <v>9.2630996820129985E-2</v>
      </c>
      <c r="P50" s="151">
        <f t="shared" ca="1" si="29"/>
        <v>9.2630996820129985E-2</v>
      </c>
      <c r="Q50" s="151">
        <f t="shared" ca="1" si="29"/>
        <v>9.2630996820129985E-2</v>
      </c>
    </row>
    <row r="51" spans="2:17" s="184" customFormat="1" ht="12.75" customHeight="1">
      <c r="B51" s="3" t="s">
        <v>257</v>
      </c>
      <c r="C51" s="3"/>
      <c r="D51" s="3"/>
      <c r="E51" s="3"/>
      <c r="F51" s="3"/>
      <c r="G51" s="3"/>
      <c r="H51" s="3"/>
      <c r="I51" s="151">
        <v>0</v>
      </c>
      <c r="J51" s="151">
        <f t="shared" ref="J51:Q51" ca="1" si="30">+J28/I28-1</f>
        <v>8.1967213114754189E-2</v>
      </c>
      <c r="K51" s="151">
        <f t="shared" ca="1" si="30"/>
        <v>9.0909090909090828E-2</v>
      </c>
      <c r="L51" s="151">
        <f t="shared" ca="1" si="30"/>
        <v>8.5858585858585856E-2</v>
      </c>
      <c r="M51" s="151">
        <f t="shared" ca="1" si="30"/>
        <v>8.1272022551092338E-2</v>
      </c>
      <c r="N51" s="151">
        <f t="shared" ca="1" si="30"/>
        <v>7.7092063482658624E-2</v>
      </c>
      <c r="O51" s="151">
        <f t="shared" ca="1" si="30"/>
        <v>7.3269967994271656E-2</v>
      </c>
      <c r="P51" s="151">
        <f t="shared" ca="1" si="30"/>
        <v>6.9764139268655656E-2</v>
      </c>
      <c r="Q51" s="151">
        <f t="shared" ca="1" si="30"/>
        <v>6.6538929756089438E-2</v>
      </c>
    </row>
    <row r="52" spans="2:17" s="184" customFormat="1" ht="12.75" customHeight="1">
      <c r="B52" s="3" t="s">
        <v>297</v>
      </c>
      <c r="C52" s="3"/>
      <c r="D52" s="3"/>
      <c r="E52" s="3"/>
      <c r="F52" s="3"/>
      <c r="G52" s="3"/>
      <c r="H52" s="3"/>
      <c r="I52" s="151">
        <v>0</v>
      </c>
      <c r="J52" s="151">
        <f t="shared" ref="J52:Q52" ca="1" si="31">+J31/I31-1</f>
        <v>2.4689984187353797E-2</v>
      </c>
      <c r="K52" s="151">
        <f t="shared" ca="1" si="31"/>
        <v>2.6681217045552819E-2</v>
      </c>
      <c r="L52" s="151">
        <f t="shared" ca="1" si="31"/>
        <v>-6.3698639446536642E-3</v>
      </c>
      <c r="M52" s="151">
        <f t="shared" ca="1" si="31"/>
        <v>9.8567534561084802E-3</v>
      </c>
      <c r="N52" s="151">
        <f t="shared" ca="1" si="31"/>
        <v>9.5726502978581429E-3</v>
      </c>
      <c r="O52" s="151">
        <f t="shared" ca="1" si="31"/>
        <v>1.6296852357172709E-2</v>
      </c>
      <c r="P52" s="151">
        <f t="shared" ca="1" si="31"/>
        <v>1.9763676139535891E-2</v>
      </c>
      <c r="Q52" s="151">
        <f t="shared" ca="1" si="31"/>
        <v>2.2969648974950907E-2</v>
      </c>
    </row>
    <row r="53" spans="2:17" s="184" customFormat="1" ht="12.75" customHeight="1">
      <c r="B53" s="3" t="s">
        <v>241</v>
      </c>
      <c r="C53" s="3"/>
      <c r="D53" s="3"/>
      <c r="E53" s="3"/>
      <c r="F53" s="3"/>
      <c r="G53" s="3"/>
      <c r="H53" s="3"/>
      <c r="I53" s="151">
        <v>0</v>
      </c>
      <c r="J53" s="151">
        <f t="shared" ref="J53:Q53" ca="1" si="32">+J13/I13-1</f>
        <v>0.14999999999999991</v>
      </c>
      <c r="K53" s="151">
        <f t="shared" ca="1" si="32"/>
        <v>0.17391304347826098</v>
      </c>
      <c r="L53" s="151">
        <f t="shared" ca="1" si="32"/>
        <v>0.11099680715197713</v>
      </c>
      <c r="M53" s="151">
        <f t="shared" ca="1" si="32"/>
        <v>0.12477950317877617</v>
      </c>
      <c r="N53" s="151">
        <f t="shared" ca="1" si="32"/>
        <v>0.11529626989419772</v>
      </c>
      <c r="O53" s="151">
        <f t="shared" ca="1" si="32"/>
        <v>0.11665307394137026</v>
      </c>
      <c r="P53" s="151">
        <f t="shared" ca="1" si="32"/>
        <v>0.11414356655358615</v>
      </c>
      <c r="Q53" s="151">
        <f t="shared" ca="1" si="32"/>
        <v>0.1119396123157077</v>
      </c>
    </row>
    <row r="54" spans="2:17" s="184" customFormat="1" ht="12.75" customHeight="1">
      <c r="B54" s="3" t="s">
        <v>10</v>
      </c>
      <c r="C54" s="3"/>
      <c r="D54" s="3"/>
      <c r="E54" s="3"/>
      <c r="F54" s="3"/>
      <c r="G54" s="3"/>
      <c r="H54" s="3"/>
      <c r="I54" s="151">
        <v>0</v>
      </c>
      <c r="J54" s="151">
        <f ca="1">IF(AND(J40&gt;=0,I40&gt;0),J40/I40-1,"NM")</f>
        <v>3.2707450030284635E-2</v>
      </c>
      <c r="K54" s="151">
        <f t="shared" ref="K54:Q54" ca="1" si="33">IF(AND(K40&gt;=0,J40&gt;0),K40/J40-1,"NM")</f>
        <v>0.16539589442815239</v>
      </c>
      <c r="L54" s="151">
        <f t="shared" ca="1" si="33"/>
        <v>9.3027746443838044E-2</v>
      </c>
      <c r="M54" s="151">
        <f t="shared" ca="1" si="33"/>
        <v>0.10641857834807555</v>
      </c>
      <c r="N54" s="151">
        <f t="shared" ca="1" si="33"/>
        <v>9.9962565097867939E-2</v>
      </c>
      <c r="O54" s="151">
        <f t="shared" ca="1" si="33"/>
        <v>0.1025488198513842</v>
      </c>
      <c r="P54" s="151">
        <f t="shared" ca="1" si="33"/>
        <v>0.10162635634769401</v>
      </c>
      <c r="Q54" s="151">
        <f t="shared" ca="1" si="33"/>
        <v>0.10079652361216018</v>
      </c>
    </row>
    <row r="55" spans="2:17" s="184" customFormat="1" ht="12.75" customHeight="1">
      <c r="B55" s="3" t="s">
        <v>11</v>
      </c>
      <c r="C55" s="3"/>
      <c r="D55" s="3"/>
      <c r="E55" s="3"/>
      <c r="F55" s="3"/>
      <c r="G55" s="3"/>
      <c r="H55" s="3"/>
      <c r="I55" s="151">
        <v>0</v>
      </c>
      <c r="J55" s="151">
        <f t="shared" ref="J55:Q55" ca="1" si="34">+J18/I18-1</f>
        <v>0.15450643776824036</v>
      </c>
      <c r="K55" s="151">
        <f t="shared" ca="1" si="34"/>
        <v>0.11462205700123906</v>
      </c>
      <c r="L55" s="151">
        <f t="shared" ca="1" si="34"/>
        <v>0.14603484355733443</v>
      </c>
      <c r="M55" s="151">
        <f t="shared" ca="1" si="34"/>
        <v>0.16069874469646073</v>
      </c>
      <c r="N55" s="151">
        <f t="shared" ca="1" si="34"/>
        <v>0.14500184954036111</v>
      </c>
      <c r="O55" s="151">
        <f t="shared" ca="1" si="34"/>
        <v>0.14349466614558981</v>
      </c>
      <c r="P55" s="151">
        <f t="shared" ca="1" si="34"/>
        <v>0.13780703398048888</v>
      </c>
      <c r="Q55" s="151">
        <f t="shared" ca="1" si="34"/>
        <v>0.13289958210813158</v>
      </c>
    </row>
    <row r="56" spans="2:17" s="184" customFormat="1" ht="12.75" customHeight="1">
      <c r="B56" s="3" t="str">
        <f ca="1">B22</f>
        <v>Diluted EPS</v>
      </c>
      <c r="C56" s="3"/>
      <c r="D56" s="3"/>
      <c r="E56" s="3"/>
      <c r="F56" s="3"/>
      <c r="G56" s="3"/>
      <c r="H56" s="3"/>
      <c r="I56" s="151">
        <v>0</v>
      </c>
      <c r="J56" s="151">
        <f t="shared" ref="J56:Q56" ca="1" si="35">+J22/I22-1</f>
        <v>9.2060922520836863E-2</v>
      </c>
      <c r="K56" s="151">
        <f t="shared" ca="1" si="35"/>
        <v>0.14338713464549846</v>
      </c>
      <c r="L56" s="151">
        <f t="shared" ca="1" si="35"/>
        <v>0.29074665824822876</v>
      </c>
      <c r="M56" s="151">
        <f t="shared" ca="1" si="35"/>
        <v>0.19445954693064116</v>
      </c>
      <c r="N56" s="151">
        <f t="shared" ca="1" si="35"/>
        <v>0.17008694906371646</v>
      </c>
      <c r="O56" s="151">
        <f t="shared" ca="1" si="35"/>
        <v>0.16118412072514832</v>
      </c>
      <c r="P56" s="151">
        <f t="shared" ca="1" si="35"/>
        <v>0.14882170109858395</v>
      </c>
      <c r="Q56" s="151">
        <f t="shared" ca="1" si="35"/>
        <v>0.13791422711697421</v>
      </c>
    </row>
    <row r="57" spans="2:17" ht="12.75" customHeight="1">
      <c r="B57" s="284"/>
      <c r="C57" s="28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2:17" ht="16" customHeight="1" thickBot="1">
      <c r="B58" s="269" t="s">
        <v>40</v>
      </c>
      <c r="C58" s="269"/>
      <c r="D58" s="270"/>
      <c r="E58" s="270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1"/>
      <c r="Q58" s="271"/>
    </row>
    <row r="59" spans="2:17" ht="15" customHeight="1">
      <c r="B59" s="260" t="str">
        <f ca="1">$B$7</f>
        <v>Fiscal Year Ended December 31,</v>
      </c>
      <c r="C59" s="260"/>
      <c r="D59" s="260"/>
      <c r="E59" s="260"/>
      <c r="F59" s="260"/>
      <c r="G59" s="260"/>
      <c r="H59" s="260"/>
      <c r="I59" s="289"/>
      <c r="J59" s="289">
        <f t="shared" ref="J59:Q59" ca="1" si="36">J7</f>
        <v>2017</v>
      </c>
      <c r="K59" s="319">
        <f t="shared" ca="1" si="36"/>
        <v>2018</v>
      </c>
      <c r="L59" s="320">
        <f t="shared" ca="1" si="36"/>
        <v>2019</v>
      </c>
      <c r="M59" s="290">
        <f t="shared" ca="1" si="36"/>
        <v>2020</v>
      </c>
      <c r="N59" s="290">
        <f t="shared" ca="1" si="36"/>
        <v>2021</v>
      </c>
      <c r="O59" s="290">
        <f t="shared" ca="1" si="36"/>
        <v>2022</v>
      </c>
      <c r="P59" s="290">
        <f t="shared" ca="1" si="36"/>
        <v>2023</v>
      </c>
      <c r="Q59" s="290">
        <f t="shared" ca="1" si="36"/>
        <v>2024</v>
      </c>
    </row>
    <row r="60" spans="2:17" ht="15" customHeight="1">
      <c r="B60" s="99" t="s">
        <v>2</v>
      </c>
      <c r="C60" s="99"/>
    </row>
    <row r="61" spans="2:17" ht="12.75" customHeight="1">
      <c r="B61" s="3" t="str">
        <f ca="1">+'Balance Sheet'!B8</f>
        <v>Cash, Cash Equivalents and Short Term Investments</v>
      </c>
      <c r="J61" s="73">
        <f ca="1">'Balance Sheet'!H8</f>
        <v>3315</v>
      </c>
      <c r="K61" s="73">
        <f ca="1">'Balance Sheet'!I8</f>
        <v>2471</v>
      </c>
      <c r="L61" s="111">
        <f ca="1">L110</f>
        <v>2730.7578079533214</v>
      </c>
      <c r="M61" s="111">
        <f t="shared" ref="M61:Q61" ca="1" si="37">M110</f>
        <v>3227.5710623712057</v>
      </c>
      <c r="N61" s="111">
        <f t="shared" ca="1" si="37"/>
        <v>3871.6326287105521</v>
      </c>
      <c r="O61" s="111">
        <f t="shared" ca="1" si="37"/>
        <v>4731.4537387202427</v>
      </c>
      <c r="P61" s="111">
        <f t="shared" ca="1" si="37"/>
        <v>5805.2233725779324</v>
      </c>
      <c r="Q61" s="111">
        <f t="shared" ca="1" si="37"/>
        <v>7112.2914542187318</v>
      </c>
    </row>
    <row r="62" spans="2:17" ht="12.75" customHeight="1">
      <c r="B62" s="3" t="str">
        <f ca="1">+'Balance Sheet'!B9</f>
        <v>Restricted Cash</v>
      </c>
      <c r="J62" s="75">
        <f ca="1">'Balance Sheet'!H9</f>
        <v>69</v>
      </c>
      <c r="K62" s="75">
        <f ca="1">'Balance Sheet'!I9</f>
        <v>259</v>
      </c>
      <c r="L62" s="118">
        <f ca="1">+K62</f>
        <v>259</v>
      </c>
      <c r="M62" s="118">
        <f t="shared" ref="M62:Q62" ca="1" si="38">+L62</f>
        <v>259</v>
      </c>
      <c r="N62" s="118">
        <f t="shared" ca="1" si="38"/>
        <v>259</v>
      </c>
      <c r="O62" s="118">
        <f t="shared" ca="1" si="38"/>
        <v>259</v>
      </c>
      <c r="P62" s="118">
        <f t="shared" ca="1" si="38"/>
        <v>259</v>
      </c>
      <c r="Q62" s="118">
        <f t="shared" ca="1" si="38"/>
        <v>259</v>
      </c>
    </row>
    <row r="63" spans="2:17" ht="12.75" customHeight="1">
      <c r="B63" s="3" t="str">
        <f ca="1">+'Balance Sheet'!B10</f>
        <v>Accounts Receivable</v>
      </c>
      <c r="J63" s="75">
        <f ca="1">'Balance Sheet'!H10</f>
        <v>1866</v>
      </c>
      <c r="K63" s="75">
        <f ca="1">'Balance Sheet'!I10</f>
        <v>2151</v>
      </c>
      <c r="L63" s="118">
        <f ca="1">+L220</f>
        <v>2325.9663993584604</v>
      </c>
      <c r="M63" s="118">
        <f t="shared" ref="M63:Q63" ca="1" si="39">+M220</f>
        <v>2544.9570970328791</v>
      </c>
      <c r="N63" s="118">
        <f t="shared" ca="1" si="39"/>
        <v>2772.5533279871697</v>
      </c>
      <c r="O63" s="118">
        <f t="shared" ca="1" si="39"/>
        <v>3029.3777064955898</v>
      </c>
      <c r="P63" s="118">
        <f t="shared" ca="1" si="39"/>
        <v>3309.991983192956</v>
      </c>
      <c r="Q63" s="118">
        <f t="shared" ca="1" si="39"/>
        <v>3616.5998400627586</v>
      </c>
    </row>
    <row r="64" spans="2:17" ht="12.75" customHeight="1">
      <c r="B64" s="3" t="str">
        <f ca="1">+'Balance Sheet'!B11</f>
        <v>Other Current Assets</v>
      </c>
      <c r="J64" s="75">
        <f ca="1">'Balance Sheet'!H11</f>
        <v>290</v>
      </c>
      <c r="K64" s="75">
        <f ca="1">'Balance Sheet'!I11</f>
        <v>316</v>
      </c>
      <c r="L64" s="118">
        <f ca="1">+L223</f>
        <v>341.70403635391608</v>
      </c>
      <c r="M64" s="118">
        <f t="shared" ref="M64:Q64" ca="1" si="40">+M223</f>
        <v>373.87561258130626</v>
      </c>
      <c r="N64" s="118">
        <f t="shared" ca="1" si="40"/>
        <v>407.31141406041172</v>
      </c>
      <c r="O64" s="118">
        <f t="shared" ca="1" si="40"/>
        <v>445.04107636104436</v>
      </c>
      <c r="P64" s="118">
        <f t="shared" ca="1" si="40"/>
        <v>486.2656748902715</v>
      </c>
      <c r="Q64" s="118">
        <f t="shared" ca="1" si="40"/>
        <v>531.30894907477068</v>
      </c>
    </row>
    <row r="65" spans="2:17" ht="12.75" customHeight="1">
      <c r="B65" s="3" t="str">
        <f ca="1">+'Balance Sheet'!B12</f>
        <v>Total Current Assets</v>
      </c>
      <c r="J65" s="445">
        <f ca="1">'Balance Sheet'!H12</f>
        <v>5540</v>
      </c>
      <c r="K65" s="446">
        <f ca="1">'Balance Sheet'!I12</f>
        <v>5197</v>
      </c>
      <c r="L65" s="411">
        <f ca="1">+SUM(L61:L64)</f>
        <v>5657.4282436656977</v>
      </c>
      <c r="M65" s="411">
        <f t="shared" ref="M65:Q65" ca="1" si="41">+SUM(M61:M64)</f>
        <v>6405.4037719853904</v>
      </c>
      <c r="N65" s="411">
        <f t="shared" ca="1" si="41"/>
        <v>7310.4973707581339</v>
      </c>
      <c r="O65" s="411">
        <f t="shared" ca="1" si="41"/>
        <v>8464.8725215768754</v>
      </c>
      <c r="P65" s="411">
        <f t="shared" ca="1" si="41"/>
        <v>9860.4810306611598</v>
      </c>
      <c r="Q65" s="411">
        <f t="shared" ca="1" si="41"/>
        <v>11519.200243356259</v>
      </c>
    </row>
    <row r="66" spans="2:17" ht="12.75" customHeight="1">
      <c r="B66" s="3" t="str">
        <f ca="1">+'Balance Sheet'!B13</f>
        <v>Property, Plant &amp; Equipment</v>
      </c>
      <c r="J66" s="100">
        <f ca="1">'Balance Sheet'!H13</f>
        <v>1575</v>
      </c>
      <c r="K66" s="100">
        <f ca="1">'Balance Sheet'!I13</f>
        <v>1877</v>
      </c>
      <c r="L66" s="53">
        <f t="shared" ref="L66:Q66" ca="1" si="42">+K66-L91-L97</f>
        <v>1928.9949478748997</v>
      </c>
      <c r="M66" s="53">
        <f t="shared" ca="1" si="42"/>
        <v>1926.4674151296445</v>
      </c>
      <c r="N66" s="53">
        <f t="shared" ca="1" si="42"/>
        <v>1864.9253140871424</v>
      </c>
      <c r="O66" s="53">
        <f t="shared" ca="1" si="42"/>
        <v>1764.6973001871156</v>
      </c>
      <c r="P66" s="53">
        <f t="shared" ca="1" si="42"/>
        <v>1614.4230026823582</v>
      </c>
      <c r="Q66" s="53">
        <f t="shared" ca="1" si="42"/>
        <v>1462.616038327305</v>
      </c>
    </row>
    <row r="67" spans="2:17" ht="12.75" customHeight="1">
      <c r="B67" s="117" t="str">
        <f ca="1">+'Balance Sheet'!B14</f>
        <v>Goodwill</v>
      </c>
      <c r="C67" s="110"/>
      <c r="J67" s="100">
        <f ca="1">'Balance Sheet'!H14</f>
        <v>8229</v>
      </c>
      <c r="K67" s="100">
        <f ca="1">'Balance Sheet'!I14</f>
        <v>8120</v>
      </c>
      <c r="L67" s="53">
        <f t="shared" ref="L67:L69" ca="1" si="43">+K67</f>
        <v>8120</v>
      </c>
      <c r="M67" s="53">
        <f t="shared" ref="M67:Q67" ca="1" si="44">+L67</f>
        <v>8120</v>
      </c>
      <c r="N67" s="53">
        <f t="shared" ca="1" si="44"/>
        <v>8120</v>
      </c>
      <c r="O67" s="53">
        <f t="shared" ca="1" si="44"/>
        <v>8120</v>
      </c>
      <c r="P67" s="53">
        <f t="shared" ca="1" si="44"/>
        <v>8120</v>
      </c>
      <c r="Q67" s="53">
        <f t="shared" ca="1" si="44"/>
        <v>8120</v>
      </c>
    </row>
    <row r="68" spans="2:17" ht="12.75" customHeight="1">
      <c r="B68" s="3" t="str">
        <f ca="1">+'Balance Sheet'!B15</f>
        <v>Other Intangible Assets</v>
      </c>
      <c r="J68" s="100">
        <f ca="1">'Balance Sheet'!H15</f>
        <v>2309</v>
      </c>
      <c r="K68" s="100">
        <f ca="1">'Balance Sheet'!I15</f>
        <v>1992</v>
      </c>
      <c r="L68" s="118">
        <f ca="1">+K68-L93</f>
        <v>1807</v>
      </c>
      <c r="M68" s="118">
        <f t="shared" ref="M68:Q68" ca="1" si="45">+L68-M93</f>
        <v>1664</v>
      </c>
      <c r="N68" s="118">
        <f t="shared" ca="1" si="45"/>
        <v>1567</v>
      </c>
      <c r="O68" s="118">
        <f t="shared" ca="1" si="45"/>
        <v>1494</v>
      </c>
      <c r="P68" s="118">
        <f t="shared" ca="1" si="45"/>
        <v>1455</v>
      </c>
      <c r="Q68" s="118">
        <f t="shared" ca="1" si="45"/>
        <v>1400</v>
      </c>
    </row>
    <row r="69" spans="2:17" ht="12.75" customHeight="1">
      <c r="B69" s="3" t="str">
        <f ca="1">+'Balance Sheet'!B16</f>
        <v>Other Long-Term Assets</v>
      </c>
      <c r="J69" s="100">
        <f ca="1">'Balance Sheet'!H16</f>
        <v>863</v>
      </c>
      <c r="K69" s="100">
        <f ca="1">'Balance Sheet'!I16</f>
        <v>847</v>
      </c>
      <c r="L69" s="118">
        <f t="shared" ca="1" si="43"/>
        <v>847</v>
      </c>
      <c r="M69" s="118">
        <f t="shared" ref="M69:Q69" ca="1" si="46">+L69</f>
        <v>847</v>
      </c>
      <c r="N69" s="118">
        <f t="shared" ca="1" si="46"/>
        <v>847</v>
      </c>
      <c r="O69" s="118">
        <f t="shared" ca="1" si="46"/>
        <v>847</v>
      </c>
      <c r="P69" s="118">
        <f t="shared" ca="1" si="46"/>
        <v>847</v>
      </c>
      <c r="Q69" s="118">
        <f t="shared" ca="1" si="46"/>
        <v>847</v>
      </c>
    </row>
    <row r="70" spans="2:17" ht="12.75" customHeight="1">
      <c r="B70" s="110" t="s">
        <v>4</v>
      </c>
      <c r="C70" s="110"/>
      <c r="J70" s="421">
        <f ca="1">'Balance Sheet'!H17</f>
        <v>18516</v>
      </c>
      <c r="K70" s="422">
        <f ca="1">'Balance Sheet'!I17</f>
        <v>18033</v>
      </c>
      <c r="L70" s="422">
        <f ca="1">+SUM(L65:L69)</f>
        <v>18360.423191540598</v>
      </c>
      <c r="M70" s="422">
        <f t="shared" ref="M70:Q70" ca="1" si="47">+SUM(M65:M69)</f>
        <v>18962.871187115037</v>
      </c>
      <c r="N70" s="422">
        <f t="shared" ca="1" si="47"/>
        <v>19709.422684845274</v>
      </c>
      <c r="O70" s="422">
        <f t="shared" ca="1" si="47"/>
        <v>20690.569821763991</v>
      </c>
      <c r="P70" s="422">
        <f t="shared" ca="1" si="47"/>
        <v>21896.904033343519</v>
      </c>
      <c r="Q70" s="422">
        <f t="shared" ca="1" si="47"/>
        <v>23348.816281683565</v>
      </c>
    </row>
    <row r="71" spans="2:17" ht="12.75" customHeight="1">
      <c r="J71" s="106"/>
      <c r="K71" s="106"/>
      <c r="L71" s="106"/>
      <c r="M71" s="106"/>
      <c r="N71" s="106"/>
      <c r="O71" s="106"/>
      <c r="P71" s="106"/>
      <c r="Q71" s="106"/>
    </row>
    <row r="72" spans="2:17" ht="12.75" customHeight="1">
      <c r="B72" s="99" t="s">
        <v>5</v>
      </c>
      <c r="C72" s="99"/>
      <c r="J72" s="321"/>
      <c r="K72" s="321"/>
      <c r="L72" s="321"/>
      <c r="M72" s="162"/>
      <c r="N72" s="162"/>
      <c r="O72" s="162"/>
      <c r="P72" s="162"/>
      <c r="Q72" s="162"/>
    </row>
    <row r="73" spans="2:17" ht="12.75" customHeight="1">
      <c r="B73" s="3" t="str">
        <f ca="1">+'Balance Sheet'!B20</f>
        <v>Short-Term Debt and Curr. Portion of Long-Term Debt</v>
      </c>
      <c r="J73" s="73">
        <f ca="1">'Balance Sheet'!H20</f>
        <v>500</v>
      </c>
      <c r="K73" s="73">
        <f ca="1">'Balance Sheet'!I20</f>
        <v>0</v>
      </c>
      <c r="L73" s="111">
        <f t="shared" ref="L73:Q73" ca="1" si="48">M144</f>
        <v>0</v>
      </c>
      <c r="M73" s="111">
        <f t="shared" ca="1" si="48"/>
        <v>0</v>
      </c>
      <c r="N73" s="111">
        <f t="shared" ca="1" si="48"/>
        <v>0</v>
      </c>
      <c r="O73" s="111">
        <f t="shared" ca="1" si="48"/>
        <v>0</v>
      </c>
      <c r="P73" s="111">
        <f t="shared" ca="1" si="48"/>
        <v>0</v>
      </c>
      <c r="Q73" s="111">
        <f t="shared" ca="1" si="48"/>
        <v>0</v>
      </c>
    </row>
    <row r="74" spans="2:17" ht="12.75" customHeight="1">
      <c r="B74" s="3" t="str">
        <f ca="1">+'Balance Sheet'!B21</f>
        <v>Accounts Payable</v>
      </c>
      <c r="J74" s="75">
        <f ca="1">'Balance Sheet'!H21</f>
        <v>2536</v>
      </c>
      <c r="K74" s="75">
        <f ca="1">'Balance Sheet'!I21</f>
        <v>2487</v>
      </c>
      <c r="L74" s="118">
        <f ca="1">+L226</f>
        <v>2687.9628893129789</v>
      </c>
      <c r="M74" s="118">
        <f t="shared" ref="M74:Q74" ca="1" si="49">+M226</f>
        <v>2941.0357061068717</v>
      </c>
      <c r="N74" s="118">
        <f t="shared" ca="1" si="49"/>
        <v>3204.0533587786276</v>
      </c>
      <c r="O74" s="118">
        <f t="shared" ca="1" si="49"/>
        <v>3500.8480152671773</v>
      </c>
      <c r="P74" s="118">
        <f t="shared" ca="1" si="49"/>
        <v>3825.1350566371489</v>
      </c>
      <c r="Q74" s="118">
        <f t="shared" ca="1" si="49"/>
        <v>4179.4611299050721</v>
      </c>
    </row>
    <row r="75" spans="2:17" ht="12.75" customHeight="1">
      <c r="B75" s="3" t="str">
        <f ca="1">+'Balance Sheet'!B22</f>
        <v>Deferred Revenue</v>
      </c>
      <c r="J75" s="75">
        <f ca="1">'Balance Sheet'!H22</f>
        <v>3545</v>
      </c>
      <c r="K75" s="75">
        <f ca="1">'Balance Sheet'!I22</f>
        <v>4691</v>
      </c>
      <c r="L75" s="118">
        <f ca="1">+L229</f>
        <v>5072.5747928361397</v>
      </c>
      <c r="M75" s="118">
        <f t="shared" ref="M75:Q75" ca="1" si="50">+M229</f>
        <v>5550.1598057560368</v>
      </c>
      <c r="N75" s="118">
        <f t="shared" ca="1" si="50"/>
        <v>6046.5121625233896</v>
      </c>
      <c r="O75" s="118">
        <f t="shared" ca="1" si="50"/>
        <v>6606.6066114229716</v>
      </c>
      <c r="P75" s="118">
        <f t="shared" ca="1" si="50"/>
        <v>7218.5831674375431</v>
      </c>
      <c r="Q75" s="118">
        <f t="shared" ca="1" si="50"/>
        <v>7887.2477218662943</v>
      </c>
    </row>
    <row r="76" spans="2:17" ht="12.75" customHeight="1">
      <c r="B76" s="3" t="str">
        <f ca="1">+'Balance Sheet'!B23</f>
        <v>Other Current Liabilities</v>
      </c>
      <c r="J76" s="75">
        <f ca="1">'Balance Sheet'!H23</f>
        <v>1298</v>
      </c>
      <c r="K76" s="75">
        <f ca="1">'Balance Sheet'!I23</f>
        <v>882</v>
      </c>
      <c r="L76" s="118">
        <f ca="1">+L232</f>
        <v>953.27031297709982</v>
      </c>
      <c r="M76" s="118">
        <f t="shared" ref="M76:Q76" ca="1" si="51">+M232</f>
        <v>1043.0211068702295</v>
      </c>
      <c r="N76" s="118">
        <f t="shared" ca="1" si="51"/>
        <v>1136.2987786259548</v>
      </c>
      <c r="O76" s="118">
        <f t="shared" ca="1" si="51"/>
        <v>1241.5552671755731</v>
      </c>
      <c r="P76" s="118">
        <f t="shared" ca="1" si="51"/>
        <v>1356.5617691813291</v>
      </c>
      <c r="Q76" s="118">
        <f t="shared" ca="1" si="51"/>
        <v>1482.2214381086746</v>
      </c>
    </row>
    <row r="77" spans="2:17" ht="12.75" customHeight="1">
      <c r="B77" s="3" t="str">
        <f ca="1">+'Balance Sheet'!B24</f>
        <v>Total Current Assets</v>
      </c>
      <c r="J77" s="445">
        <f ca="1">'Balance Sheet'!H24</f>
        <v>7879</v>
      </c>
      <c r="K77" s="446">
        <f ca="1">'Balance Sheet'!I24</f>
        <v>8060</v>
      </c>
      <c r="L77" s="411">
        <f ca="1">+SUM(L73:L76)</f>
        <v>8713.8079951262189</v>
      </c>
      <c r="M77" s="411">
        <f t="shared" ref="M77:Q77" ca="1" si="52">+SUM(M73:M76)</f>
        <v>9534.2166187331386</v>
      </c>
      <c r="N77" s="411">
        <f t="shared" ca="1" si="52"/>
        <v>10386.864299927973</v>
      </c>
      <c r="O77" s="411">
        <f t="shared" ca="1" si="52"/>
        <v>11349.009893865721</v>
      </c>
      <c r="P77" s="411">
        <f t="shared" ca="1" si="52"/>
        <v>12400.279993256021</v>
      </c>
      <c r="Q77" s="411">
        <f t="shared" ca="1" si="52"/>
        <v>13548.930289880042</v>
      </c>
    </row>
    <row r="78" spans="2:17" ht="12.75" customHeight="1">
      <c r="B78" s="3" t="str">
        <f ca="1">+'Balance Sheet'!B25</f>
        <v>Long-Term Debt</v>
      </c>
      <c r="J78" s="100">
        <f ca="1">'Balance Sheet'!H25</f>
        <v>3749</v>
      </c>
      <c r="K78" s="100">
        <f ca="1">'Balance Sheet'!I25</f>
        <v>3717</v>
      </c>
      <c r="L78" s="53">
        <f t="shared" ref="L78:Q78" ca="1" si="53">+L132-L73</f>
        <v>3717</v>
      </c>
      <c r="M78" s="53">
        <f t="shared" ca="1" si="53"/>
        <v>3717</v>
      </c>
      <c r="N78" s="53">
        <f t="shared" ca="1" si="53"/>
        <v>3717</v>
      </c>
      <c r="O78" s="53">
        <f t="shared" ca="1" si="53"/>
        <v>3717</v>
      </c>
      <c r="P78" s="53">
        <f t="shared" ca="1" si="53"/>
        <v>3717</v>
      </c>
      <c r="Q78" s="53">
        <f t="shared" ca="1" si="53"/>
        <v>3717</v>
      </c>
    </row>
    <row r="79" spans="2:17" ht="12.75" customHeight="1">
      <c r="B79" s="174" t="str">
        <f ca="1">+'Balance Sheet'!B26</f>
        <v>Other Long-Term Liabilities</v>
      </c>
      <c r="C79" s="423"/>
      <c r="D79" s="4"/>
      <c r="E79" s="4"/>
      <c r="F79" s="4"/>
      <c r="G79" s="4"/>
      <c r="H79" s="4"/>
      <c r="I79" s="4"/>
      <c r="J79" s="53">
        <f ca="1">'Balance Sheet'!H26</f>
        <v>737</v>
      </c>
      <c r="K79" s="53">
        <f ca="1">'Balance Sheet'!I26</f>
        <v>575</v>
      </c>
      <c r="L79" s="53">
        <f t="shared" ref="L79:Q79" ca="1" si="54">+K79</f>
        <v>575</v>
      </c>
      <c r="M79" s="53">
        <f t="shared" ca="1" si="54"/>
        <v>575</v>
      </c>
      <c r="N79" s="53">
        <f t="shared" ca="1" si="54"/>
        <v>575</v>
      </c>
      <c r="O79" s="53">
        <f t="shared" ca="1" si="54"/>
        <v>575</v>
      </c>
      <c r="P79" s="53">
        <f t="shared" ca="1" si="54"/>
        <v>575</v>
      </c>
      <c r="Q79" s="53">
        <f t="shared" ca="1" si="54"/>
        <v>575</v>
      </c>
    </row>
    <row r="80" spans="2:17" ht="12.75" customHeight="1">
      <c r="B80" s="3" t="str">
        <f ca="1">+'Balance Sheet'!B27</f>
        <v>Minority Interest</v>
      </c>
      <c r="J80" s="75">
        <f ca="1">'Balance Sheet'!H27</f>
        <v>1628</v>
      </c>
      <c r="K80" s="75">
        <f ca="1">'Balance Sheet'!I27</f>
        <v>1577</v>
      </c>
      <c r="L80" s="118">
        <f ca="1">+K80</f>
        <v>1577</v>
      </c>
      <c r="M80" s="118">
        <f t="shared" ref="M80:Q80" ca="1" si="55">+L80</f>
        <v>1577</v>
      </c>
      <c r="N80" s="118">
        <f t="shared" ca="1" si="55"/>
        <v>1577</v>
      </c>
      <c r="O80" s="118">
        <f t="shared" ca="1" si="55"/>
        <v>1577</v>
      </c>
      <c r="P80" s="118">
        <f t="shared" ca="1" si="55"/>
        <v>1577</v>
      </c>
      <c r="Q80" s="118">
        <f t="shared" ca="1" si="55"/>
        <v>1577</v>
      </c>
    </row>
    <row r="81" spans="2:17" ht="12.75" customHeight="1">
      <c r="B81" s="3" t="str">
        <f ca="1">+'Balance Sheet'!B28</f>
        <v>Preferred Stock</v>
      </c>
      <c r="J81" s="75">
        <f ca="1">'Balance Sheet'!H28</f>
        <v>0</v>
      </c>
      <c r="K81" s="75">
        <f ca="1">'Balance Sheet'!I28</f>
        <v>0</v>
      </c>
      <c r="L81" s="118">
        <f t="shared" ref="L81:Q81" ca="1" si="56">K81</f>
        <v>0</v>
      </c>
      <c r="M81" s="118">
        <f t="shared" ca="1" si="56"/>
        <v>0</v>
      </c>
      <c r="N81" s="118">
        <f t="shared" ca="1" si="56"/>
        <v>0</v>
      </c>
      <c r="O81" s="118">
        <f t="shared" ca="1" si="56"/>
        <v>0</v>
      </c>
      <c r="P81" s="118">
        <f t="shared" ca="1" si="56"/>
        <v>0</v>
      </c>
      <c r="Q81" s="118">
        <f t="shared" ca="1" si="56"/>
        <v>0</v>
      </c>
    </row>
    <row r="82" spans="2:17" ht="12.75" customHeight="1">
      <c r="B82" s="3" t="str">
        <f ca="1">+'Balance Sheet'!B29</f>
        <v>Shareholders' Equity</v>
      </c>
      <c r="J82" s="75">
        <f ca="1">'Balance Sheet'!H29</f>
        <v>4523</v>
      </c>
      <c r="K82" s="75">
        <f ca="1">'Balance Sheet'!I29</f>
        <v>4104</v>
      </c>
      <c r="L82" s="118">
        <f ca="1">K82+L18+L102+L103+L92</f>
        <v>3777.6151964143783</v>
      </c>
      <c r="M82" s="118">
        <f t="shared" ref="M82:Q82" ca="1" si="57">L82+M18+M102+M103+M92</f>
        <v>3559.6545683818968</v>
      </c>
      <c r="N82" s="118">
        <f t="shared" ca="1" si="57"/>
        <v>3453.5583849173017</v>
      </c>
      <c r="O82" s="118">
        <f t="shared" ca="1" si="57"/>
        <v>3472.5599278982695</v>
      </c>
      <c r="P82" s="118">
        <f t="shared" ca="1" si="57"/>
        <v>3627.6240400874954</v>
      </c>
      <c r="Q82" s="118">
        <f t="shared" ca="1" si="57"/>
        <v>3930.8859918035246</v>
      </c>
    </row>
    <row r="83" spans="2:17" ht="12.75" customHeight="1">
      <c r="B83" s="110" t="s">
        <v>73</v>
      </c>
      <c r="C83" s="110"/>
      <c r="J83" s="279">
        <f ca="1">'Balance Sheet'!H30</f>
        <v>18516</v>
      </c>
      <c r="K83" s="280">
        <f ca="1">'Balance Sheet'!I30</f>
        <v>18033</v>
      </c>
      <c r="L83" s="280">
        <f ca="1">+SUM(L77:L82)</f>
        <v>18360.423191540598</v>
      </c>
      <c r="M83" s="280">
        <f t="shared" ref="M83:Q83" ca="1" si="58">+SUM(M77:M82)</f>
        <v>18962.871187115037</v>
      </c>
      <c r="N83" s="280">
        <f t="shared" ca="1" si="58"/>
        <v>19709.422684845274</v>
      </c>
      <c r="O83" s="280">
        <f t="shared" ca="1" si="58"/>
        <v>20690.569821763991</v>
      </c>
      <c r="P83" s="280">
        <f t="shared" ca="1" si="58"/>
        <v>21896.904033343519</v>
      </c>
      <c r="Q83" s="280">
        <f t="shared" ca="1" si="58"/>
        <v>23348.816281683565</v>
      </c>
    </row>
    <row r="84" spans="2:17" ht="12.75" customHeight="1">
      <c r="J84" s="106"/>
      <c r="K84" s="106"/>
      <c r="L84" s="106"/>
      <c r="M84" s="106"/>
      <c r="N84" s="106"/>
      <c r="O84" s="106"/>
      <c r="P84" s="106"/>
      <c r="Q84" s="106"/>
    </row>
    <row r="85" spans="2:17" ht="12.75" customHeight="1">
      <c r="B85" s="3" t="s">
        <v>1</v>
      </c>
      <c r="J85" s="53">
        <f t="shared" ref="J85:Q85" ca="1" si="59">J70-J83</f>
        <v>0</v>
      </c>
      <c r="K85" s="53">
        <f t="shared" ca="1" si="59"/>
        <v>0</v>
      </c>
      <c r="L85" s="53">
        <f t="shared" ca="1" si="59"/>
        <v>0</v>
      </c>
      <c r="M85" s="53">
        <f t="shared" ca="1" si="59"/>
        <v>0</v>
      </c>
      <c r="N85" s="53">
        <f t="shared" ca="1" si="59"/>
        <v>0</v>
      </c>
      <c r="O85" s="53">
        <f t="shared" ca="1" si="59"/>
        <v>0</v>
      </c>
      <c r="P85" s="53">
        <f t="shared" ca="1" si="59"/>
        <v>0</v>
      </c>
      <c r="Q85" s="53">
        <f t="shared" ca="1" si="59"/>
        <v>0</v>
      </c>
    </row>
    <row r="86" spans="2:17" ht="12.75" customHeight="1">
      <c r="B86" s="3" t="s">
        <v>348</v>
      </c>
      <c r="J86" s="53">
        <f ca="1">+SUM(J63:J64)-SUM(J74:J76)</f>
        <v>-5223</v>
      </c>
      <c r="K86" s="53">
        <f t="shared" ref="K86:Q86" ca="1" si="60">+SUM(K63:K64)-SUM(K74:K76)</f>
        <v>-5593</v>
      </c>
      <c r="L86" s="53">
        <f t="shared" ca="1" si="60"/>
        <v>-6046.1375594138426</v>
      </c>
      <c r="M86" s="53">
        <f t="shared" ca="1" si="60"/>
        <v>-6615.3839091189529</v>
      </c>
      <c r="N86" s="53">
        <f t="shared" ca="1" si="60"/>
        <v>-7206.9995578803919</v>
      </c>
      <c r="O86" s="53">
        <f t="shared" ca="1" si="60"/>
        <v>-7874.5911110090874</v>
      </c>
      <c r="P86" s="53">
        <f t="shared" ca="1" si="60"/>
        <v>-8604.0223351727946</v>
      </c>
      <c r="Q86" s="53">
        <f t="shared" ca="1" si="60"/>
        <v>-9401.0215007425122</v>
      </c>
    </row>
    <row r="87" spans="2:17" ht="12.75" customHeight="1">
      <c r="J87" s="308"/>
      <c r="K87" s="308"/>
      <c r="L87" s="308"/>
      <c r="M87" s="308"/>
      <c r="N87" s="308"/>
      <c r="O87" s="308"/>
      <c r="P87" s="308"/>
      <c r="Q87" s="308"/>
    </row>
    <row r="88" spans="2:17" ht="16" customHeight="1" thickBot="1">
      <c r="B88" s="269" t="s">
        <v>41</v>
      </c>
      <c r="C88" s="269"/>
      <c r="D88" s="270"/>
      <c r="E88" s="270"/>
      <c r="F88" s="270"/>
      <c r="G88" s="270"/>
      <c r="H88" s="270"/>
      <c r="I88" s="270"/>
      <c r="J88" s="270"/>
      <c r="K88" s="270"/>
      <c r="L88" s="270"/>
      <c r="M88" s="270"/>
      <c r="N88" s="270"/>
      <c r="O88" s="270"/>
      <c r="P88" s="271"/>
      <c r="Q88" s="271"/>
    </row>
    <row r="89" spans="2:17" ht="15" customHeight="1">
      <c r="B89" s="260" t="str">
        <f ca="1">$B$7</f>
        <v>Fiscal Year Ended December 31,</v>
      </c>
      <c r="C89" s="260"/>
      <c r="D89" s="260"/>
      <c r="E89" s="260"/>
      <c r="F89" s="260"/>
      <c r="G89" s="260"/>
      <c r="H89" s="260"/>
      <c r="I89" s="289"/>
      <c r="J89" s="289"/>
      <c r="K89" s="319"/>
      <c r="L89" s="320">
        <f t="shared" ref="L89:Q89" ca="1" si="61">L7</f>
        <v>2019</v>
      </c>
      <c r="M89" s="290">
        <f t="shared" ca="1" si="61"/>
        <v>2020</v>
      </c>
      <c r="N89" s="290">
        <f t="shared" ca="1" si="61"/>
        <v>2021</v>
      </c>
      <c r="O89" s="290">
        <f t="shared" ca="1" si="61"/>
        <v>2022</v>
      </c>
      <c r="P89" s="290">
        <f t="shared" ca="1" si="61"/>
        <v>2023</v>
      </c>
      <c r="Q89" s="290">
        <f t="shared" ca="1" si="61"/>
        <v>2024</v>
      </c>
    </row>
    <row r="90" spans="2:17" ht="15" customHeight="1">
      <c r="B90" s="3" t="s">
        <v>11</v>
      </c>
      <c r="L90" s="274">
        <f t="shared" ref="L90:Q90" ca="1" si="62">+L18</f>
        <v>515.42917088991112</v>
      </c>
      <c r="M90" s="274">
        <f t="shared" ca="1" si="62"/>
        <v>598.25799163185741</v>
      </c>
      <c r="N90" s="274">
        <f t="shared" ca="1" si="62"/>
        <v>685.00650692077863</v>
      </c>
      <c r="O90" s="274">
        <f t="shared" ca="1" si="62"/>
        <v>783.30128693893244</v>
      </c>
      <c r="P90" s="274">
        <f t="shared" ca="1" si="62"/>
        <v>891.2457140050866</v>
      </c>
      <c r="Q90" s="274">
        <f t="shared" ca="1" si="62"/>
        <v>1009.6918969520259</v>
      </c>
    </row>
    <row r="91" spans="2:17" s="14" customFormat="1">
      <c r="B91" s="9" t="s">
        <v>200</v>
      </c>
      <c r="C91" s="9"/>
      <c r="D91" s="9"/>
      <c r="E91" s="9"/>
      <c r="F91" s="9"/>
      <c r="G91" s="9"/>
      <c r="H91" s="9"/>
      <c r="I91" s="9"/>
      <c r="J91" s="9"/>
      <c r="K91" s="9"/>
      <c r="L91" s="30">
        <f t="shared" ref="L91:Q91" ca="1" si="63">L214-L93</f>
        <v>897.42322908313281</v>
      </c>
      <c r="M91" s="30">
        <f t="shared" ca="1" si="63"/>
        <v>1041.3338233983782</v>
      </c>
      <c r="N91" s="30">
        <f t="shared" ca="1" si="63"/>
        <v>1193.2491312483294</v>
      </c>
      <c r="O91" s="30">
        <f t="shared" ca="1" si="63"/>
        <v>1336.7661944221688</v>
      </c>
      <c r="P91" s="30">
        <f t="shared" ca="1" si="63"/>
        <v>1501.3542422948155</v>
      </c>
      <c r="Q91" s="30">
        <f t="shared" ca="1" si="63"/>
        <v>1628.0387912147005</v>
      </c>
    </row>
    <row r="92" spans="2:17" s="14" customFormat="1">
      <c r="B92" s="9" t="s">
        <v>303</v>
      </c>
      <c r="C92" s="9"/>
      <c r="D92" s="9"/>
      <c r="E92" s="9"/>
      <c r="F92" s="9"/>
      <c r="G92" s="9"/>
      <c r="H92" s="9"/>
      <c r="I92" s="9"/>
      <c r="J92" s="9"/>
      <c r="K92" s="9"/>
      <c r="L92" s="30">
        <f ca="1">+L217</f>
        <v>219.51240310077517</v>
      </c>
      <c r="M92" s="30">
        <f t="shared" ref="M92:Q92" ca="1" si="64">+M217</f>
        <v>240.17958656330748</v>
      </c>
      <c r="N92" s="30">
        <f t="shared" ca="1" si="64"/>
        <v>261.65891472868219</v>
      </c>
      <c r="O92" s="30">
        <f t="shared" ca="1" si="64"/>
        <v>285.89664082687341</v>
      </c>
      <c r="P92" s="30">
        <f t="shared" ca="1" si="64"/>
        <v>312.37953165419339</v>
      </c>
      <c r="Q92" s="30">
        <f t="shared" ca="1" si="64"/>
        <v>341.31555905752668</v>
      </c>
    </row>
    <row r="93" spans="2:17">
      <c r="B93" s="3" t="s">
        <v>124</v>
      </c>
      <c r="L93" s="255">
        <v>185</v>
      </c>
      <c r="M93" s="255">
        <v>143</v>
      </c>
      <c r="N93" s="255">
        <v>97</v>
      </c>
      <c r="O93" s="255">
        <v>73</v>
      </c>
      <c r="P93" s="255">
        <v>39</v>
      </c>
      <c r="Q93" s="255">
        <v>55</v>
      </c>
    </row>
    <row r="94" spans="2:17">
      <c r="B94" s="3" t="s">
        <v>349</v>
      </c>
      <c r="L94" s="30">
        <f ca="1">+-(L86-K86)</f>
        <v>453.13755941384261</v>
      </c>
      <c r="M94" s="30">
        <f t="shared" ref="M94:Q94" ca="1" si="65">+-(M86-L86)</f>
        <v>569.24634970511033</v>
      </c>
      <c r="N94" s="30">
        <f t="shared" ca="1" si="65"/>
        <v>591.61564876143893</v>
      </c>
      <c r="O94" s="30">
        <f t="shared" ca="1" si="65"/>
        <v>667.59155312869552</v>
      </c>
      <c r="P94" s="30">
        <f t="shared" ca="1" si="65"/>
        <v>729.43122416370716</v>
      </c>
      <c r="Q94" s="30">
        <f t="shared" ca="1" si="65"/>
        <v>796.99916556971766</v>
      </c>
    </row>
    <row r="95" spans="2:17" ht="12.75" customHeight="1">
      <c r="B95" s="323" t="s">
        <v>121</v>
      </c>
      <c r="C95" s="323"/>
      <c r="L95" s="311">
        <f ca="1">SUM(L90:L94)</f>
        <v>2270.5023624876617</v>
      </c>
      <c r="M95" s="311">
        <f t="shared" ref="M95:Q95" ca="1" si="66">SUM(M90:M94)</f>
        <v>2592.0177512986534</v>
      </c>
      <c r="N95" s="311">
        <f t="shared" ca="1" si="66"/>
        <v>2828.5302016592291</v>
      </c>
      <c r="O95" s="311">
        <f t="shared" ca="1" si="66"/>
        <v>3146.5556753166702</v>
      </c>
      <c r="P95" s="311">
        <f t="shared" ca="1" si="66"/>
        <v>3473.4107121178026</v>
      </c>
      <c r="Q95" s="311">
        <f t="shared" ca="1" si="66"/>
        <v>3831.0454127939706</v>
      </c>
    </row>
    <row r="96" spans="2:17" ht="12.75" customHeight="1">
      <c r="L96" s="359"/>
      <c r="M96" s="359"/>
      <c r="N96" s="359"/>
      <c r="O96" s="359"/>
      <c r="P96" s="359"/>
      <c r="Q96" s="359"/>
    </row>
    <row r="97" spans="2:18" ht="12.75" customHeight="1">
      <c r="B97" s="3" t="s">
        <v>38</v>
      </c>
      <c r="L97" s="30">
        <f t="shared" ref="L97:Q97" ca="1" si="67">-L211</f>
        <v>-949.41817695803252</v>
      </c>
      <c r="M97" s="30">
        <f t="shared" ca="1" si="67"/>
        <v>-1038.8062906531229</v>
      </c>
      <c r="N97" s="30">
        <f t="shared" ca="1" si="67"/>
        <v>-1131.7070302058273</v>
      </c>
      <c r="O97" s="30">
        <f t="shared" ca="1" si="67"/>
        <v>-1236.5381805221421</v>
      </c>
      <c r="P97" s="30">
        <f t="shared" ca="1" si="67"/>
        <v>-1351.0799447900581</v>
      </c>
      <c r="Q97" s="30">
        <f t="shared" ca="1" si="67"/>
        <v>-1476.2318268596473</v>
      </c>
    </row>
    <row r="98" spans="2:18" ht="12.75" customHeight="1">
      <c r="B98" s="3" t="s">
        <v>199</v>
      </c>
      <c r="L98" s="281">
        <v>0</v>
      </c>
      <c r="M98" s="281">
        <v>0</v>
      </c>
      <c r="N98" s="281">
        <v>0</v>
      </c>
      <c r="O98" s="281">
        <v>0</v>
      </c>
      <c r="P98" s="281">
        <v>0</v>
      </c>
      <c r="Q98" s="281">
        <v>0</v>
      </c>
    </row>
    <row r="99" spans="2:18" ht="12.75" customHeight="1">
      <c r="B99" s="285" t="s">
        <v>122</v>
      </c>
      <c r="C99" s="285"/>
      <c r="D99" s="155"/>
      <c r="E99" s="155"/>
      <c r="F99" s="155"/>
      <c r="G99" s="155"/>
      <c r="H99" s="155"/>
      <c r="I99" s="155"/>
      <c r="J99" s="155"/>
      <c r="K99" s="155"/>
      <c r="L99" s="311">
        <f t="shared" ref="L99:Q99" ca="1" si="68">SUM(L97:L98)</f>
        <v>-949.41817695803252</v>
      </c>
      <c r="M99" s="310">
        <f t="shared" ca="1" si="68"/>
        <v>-1038.8062906531229</v>
      </c>
      <c r="N99" s="310">
        <f t="shared" ca="1" si="68"/>
        <v>-1131.7070302058273</v>
      </c>
      <c r="O99" s="310">
        <f t="shared" ca="1" si="68"/>
        <v>-1236.5381805221421</v>
      </c>
      <c r="P99" s="253">
        <f t="shared" ca="1" si="68"/>
        <v>-1351.0799447900581</v>
      </c>
      <c r="Q99" s="253">
        <f t="shared" ca="1" si="68"/>
        <v>-1476.2318268596473</v>
      </c>
    </row>
    <row r="100" spans="2:18" ht="12.75" customHeight="1">
      <c r="B100" s="110"/>
      <c r="C100" s="110"/>
      <c r="L100" s="30"/>
      <c r="M100" s="118"/>
      <c r="N100" s="118"/>
      <c r="O100" s="118"/>
      <c r="P100" s="118"/>
      <c r="Q100" s="118"/>
    </row>
    <row r="101" spans="2:18" ht="12.75" customHeight="1">
      <c r="B101" s="3" t="s">
        <v>58</v>
      </c>
      <c r="L101" s="30">
        <f t="shared" ref="L101:Q101" ca="1" si="69">-L144</f>
        <v>0</v>
      </c>
      <c r="M101" s="118">
        <f t="shared" ca="1" si="69"/>
        <v>0</v>
      </c>
      <c r="N101" s="118">
        <f t="shared" ca="1" si="69"/>
        <v>0</v>
      </c>
      <c r="O101" s="118">
        <f t="shared" ca="1" si="69"/>
        <v>0</v>
      </c>
      <c r="P101" s="118">
        <f t="shared" ca="1" si="69"/>
        <v>0</v>
      </c>
      <c r="Q101" s="118">
        <f t="shared" ca="1" si="69"/>
        <v>0</v>
      </c>
    </row>
    <row r="102" spans="2:18" ht="12.75" customHeight="1">
      <c r="B102" s="3" t="s">
        <v>197</v>
      </c>
      <c r="F102" s="286">
        <f ca="1">'Spread Cover'!J19</f>
        <v>1.2</v>
      </c>
      <c r="G102" s="3" t="s">
        <v>57</v>
      </c>
      <c r="L102" s="30">
        <f t="shared" ref="L102:Q102" ca="1" si="70">-$F102*L207</f>
        <v>-161.32637757630755</v>
      </c>
      <c r="M102" s="30">
        <f t="shared" ca="1" si="70"/>
        <v>-156.3982062276464</v>
      </c>
      <c r="N102" s="30">
        <f t="shared" ca="1" si="70"/>
        <v>-152.76160511405564</v>
      </c>
      <c r="O102" s="30">
        <f t="shared" ca="1" si="70"/>
        <v>-150.1963847848377</v>
      </c>
      <c r="P102" s="30">
        <f t="shared" ca="1" si="70"/>
        <v>-148.56113347005461</v>
      </c>
      <c r="Q102" s="30">
        <f t="shared" ca="1" si="70"/>
        <v>-147.74550429352362</v>
      </c>
    </row>
    <row r="103" spans="2:18" ht="12.75" customHeight="1">
      <c r="B103" s="3" t="s">
        <v>18</v>
      </c>
      <c r="L103" s="30">
        <f ca="1">-L195</f>
        <v>-900</v>
      </c>
      <c r="M103" s="30">
        <f t="shared" ref="M103:Q103" ca="1" si="71">-M195</f>
        <v>-900</v>
      </c>
      <c r="N103" s="30">
        <f t="shared" ca="1" si="71"/>
        <v>-900</v>
      </c>
      <c r="O103" s="30">
        <f t="shared" ca="1" si="71"/>
        <v>-900</v>
      </c>
      <c r="P103" s="30">
        <f t="shared" ca="1" si="71"/>
        <v>-900</v>
      </c>
      <c r="Q103" s="30">
        <f t="shared" ca="1" si="71"/>
        <v>-900</v>
      </c>
    </row>
    <row r="104" spans="2:18" ht="12.75" customHeight="1">
      <c r="B104" s="3" t="s">
        <v>133</v>
      </c>
      <c r="F104" s="312">
        <v>100</v>
      </c>
      <c r="G104" s="117" t="s">
        <v>56</v>
      </c>
      <c r="H104" s="117"/>
      <c r="I104" s="4"/>
      <c r="L104" s="264">
        <f t="shared" ref="L104:Q104" ca="1" si="72">L122</f>
        <v>0</v>
      </c>
      <c r="M104" s="264">
        <f t="shared" ca="1" si="72"/>
        <v>0</v>
      </c>
      <c r="N104" s="264">
        <f t="shared" ca="1" si="72"/>
        <v>0</v>
      </c>
      <c r="O104" s="264">
        <f t="shared" ca="1" si="72"/>
        <v>0</v>
      </c>
      <c r="P104" s="264">
        <f t="shared" ca="1" si="72"/>
        <v>0</v>
      </c>
      <c r="Q104" s="264">
        <f t="shared" ca="1" si="72"/>
        <v>0</v>
      </c>
      <c r="R104" s="306"/>
    </row>
    <row r="105" spans="2:18" ht="12.75" customHeight="1">
      <c r="B105" s="285" t="s">
        <v>123</v>
      </c>
      <c r="C105" s="285"/>
      <c r="I105" s="312"/>
      <c r="L105" s="311">
        <f t="shared" ref="L105:Q105" ca="1" si="73">SUM(L101:L104)</f>
        <v>-1061.3263775763076</v>
      </c>
      <c r="M105" s="311">
        <f t="shared" ca="1" si="73"/>
        <v>-1056.3982062276464</v>
      </c>
      <c r="N105" s="311">
        <f t="shared" ca="1" si="73"/>
        <v>-1052.7616051140556</v>
      </c>
      <c r="O105" s="311">
        <f t="shared" ca="1" si="73"/>
        <v>-1050.1963847848376</v>
      </c>
      <c r="P105" s="311">
        <f t="shared" ca="1" si="73"/>
        <v>-1048.5611334700545</v>
      </c>
      <c r="Q105" s="311">
        <f t="shared" ca="1" si="73"/>
        <v>-1047.7455042935237</v>
      </c>
    </row>
    <row r="106" spans="2:18" ht="12.75" customHeight="1">
      <c r="I106" s="312"/>
      <c r="L106" s="15"/>
      <c r="M106" s="53"/>
      <c r="N106" s="53"/>
      <c r="O106" s="53"/>
      <c r="P106" s="53"/>
      <c r="Q106" s="53"/>
    </row>
    <row r="107" spans="2:18" ht="12.75" customHeight="1">
      <c r="B107" s="3" t="s">
        <v>164</v>
      </c>
      <c r="L107" s="30">
        <f t="shared" ref="L107:Q107" ca="1" si="74">L95+L99+L105</f>
        <v>259.75780795332162</v>
      </c>
      <c r="M107" s="30">
        <f t="shared" ca="1" si="74"/>
        <v>496.81325441788408</v>
      </c>
      <c r="N107" s="30">
        <f t="shared" ca="1" si="74"/>
        <v>644.0615663393462</v>
      </c>
      <c r="O107" s="30">
        <f t="shared" ca="1" si="74"/>
        <v>859.82111000969053</v>
      </c>
      <c r="P107" s="30">
        <f t="shared" ca="1" si="74"/>
        <v>1073.76963385769</v>
      </c>
      <c r="Q107" s="30">
        <f t="shared" ca="1" si="74"/>
        <v>1307.0680816407996</v>
      </c>
    </row>
    <row r="108" spans="2:18" ht="12.75" customHeight="1">
      <c r="L108" s="30"/>
      <c r="M108" s="118"/>
      <c r="N108" s="118"/>
      <c r="O108" s="118"/>
      <c r="P108" s="118"/>
      <c r="Q108" s="118"/>
    </row>
    <row r="109" spans="2:18" ht="12.75" customHeight="1">
      <c r="B109" s="3" t="s">
        <v>50</v>
      </c>
      <c r="L109" s="264">
        <f t="shared" ref="L109:Q109" ca="1" si="75">K61</f>
        <v>2471</v>
      </c>
      <c r="M109" s="203">
        <f t="shared" ca="1" si="75"/>
        <v>2730.7578079533214</v>
      </c>
      <c r="N109" s="203">
        <f t="shared" ca="1" si="75"/>
        <v>3227.5710623712057</v>
      </c>
      <c r="O109" s="203">
        <f t="shared" ca="1" si="75"/>
        <v>3871.6326287105521</v>
      </c>
      <c r="P109" s="203">
        <f t="shared" ca="1" si="75"/>
        <v>4731.4537387202427</v>
      </c>
      <c r="Q109" s="203">
        <f t="shared" ca="1" si="75"/>
        <v>5805.2233725779324</v>
      </c>
    </row>
    <row r="110" spans="2:18" ht="12.75" customHeight="1">
      <c r="B110" s="3" t="s">
        <v>19</v>
      </c>
      <c r="L110" s="325">
        <f t="shared" ref="L110:Q110" ca="1" si="76">L109+L107</f>
        <v>2730.7578079533214</v>
      </c>
      <c r="M110" s="325">
        <f t="shared" ca="1" si="76"/>
        <v>3227.5710623712057</v>
      </c>
      <c r="N110" s="325">
        <f t="shared" ca="1" si="76"/>
        <v>3871.6326287105521</v>
      </c>
      <c r="O110" s="325">
        <f t="shared" ca="1" si="76"/>
        <v>4731.4537387202427</v>
      </c>
      <c r="P110" s="325">
        <f t="shared" ca="1" si="76"/>
        <v>5805.2233725779324</v>
      </c>
      <c r="Q110" s="325">
        <f t="shared" ca="1" si="76"/>
        <v>7112.2914542187318</v>
      </c>
    </row>
    <row r="111" spans="2:18" ht="12.75" customHeight="1">
      <c r="L111" s="53"/>
      <c r="M111" s="53"/>
      <c r="N111" s="53"/>
      <c r="O111" s="53"/>
      <c r="P111" s="53"/>
      <c r="Q111" s="53"/>
    </row>
    <row r="112" spans="2:18" s="14" customFormat="1" ht="12.75" customHeight="1">
      <c r="B112" s="9" t="s">
        <v>20</v>
      </c>
      <c r="C112" s="9"/>
      <c r="D112" s="9"/>
      <c r="E112" s="9"/>
      <c r="F112" s="9"/>
      <c r="G112" s="9"/>
      <c r="H112" s="9"/>
      <c r="I112" s="9"/>
      <c r="J112" s="9"/>
      <c r="K112" s="9"/>
      <c r="L112" s="30">
        <f t="shared" ref="L112:Q112" ca="1" si="77">L118</f>
        <v>0</v>
      </c>
      <c r="M112" s="30">
        <f t="shared" ca="1" si="77"/>
        <v>0</v>
      </c>
      <c r="N112" s="30">
        <f t="shared" ca="1" si="77"/>
        <v>0</v>
      </c>
      <c r="O112" s="30">
        <f t="shared" ca="1" si="77"/>
        <v>0</v>
      </c>
      <c r="P112" s="30">
        <f t="shared" ca="1" si="77"/>
        <v>0</v>
      </c>
      <c r="Q112" s="30">
        <f t="shared" ca="1" si="77"/>
        <v>0</v>
      </c>
    </row>
    <row r="113" spans="2:17" s="14" customFormat="1" ht="12.75" customHeight="1">
      <c r="B113" s="9" t="s">
        <v>21</v>
      </c>
      <c r="C113" s="9"/>
      <c r="D113" s="9"/>
      <c r="E113" s="9"/>
      <c r="F113" s="9"/>
      <c r="G113" s="9"/>
      <c r="H113" s="9"/>
      <c r="I113" s="9"/>
      <c r="J113" s="9"/>
      <c r="K113" s="9"/>
      <c r="L113" s="30">
        <f t="shared" ref="L113:Q113" ca="1" si="78">L123</f>
        <v>0</v>
      </c>
      <c r="M113" s="30">
        <f t="shared" ca="1" si="78"/>
        <v>0</v>
      </c>
      <c r="N113" s="30">
        <f t="shared" ca="1" si="78"/>
        <v>0</v>
      </c>
      <c r="O113" s="30">
        <f t="shared" ca="1" si="78"/>
        <v>0</v>
      </c>
      <c r="P113" s="30">
        <f t="shared" ca="1" si="78"/>
        <v>0</v>
      </c>
      <c r="Q113" s="30">
        <f t="shared" ca="1" si="78"/>
        <v>0</v>
      </c>
    </row>
    <row r="114" spans="2:17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</row>
    <row r="115" spans="2:17" ht="16" customHeight="1" thickBot="1">
      <c r="B115" s="269" t="s">
        <v>95</v>
      </c>
      <c r="C115" s="269"/>
      <c r="D115" s="270"/>
      <c r="E115" s="270"/>
      <c r="F115" s="270"/>
      <c r="G115" s="270"/>
      <c r="H115" s="270"/>
      <c r="I115" s="270"/>
      <c r="J115" s="270"/>
      <c r="K115" s="270"/>
      <c r="L115" s="270"/>
      <c r="M115" s="270"/>
      <c r="N115" s="270"/>
      <c r="O115" s="270"/>
      <c r="P115" s="271"/>
      <c r="Q115" s="271"/>
    </row>
    <row r="116" spans="2:17" ht="15" customHeight="1">
      <c r="B116" s="260" t="str">
        <f ca="1">$B$7</f>
        <v>Fiscal Year Ended December 31,</v>
      </c>
      <c r="C116" s="260"/>
      <c r="D116" s="260"/>
      <c r="E116" s="260"/>
      <c r="F116" s="260"/>
      <c r="G116" s="260"/>
      <c r="H116" s="260"/>
      <c r="I116" s="289"/>
      <c r="J116" s="289"/>
      <c r="K116" s="319">
        <f t="shared" ref="K116:Q116" ca="1" si="79">K7</f>
        <v>2018</v>
      </c>
      <c r="L116" s="320">
        <f t="shared" ca="1" si="79"/>
        <v>2019</v>
      </c>
      <c r="M116" s="290">
        <f t="shared" ca="1" si="79"/>
        <v>2020</v>
      </c>
      <c r="N116" s="290">
        <f t="shared" ca="1" si="79"/>
        <v>2021</v>
      </c>
      <c r="O116" s="290">
        <f t="shared" ca="1" si="79"/>
        <v>2022</v>
      </c>
      <c r="P116" s="290">
        <f t="shared" ca="1" si="79"/>
        <v>2023</v>
      </c>
      <c r="Q116" s="290">
        <f t="shared" ca="1" si="79"/>
        <v>2024</v>
      </c>
    </row>
    <row r="117" spans="2:17" s="14" customFormat="1" ht="15" customHeight="1">
      <c r="B117" s="206" t="s">
        <v>133</v>
      </c>
      <c r="C117" s="206"/>
      <c r="D117" s="9"/>
      <c r="E117" s="9"/>
      <c r="F117" s="9"/>
      <c r="G117" s="9"/>
      <c r="H117" s="9"/>
      <c r="I117" s="19"/>
      <c r="J117" s="19"/>
      <c r="K117" s="19"/>
      <c r="L117" s="19"/>
      <c r="M117" s="19"/>
      <c r="N117" s="19"/>
      <c r="O117" s="19"/>
      <c r="P117" s="19"/>
      <c r="Q117" s="19"/>
    </row>
    <row r="118" spans="2:17" s="14" customFormat="1" ht="12.75" customHeight="1">
      <c r="B118" s="9" t="s">
        <v>127</v>
      </c>
      <c r="C118" s="206"/>
      <c r="D118" s="9"/>
      <c r="E118" s="9"/>
      <c r="F118" s="9"/>
      <c r="G118" s="9"/>
      <c r="H118" s="9"/>
      <c r="I118" s="19"/>
      <c r="J118" s="19"/>
      <c r="L118" s="257">
        <f ca="1">K126</f>
        <v>0</v>
      </c>
      <c r="M118" s="257">
        <f ca="1">L123</f>
        <v>0</v>
      </c>
      <c r="N118" s="257">
        <f ca="1">M123</f>
        <v>0</v>
      </c>
      <c r="O118" s="257">
        <f ca="1">N123</f>
        <v>0</v>
      </c>
      <c r="P118" s="257">
        <f ca="1">O123</f>
        <v>0</v>
      </c>
      <c r="Q118" s="257">
        <f ca="1">P123</f>
        <v>0</v>
      </c>
    </row>
    <row r="119" spans="2:17" s="14" customFormat="1" ht="12.75" customHeight="1">
      <c r="B119" s="9" t="s">
        <v>128</v>
      </c>
      <c r="C119" s="206"/>
      <c r="D119" s="9"/>
      <c r="E119" s="9"/>
      <c r="F119" s="9"/>
      <c r="G119" s="9"/>
      <c r="H119" s="9"/>
      <c r="I119" s="19"/>
      <c r="J119" s="19"/>
      <c r="K119" s="324"/>
      <c r="L119" s="22">
        <f t="shared" ref="L119:Q119" ca="1" si="80">L109</f>
        <v>2471</v>
      </c>
      <c r="M119" s="22">
        <f t="shared" ca="1" si="80"/>
        <v>2730.7578079533214</v>
      </c>
      <c r="N119" s="22">
        <f t="shared" ca="1" si="80"/>
        <v>3227.5710623712057</v>
      </c>
      <c r="O119" s="22">
        <f t="shared" ca="1" si="80"/>
        <v>3871.6326287105521</v>
      </c>
      <c r="P119" s="22">
        <f t="shared" ca="1" si="80"/>
        <v>4731.4537387202427</v>
      </c>
      <c r="Q119" s="22">
        <f t="shared" ca="1" si="80"/>
        <v>5805.2233725779324</v>
      </c>
    </row>
    <row r="120" spans="2:17" s="14" customFormat="1" ht="12.75" customHeight="1">
      <c r="B120" s="9" t="s">
        <v>129</v>
      </c>
      <c r="C120" s="206"/>
      <c r="D120" s="9"/>
      <c r="E120" s="9"/>
      <c r="F120" s="9"/>
      <c r="G120" s="9"/>
      <c r="H120" s="9"/>
      <c r="I120" s="19"/>
      <c r="J120" s="19"/>
      <c r="K120" s="324"/>
      <c r="L120" s="22">
        <f t="shared" ref="L120:Q120" ca="1" si="81">L95+L99+SUM(L101:L103)</f>
        <v>259.75780795332162</v>
      </c>
      <c r="M120" s="22">
        <f t="shared" ca="1" si="81"/>
        <v>496.81325441788408</v>
      </c>
      <c r="N120" s="22">
        <f t="shared" ca="1" si="81"/>
        <v>644.0615663393462</v>
      </c>
      <c r="O120" s="22">
        <f t="shared" ca="1" si="81"/>
        <v>859.82111000969053</v>
      </c>
      <c r="P120" s="22">
        <f t="shared" ca="1" si="81"/>
        <v>1073.76963385769</v>
      </c>
      <c r="Q120" s="22">
        <f t="shared" ca="1" si="81"/>
        <v>1307.0680816407996</v>
      </c>
    </row>
    <row r="121" spans="2:17" s="14" customFormat="1" ht="12.75" customHeight="1">
      <c r="B121" s="9" t="s">
        <v>130</v>
      </c>
      <c r="C121" s="206"/>
      <c r="D121" s="9"/>
      <c r="E121" s="9"/>
      <c r="F121" s="9"/>
      <c r="G121" s="9"/>
      <c r="H121" s="9"/>
      <c r="I121" s="19"/>
      <c r="J121" s="19"/>
      <c r="K121" s="324"/>
      <c r="L121" s="22">
        <f ca="1">-F104</f>
        <v>-100</v>
      </c>
      <c r="M121" s="22">
        <f ca="1">L121</f>
        <v>-100</v>
      </c>
      <c r="N121" s="22">
        <f ca="1">M121</f>
        <v>-100</v>
      </c>
      <c r="O121" s="22">
        <f ca="1">N121</f>
        <v>-100</v>
      </c>
      <c r="P121" s="22">
        <f ca="1">O121</f>
        <v>-100</v>
      </c>
      <c r="Q121" s="22">
        <f ca="1">P121</f>
        <v>-100</v>
      </c>
    </row>
    <row r="122" spans="2:17" s="14" customFormat="1" ht="12.75" customHeight="1">
      <c r="B122" s="9" t="s">
        <v>132</v>
      </c>
      <c r="C122" s="206"/>
      <c r="D122" s="9"/>
      <c r="E122" s="9"/>
      <c r="F122" s="9"/>
      <c r="G122" s="9"/>
      <c r="H122" s="9"/>
      <c r="I122" s="19"/>
      <c r="J122" s="19"/>
      <c r="K122" s="324"/>
      <c r="L122" s="22">
        <f t="shared" ref="L122:Q122" ca="1" si="82">-MIN(SUM(L119:L121),L118)</f>
        <v>0</v>
      </c>
      <c r="M122" s="22">
        <f t="shared" ca="1" si="82"/>
        <v>0</v>
      </c>
      <c r="N122" s="22">
        <f t="shared" ca="1" si="82"/>
        <v>0</v>
      </c>
      <c r="O122" s="22">
        <f t="shared" ca="1" si="82"/>
        <v>0</v>
      </c>
      <c r="P122" s="22">
        <f t="shared" ca="1" si="82"/>
        <v>0</v>
      </c>
      <c r="Q122" s="22">
        <f t="shared" ca="1" si="82"/>
        <v>0</v>
      </c>
    </row>
    <row r="123" spans="2:17" s="14" customFormat="1" ht="12.75" customHeight="1">
      <c r="B123" s="9" t="s">
        <v>131</v>
      </c>
      <c r="C123" s="206"/>
      <c r="D123" s="9"/>
      <c r="E123" s="9"/>
      <c r="F123" s="9"/>
      <c r="G123" s="9"/>
      <c r="H123" s="9"/>
      <c r="I123" s="19"/>
      <c r="J123" s="19"/>
      <c r="K123" s="324"/>
      <c r="L123" s="325">
        <f t="shared" ref="L123:Q123" ca="1" si="83">L118+L122</f>
        <v>0</v>
      </c>
      <c r="M123" s="325">
        <f t="shared" ca="1" si="83"/>
        <v>0</v>
      </c>
      <c r="N123" s="325">
        <f t="shared" ca="1" si="83"/>
        <v>0</v>
      </c>
      <c r="O123" s="325">
        <f t="shared" ca="1" si="83"/>
        <v>0</v>
      </c>
      <c r="P123" s="325">
        <f t="shared" ca="1" si="83"/>
        <v>0</v>
      </c>
      <c r="Q123" s="325">
        <f t="shared" ca="1" si="83"/>
        <v>0</v>
      </c>
    </row>
    <row r="124" spans="2:17" s="14" customFormat="1" ht="12.75" customHeight="1">
      <c r="B124" s="9"/>
      <c r="C124" s="206"/>
      <c r="D124" s="9"/>
      <c r="E124" s="9"/>
      <c r="F124" s="9"/>
      <c r="G124" s="9"/>
      <c r="H124" s="9"/>
      <c r="I124" s="19"/>
      <c r="J124" s="19"/>
      <c r="K124" s="324"/>
      <c r="L124" s="15"/>
      <c r="M124" s="15"/>
      <c r="N124" s="15"/>
      <c r="O124" s="15"/>
      <c r="P124" s="15"/>
      <c r="Q124" s="15"/>
    </row>
    <row r="125" spans="2:17" ht="12.75" customHeight="1">
      <c r="B125" s="99" t="s">
        <v>46</v>
      </c>
      <c r="C125" s="99"/>
      <c r="I125" s="102"/>
      <c r="J125" s="102"/>
      <c r="K125" s="326"/>
      <c r="L125" s="272"/>
      <c r="M125" s="272"/>
      <c r="N125" s="272"/>
      <c r="O125" s="272"/>
      <c r="P125" s="272"/>
      <c r="Q125" s="272"/>
    </row>
    <row r="126" spans="2:17" ht="12.75" customHeight="1">
      <c r="B126" s="3" t="s">
        <v>22</v>
      </c>
      <c r="J126" s="315"/>
      <c r="K126" s="137">
        <v>0</v>
      </c>
      <c r="L126" s="30">
        <f t="shared" ref="L126:Q126" ca="1" si="84">L123</f>
        <v>0</v>
      </c>
      <c r="M126" s="30">
        <f t="shared" ca="1" si="84"/>
        <v>0</v>
      </c>
      <c r="N126" s="30">
        <f t="shared" ca="1" si="84"/>
        <v>0</v>
      </c>
      <c r="O126" s="30">
        <f t="shared" ca="1" si="84"/>
        <v>0</v>
      </c>
      <c r="P126" s="30">
        <f t="shared" ca="1" si="84"/>
        <v>0</v>
      </c>
      <c r="Q126" s="30">
        <f t="shared" ca="1" si="84"/>
        <v>0</v>
      </c>
    </row>
    <row r="127" spans="2:17" ht="12.75" customHeight="1">
      <c r="B127" s="1" t="s">
        <v>298</v>
      </c>
      <c r="C127" s="1"/>
      <c r="J127" s="197"/>
      <c r="K127" s="142">
        <v>748</v>
      </c>
      <c r="L127" s="53">
        <f t="shared" ref="L127:Q127" ca="1" si="85">+K127</f>
        <v>748</v>
      </c>
      <c r="M127" s="53">
        <f t="shared" ca="1" si="85"/>
        <v>748</v>
      </c>
      <c r="N127" s="53">
        <f t="shared" ca="1" si="85"/>
        <v>748</v>
      </c>
      <c r="O127" s="53">
        <f t="shared" ca="1" si="85"/>
        <v>748</v>
      </c>
      <c r="P127" s="53">
        <f t="shared" ca="1" si="85"/>
        <v>748</v>
      </c>
      <c r="Q127" s="53">
        <f t="shared" ca="1" si="85"/>
        <v>748</v>
      </c>
    </row>
    <row r="128" spans="2:17" ht="12.75" customHeight="1">
      <c r="B128" s="1" t="s">
        <v>299</v>
      </c>
      <c r="C128" s="1"/>
      <c r="J128" s="197"/>
      <c r="K128" s="142">
        <v>740</v>
      </c>
      <c r="L128" s="53">
        <f t="shared" ref="L128:Q128" ca="1" si="86">+K128</f>
        <v>740</v>
      </c>
      <c r="M128" s="53">
        <f t="shared" ca="1" si="86"/>
        <v>740</v>
      </c>
      <c r="N128" s="53">
        <f t="shared" ca="1" si="86"/>
        <v>740</v>
      </c>
      <c r="O128" s="53">
        <f t="shared" ca="1" si="86"/>
        <v>740</v>
      </c>
      <c r="P128" s="53">
        <f t="shared" ca="1" si="86"/>
        <v>740</v>
      </c>
      <c r="Q128" s="53">
        <f t="shared" ca="1" si="86"/>
        <v>740</v>
      </c>
    </row>
    <row r="129" spans="2:17" ht="12.75" customHeight="1">
      <c r="B129" s="1" t="s">
        <v>300</v>
      </c>
      <c r="C129" s="1"/>
      <c r="J129" s="197"/>
      <c r="K129" s="142">
        <v>496</v>
      </c>
      <c r="L129" s="53">
        <f t="shared" ref="L129:Q129" ca="1" si="87">+K129</f>
        <v>496</v>
      </c>
      <c r="M129" s="53">
        <f t="shared" ca="1" si="87"/>
        <v>496</v>
      </c>
      <c r="N129" s="53">
        <f t="shared" ca="1" si="87"/>
        <v>496</v>
      </c>
      <c r="O129" s="53">
        <f t="shared" ca="1" si="87"/>
        <v>496</v>
      </c>
      <c r="P129" s="53">
        <f t="shared" ca="1" si="87"/>
        <v>496</v>
      </c>
      <c r="Q129" s="53">
        <f t="shared" ca="1" si="87"/>
        <v>496</v>
      </c>
    </row>
    <row r="130" spans="2:17" ht="12.75" customHeight="1">
      <c r="B130" s="1" t="s">
        <v>301</v>
      </c>
      <c r="C130" s="1"/>
      <c r="J130" s="197"/>
      <c r="K130" s="142">
        <v>742</v>
      </c>
      <c r="L130" s="53">
        <f t="shared" ref="L130:Q130" ca="1" si="88">+K130</f>
        <v>742</v>
      </c>
      <c r="M130" s="53">
        <f t="shared" ca="1" si="88"/>
        <v>742</v>
      </c>
      <c r="N130" s="53">
        <f t="shared" ca="1" si="88"/>
        <v>742</v>
      </c>
      <c r="O130" s="53">
        <f t="shared" ca="1" si="88"/>
        <v>742</v>
      </c>
      <c r="P130" s="53">
        <f t="shared" ca="1" si="88"/>
        <v>742</v>
      </c>
      <c r="Q130" s="53">
        <f t="shared" ca="1" si="88"/>
        <v>742</v>
      </c>
    </row>
    <row r="131" spans="2:17" ht="12.75" customHeight="1">
      <c r="B131" s="1" t="s">
        <v>302</v>
      </c>
      <c r="C131" s="1"/>
      <c r="J131" s="197"/>
      <c r="K131" s="142">
        <v>991</v>
      </c>
      <c r="L131" s="53">
        <f t="shared" ref="L131:Q131" ca="1" si="89">+K131</f>
        <v>991</v>
      </c>
      <c r="M131" s="53">
        <f t="shared" ca="1" si="89"/>
        <v>991</v>
      </c>
      <c r="N131" s="53">
        <f t="shared" ca="1" si="89"/>
        <v>991</v>
      </c>
      <c r="O131" s="53">
        <f t="shared" ca="1" si="89"/>
        <v>991</v>
      </c>
      <c r="P131" s="53">
        <f t="shared" ca="1" si="89"/>
        <v>991</v>
      </c>
      <c r="Q131" s="53">
        <f t="shared" ca="1" si="89"/>
        <v>991</v>
      </c>
    </row>
    <row r="132" spans="2:17" ht="12.75" customHeight="1">
      <c r="B132" s="110" t="s">
        <v>23</v>
      </c>
      <c r="C132" s="110"/>
      <c r="J132" s="238"/>
      <c r="K132" s="309">
        <f t="shared" ref="K132:Q132" ca="1" si="90">SUM(K126:K131)</f>
        <v>3717</v>
      </c>
      <c r="L132" s="314">
        <f t="shared" ca="1" si="90"/>
        <v>3717</v>
      </c>
      <c r="M132" s="314">
        <f t="shared" ca="1" si="90"/>
        <v>3717</v>
      </c>
      <c r="N132" s="314">
        <f t="shared" ca="1" si="90"/>
        <v>3717</v>
      </c>
      <c r="O132" s="314">
        <f t="shared" ca="1" si="90"/>
        <v>3717</v>
      </c>
      <c r="P132" s="322">
        <f t="shared" ca="1" si="90"/>
        <v>3717</v>
      </c>
      <c r="Q132" s="322">
        <f t="shared" ca="1" si="90"/>
        <v>3717</v>
      </c>
    </row>
    <row r="133" spans="2:17" ht="12.75" customHeight="1">
      <c r="B133" s="3" t="s">
        <v>6</v>
      </c>
      <c r="J133" s="238"/>
      <c r="K133" s="118">
        <f ca="1">+'Balance Sheet'!I27</f>
        <v>1577</v>
      </c>
      <c r="L133" s="118">
        <v>0</v>
      </c>
      <c r="M133" s="118">
        <v>0</v>
      </c>
      <c r="N133" s="118">
        <v>0</v>
      </c>
      <c r="O133" s="118">
        <v>0</v>
      </c>
      <c r="P133" s="118">
        <v>0</v>
      </c>
      <c r="Q133" s="118">
        <v>0</v>
      </c>
    </row>
    <row r="134" spans="2:17" ht="12.75" customHeight="1">
      <c r="B134" s="3" t="s">
        <v>7</v>
      </c>
      <c r="J134" s="238"/>
      <c r="K134" s="118">
        <v>0</v>
      </c>
      <c r="L134" s="118">
        <v>0</v>
      </c>
      <c r="M134" s="118">
        <v>0</v>
      </c>
      <c r="N134" s="118">
        <v>0</v>
      </c>
      <c r="O134" s="118">
        <v>0</v>
      </c>
      <c r="P134" s="118">
        <v>0</v>
      </c>
      <c r="Q134" s="118">
        <v>0</v>
      </c>
    </row>
    <row r="135" spans="2:17" ht="12.75" customHeight="1">
      <c r="B135" s="3" t="s">
        <v>49</v>
      </c>
      <c r="J135" s="238"/>
      <c r="K135" s="203">
        <f t="shared" ref="K135:Q135" ca="1" si="91">+K82</f>
        <v>4104</v>
      </c>
      <c r="L135" s="203">
        <f t="shared" ca="1" si="91"/>
        <v>3777.6151964143783</v>
      </c>
      <c r="M135" s="203">
        <f t="shared" ca="1" si="91"/>
        <v>3559.6545683818968</v>
      </c>
      <c r="N135" s="203">
        <f t="shared" ca="1" si="91"/>
        <v>3453.5583849173017</v>
      </c>
      <c r="O135" s="203">
        <f t="shared" ca="1" si="91"/>
        <v>3472.5599278982695</v>
      </c>
      <c r="P135" s="203">
        <f t="shared" ca="1" si="91"/>
        <v>3627.6240400874954</v>
      </c>
      <c r="Q135" s="203">
        <f t="shared" ca="1" si="91"/>
        <v>3930.8859918035246</v>
      </c>
    </row>
    <row r="136" spans="2:17" ht="12.75" customHeight="1">
      <c r="B136" s="110" t="s">
        <v>24</v>
      </c>
      <c r="C136" s="110"/>
      <c r="J136" s="228"/>
      <c r="K136" s="309">
        <f t="shared" ref="K136:Q136" ca="1" si="92">SUM(K132:K135)</f>
        <v>9398</v>
      </c>
      <c r="L136" s="314">
        <f t="shared" ca="1" si="92"/>
        <v>7494.6151964143783</v>
      </c>
      <c r="M136" s="314">
        <f t="shared" ca="1" si="92"/>
        <v>7276.6545683818968</v>
      </c>
      <c r="N136" s="314">
        <f t="shared" ca="1" si="92"/>
        <v>7170.5583849173017</v>
      </c>
      <c r="O136" s="314">
        <f t="shared" ca="1" si="92"/>
        <v>7189.55992789827</v>
      </c>
      <c r="P136" s="322">
        <f t="shared" ca="1" si="92"/>
        <v>7344.6240400874958</v>
      </c>
      <c r="Q136" s="322">
        <f t="shared" ca="1" si="92"/>
        <v>7647.885991803525</v>
      </c>
    </row>
    <row r="137" spans="2:17" ht="12.75" customHeight="1">
      <c r="B137" s="110"/>
      <c r="C137" s="110"/>
      <c r="J137" s="228"/>
      <c r="K137" s="53"/>
      <c r="L137" s="53"/>
      <c r="M137" s="53"/>
      <c r="N137" s="53"/>
      <c r="O137" s="53"/>
      <c r="P137" s="53"/>
      <c r="Q137" s="53"/>
    </row>
    <row r="138" spans="2:17" ht="12.75" customHeight="1">
      <c r="B138" s="99" t="s">
        <v>25</v>
      </c>
      <c r="C138" s="99"/>
      <c r="K138" s="118"/>
      <c r="L138" s="118"/>
      <c r="M138" s="118"/>
      <c r="N138" s="118"/>
      <c r="O138" s="118"/>
      <c r="P138" s="118"/>
      <c r="Q138" s="118"/>
    </row>
    <row r="139" spans="2:17" ht="12.75" customHeight="1">
      <c r="B139" s="3" t="str">
        <f ca="1">+B127</f>
        <v>2020 Senior Notes</v>
      </c>
      <c r="F139"/>
      <c r="K139" s="118"/>
      <c r="L139" s="152">
        <v>0</v>
      </c>
      <c r="M139" s="152">
        <v>0</v>
      </c>
      <c r="N139" s="152">
        <v>0</v>
      </c>
      <c r="O139" s="152">
        <v>0</v>
      </c>
      <c r="P139" s="152">
        <v>0</v>
      </c>
      <c r="Q139" s="152">
        <v>0</v>
      </c>
    </row>
    <row r="140" spans="2:17" ht="12.75" customHeight="1">
      <c r="B140" s="3" t="str">
        <f ca="1">+B128</f>
        <v>2022 Senior Notes</v>
      </c>
      <c r="F140"/>
      <c r="K140" s="118"/>
      <c r="L140" s="152">
        <v>0</v>
      </c>
      <c r="M140" s="152">
        <v>0</v>
      </c>
      <c r="N140" s="152">
        <v>0</v>
      </c>
      <c r="O140" s="152">
        <v>0</v>
      </c>
      <c r="P140" s="152">
        <v>0</v>
      </c>
      <c r="Q140" s="152">
        <v>0</v>
      </c>
    </row>
    <row r="141" spans="2:17" ht="12.75" customHeight="1">
      <c r="B141" s="3" t="str">
        <f ca="1">+B129</f>
        <v>2024 Senior Notes</v>
      </c>
      <c r="F141"/>
      <c r="K141" s="118"/>
      <c r="L141" s="152">
        <v>0</v>
      </c>
      <c r="M141" s="152">
        <v>0</v>
      </c>
      <c r="N141" s="152">
        <v>0</v>
      </c>
      <c r="O141" s="152">
        <v>0</v>
      </c>
      <c r="P141" s="152">
        <v>0</v>
      </c>
      <c r="Q141" s="152">
        <v>0</v>
      </c>
    </row>
    <row r="142" spans="2:17" ht="12.75" customHeight="1">
      <c r="B142" s="3" t="str">
        <f ca="1">+B130</f>
        <v>2026 Senior Notes</v>
      </c>
      <c r="F142"/>
      <c r="K142" s="118"/>
      <c r="L142" s="152">
        <v>0</v>
      </c>
      <c r="M142" s="152">
        <v>0</v>
      </c>
      <c r="N142" s="152">
        <v>0</v>
      </c>
      <c r="O142" s="152">
        <v>0</v>
      </c>
      <c r="P142" s="152">
        <v>0</v>
      </c>
      <c r="Q142" s="152">
        <v>0</v>
      </c>
    </row>
    <row r="143" spans="2:17" ht="12.75" customHeight="1">
      <c r="B143" s="3" t="str">
        <f ca="1">+B131</f>
        <v>2028 Senior Notes</v>
      </c>
      <c r="F143"/>
      <c r="K143" s="118"/>
      <c r="L143" s="152">
        <v>0</v>
      </c>
      <c r="M143" s="152">
        <v>0</v>
      </c>
      <c r="N143" s="152">
        <v>0</v>
      </c>
      <c r="O143" s="152">
        <v>0</v>
      </c>
      <c r="P143" s="152">
        <v>0</v>
      </c>
      <c r="Q143" s="152">
        <v>0</v>
      </c>
    </row>
    <row r="144" spans="2:17" ht="12.75" customHeight="1">
      <c r="B144" s="110" t="s">
        <v>26</v>
      </c>
      <c r="C144" s="110"/>
      <c r="K144" s="53"/>
      <c r="L144" s="314">
        <f t="shared" ref="L144:Q144" ca="1" si="93">SUM(L139:L143)</f>
        <v>0</v>
      </c>
      <c r="M144" s="314">
        <f t="shared" ca="1" si="93"/>
        <v>0</v>
      </c>
      <c r="N144" s="314">
        <f t="shared" ca="1" si="93"/>
        <v>0</v>
      </c>
      <c r="O144" s="314">
        <f t="shared" ca="1" si="93"/>
        <v>0</v>
      </c>
      <c r="P144" s="314">
        <f t="shared" ca="1" si="93"/>
        <v>0</v>
      </c>
      <c r="Q144" s="314">
        <f t="shared" ca="1" si="93"/>
        <v>0</v>
      </c>
    </row>
    <row r="145" spans="2:17" ht="12.75" customHeight="1">
      <c r="B145" s="110"/>
      <c r="C145" s="110"/>
      <c r="K145" s="118"/>
      <c r="L145" s="53"/>
      <c r="M145" s="53"/>
      <c r="N145" s="53"/>
      <c r="O145" s="53"/>
      <c r="P145" s="53"/>
      <c r="Q145" s="53"/>
    </row>
    <row r="146" spans="2:17" ht="12.75" customHeight="1">
      <c r="B146" s="99" t="s">
        <v>37</v>
      </c>
      <c r="C146" s="99"/>
      <c r="E146" s="102"/>
      <c r="F146" s="4"/>
      <c r="G146" s="4"/>
      <c r="H146" s="4"/>
      <c r="K146" s="118"/>
      <c r="L146" s="118"/>
      <c r="M146" s="118"/>
      <c r="N146" s="118"/>
      <c r="O146" s="118"/>
      <c r="P146" s="118"/>
      <c r="Q146" s="118"/>
    </row>
    <row r="147" spans="2:17" ht="12.75" customHeight="1">
      <c r="B147" s="3" t="str">
        <f ca="1">B126</f>
        <v>Revolver</v>
      </c>
      <c r="E147" s="267"/>
      <c r="F147" s="288" t="s">
        <v>142</v>
      </c>
      <c r="G147" s="4"/>
      <c r="H147" s="4"/>
      <c r="K147" s="118"/>
      <c r="L147" s="118">
        <f t="shared" ref="L147:Q147" ca="1" si="94">AVERAGE(K126:L126)*L168</f>
        <v>0</v>
      </c>
      <c r="M147" s="118">
        <f t="shared" ca="1" si="94"/>
        <v>0</v>
      </c>
      <c r="N147" s="118">
        <f t="shared" ca="1" si="94"/>
        <v>0</v>
      </c>
      <c r="O147" s="118">
        <f t="shared" ca="1" si="94"/>
        <v>0</v>
      </c>
      <c r="P147" s="118">
        <f t="shared" ca="1" si="94"/>
        <v>0</v>
      </c>
      <c r="Q147" s="118">
        <f t="shared" ca="1" si="94"/>
        <v>0</v>
      </c>
    </row>
    <row r="148" spans="2:17" ht="12.75" customHeight="1">
      <c r="B148" s="3" t="s">
        <v>170</v>
      </c>
      <c r="E148" s="267"/>
      <c r="F148" s="327">
        <v>2000</v>
      </c>
      <c r="G148" s="4"/>
      <c r="H148" s="4"/>
      <c r="K148" s="118"/>
      <c r="L148" s="53">
        <f t="shared" ref="L148:Q148" ca="1" si="95">($F148-AVERAGE(K126:L126))*L169</f>
        <v>0.35</v>
      </c>
      <c r="M148" s="53">
        <f t="shared" ca="1" si="95"/>
        <v>0.35</v>
      </c>
      <c r="N148" s="53">
        <f t="shared" ca="1" si="95"/>
        <v>0.35</v>
      </c>
      <c r="O148" s="53">
        <f t="shared" ca="1" si="95"/>
        <v>0.35</v>
      </c>
      <c r="P148" s="53">
        <f t="shared" ca="1" si="95"/>
        <v>0.35</v>
      </c>
      <c r="Q148" s="53">
        <f t="shared" ca="1" si="95"/>
        <v>0.35</v>
      </c>
    </row>
    <row r="149" spans="2:17" ht="12.75" customHeight="1">
      <c r="B149" s="3" t="str">
        <f ca="1">+B170</f>
        <v>2020 Senior Notes</v>
      </c>
      <c r="E149" s="267"/>
      <c r="F149" s="328"/>
      <c r="G149" s="4"/>
      <c r="H149" s="4"/>
      <c r="K149" s="118"/>
      <c r="L149" s="53">
        <f t="shared" ref="L149:Q149" ca="1" si="96">+AVERAGE(K127:L127)*L170</f>
        <v>44.506</v>
      </c>
      <c r="M149" s="53">
        <f t="shared" ca="1" si="96"/>
        <v>44.506</v>
      </c>
      <c r="N149" s="53">
        <f t="shared" ca="1" si="96"/>
        <v>44.506</v>
      </c>
      <c r="O149" s="53">
        <f t="shared" ca="1" si="96"/>
        <v>44.506</v>
      </c>
      <c r="P149" s="53">
        <f t="shared" ca="1" si="96"/>
        <v>44.506</v>
      </c>
      <c r="Q149" s="53">
        <f t="shared" ca="1" si="96"/>
        <v>44.506</v>
      </c>
    </row>
    <row r="150" spans="2:17" ht="12.75" customHeight="1">
      <c r="B150" s="3" t="str">
        <f ca="1">+B171</f>
        <v>2022 Senior Notes</v>
      </c>
      <c r="E150" s="267"/>
      <c r="F150" s="261"/>
      <c r="G150" s="4"/>
      <c r="H150" s="4"/>
      <c r="K150" s="118"/>
      <c r="L150" s="53">
        <f t="shared" ref="L150:Q150" ca="1" si="97">+AVERAGE(K128:L128)*L171</f>
        <v>18.5</v>
      </c>
      <c r="M150" s="53">
        <f t="shared" ca="1" si="97"/>
        <v>18.5</v>
      </c>
      <c r="N150" s="53">
        <f t="shared" ca="1" si="97"/>
        <v>18.5</v>
      </c>
      <c r="O150" s="53">
        <f t="shared" ca="1" si="97"/>
        <v>18.5</v>
      </c>
      <c r="P150" s="53">
        <f t="shared" ca="1" si="97"/>
        <v>18.5</v>
      </c>
      <c r="Q150" s="53">
        <f t="shared" ca="1" si="97"/>
        <v>18.5</v>
      </c>
    </row>
    <row r="151" spans="2:17" ht="12.75" customHeight="1">
      <c r="B151" s="3" t="str">
        <f ca="1">+B172</f>
        <v>2024 Senior Notes</v>
      </c>
      <c r="E151" s="267"/>
      <c r="F151" s="424"/>
      <c r="G151" s="4"/>
      <c r="H151" s="4"/>
      <c r="K151" s="118"/>
      <c r="L151" s="53">
        <f t="shared" ref="L151:Q151" ca="1" si="98">+AVERAGE(K129:L129)*L172</f>
        <v>22.32</v>
      </c>
      <c r="M151" s="53">
        <f t="shared" ca="1" si="98"/>
        <v>22.32</v>
      </c>
      <c r="N151" s="53">
        <f t="shared" ca="1" si="98"/>
        <v>22.32</v>
      </c>
      <c r="O151" s="53">
        <f t="shared" ca="1" si="98"/>
        <v>22.32</v>
      </c>
      <c r="P151" s="53">
        <f t="shared" ca="1" si="98"/>
        <v>22.32</v>
      </c>
      <c r="Q151" s="53">
        <f t="shared" ca="1" si="98"/>
        <v>22.32</v>
      </c>
    </row>
    <row r="152" spans="2:17" ht="12.75" customHeight="1">
      <c r="B152" s="3" t="str">
        <f ca="1">+B173</f>
        <v>2026 Senior Notes</v>
      </c>
      <c r="E152" s="267"/>
      <c r="F152" s="424"/>
      <c r="G152" s="4"/>
      <c r="H152" s="4"/>
      <c r="K152" s="118"/>
      <c r="L152" s="53">
        <f t="shared" ref="L152:Q152" ca="1" si="99">+AVERAGE(K130:L130)*L173</f>
        <v>37.1</v>
      </c>
      <c r="M152" s="53">
        <f t="shared" ca="1" si="99"/>
        <v>37.1</v>
      </c>
      <c r="N152" s="53">
        <f t="shared" ca="1" si="99"/>
        <v>37.1</v>
      </c>
      <c r="O152" s="53">
        <f t="shared" ca="1" si="99"/>
        <v>37.1</v>
      </c>
      <c r="P152" s="53">
        <f t="shared" ca="1" si="99"/>
        <v>37.1</v>
      </c>
      <c r="Q152" s="53">
        <f t="shared" ca="1" si="99"/>
        <v>37.1</v>
      </c>
    </row>
    <row r="153" spans="2:17" ht="12.75" customHeight="1">
      <c r="B153" s="3" t="str">
        <f ca="1">+B174</f>
        <v>2028 Senior Notes</v>
      </c>
      <c r="E153" s="267"/>
      <c r="F153" s="424"/>
      <c r="G153" s="4"/>
      <c r="H153" s="4"/>
      <c r="K153" s="118"/>
      <c r="L153" s="53">
        <f t="shared" ref="L153:Q153" ca="1" si="100">+AVERAGE(K131:L131)*L174</f>
        <v>37.658000000000001</v>
      </c>
      <c r="M153" s="53">
        <f t="shared" ca="1" si="100"/>
        <v>37.658000000000001</v>
      </c>
      <c r="N153" s="53">
        <f t="shared" ca="1" si="100"/>
        <v>37.658000000000001</v>
      </c>
      <c r="O153" s="53">
        <f t="shared" ca="1" si="100"/>
        <v>37.658000000000001</v>
      </c>
      <c r="P153" s="53">
        <f t="shared" ca="1" si="100"/>
        <v>37.658000000000001</v>
      </c>
      <c r="Q153" s="53">
        <f t="shared" ca="1" si="100"/>
        <v>37.658000000000001</v>
      </c>
    </row>
    <row r="154" spans="2:17" ht="12.75" customHeight="1">
      <c r="B154" s="110" t="s">
        <v>27</v>
      </c>
      <c r="C154" s="110"/>
      <c r="E154" s="267"/>
      <c r="F154" s="4"/>
      <c r="G154" s="4"/>
      <c r="H154" s="4"/>
      <c r="K154" s="118"/>
      <c r="L154" s="329">
        <f t="shared" ref="L154:Q154" ca="1" si="101">SUM(L147:L151)</f>
        <v>85.676000000000002</v>
      </c>
      <c r="M154" s="330">
        <f t="shared" ca="1" si="101"/>
        <v>85.676000000000002</v>
      </c>
      <c r="N154" s="330">
        <f t="shared" ca="1" si="101"/>
        <v>85.676000000000002</v>
      </c>
      <c r="O154" s="330">
        <f t="shared" ca="1" si="101"/>
        <v>85.676000000000002</v>
      </c>
      <c r="P154" s="331">
        <f t="shared" ca="1" si="101"/>
        <v>85.676000000000002</v>
      </c>
      <c r="Q154" s="331">
        <f t="shared" ca="1" si="101"/>
        <v>85.676000000000002</v>
      </c>
    </row>
    <row r="155" spans="2:17" ht="12.75" customHeight="1">
      <c r="B155" s="3" t="s">
        <v>134</v>
      </c>
      <c r="E155" s="267"/>
      <c r="F155" s="332"/>
      <c r="G155" s="4"/>
      <c r="H155" s="4"/>
      <c r="K155" s="118"/>
      <c r="L155" s="203">
        <f t="shared" ref="L155:Q155" ca="1" si="102">-AVERAGE(K61:L61)*L175</f>
        <v>-13.004394519883304</v>
      </c>
      <c r="M155" s="203">
        <f t="shared" ca="1" si="102"/>
        <v>-14.895822175811318</v>
      </c>
      <c r="N155" s="203">
        <f t="shared" ca="1" si="102"/>
        <v>-17.748009227704394</v>
      </c>
      <c r="O155" s="203">
        <f t="shared" ca="1" si="102"/>
        <v>-21.507715918576988</v>
      </c>
      <c r="P155" s="203">
        <f t="shared" ca="1" si="102"/>
        <v>-26.341692778245438</v>
      </c>
      <c r="Q155" s="203">
        <f t="shared" ca="1" si="102"/>
        <v>-32.293787066991662</v>
      </c>
    </row>
    <row r="156" spans="2:17" ht="12.75" customHeight="1">
      <c r="B156" s="110" t="s">
        <v>13</v>
      </c>
      <c r="C156" s="110"/>
      <c r="E156" s="4"/>
      <c r="F156" s="4"/>
      <c r="G156" s="4"/>
      <c r="H156" s="4"/>
      <c r="K156" s="118"/>
      <c r="L156" s="329">
        <f t="shared" ref="L156:Q156" ca="1" si="103">SUM(L154:L155)</f>
        <v>72.671605480116696</v>
      </c>
      <c r="M156" s="329">
        <f t="shared" ca="1" si="103"/>
        <v>70.780177824188684</v>
      </c>
      <c r="N156" s="329">
        <f t="shared" ca="1" si="103"/>
        <v>67.927990772295601</v>
      </c>
      <c r="O156" s="329">
        <f t="shared" ca="1" si="103"/>
        <v>64.16828408142301</v>
      </c>
      <c r="P156" s="329">
        <f t="shared" ca="1" si="103"/>
        <v>59.334307221754564</v>
      </c>
      <c r="Q156" s="329">
        <f t="shared" ca="1" si="103"/>
        <v>53.38221293300834</v>
      </c>
    </row>
    <row r="157" spans="2:17" ht="12.75" customHeight="1">
      <c r="L157" s="223"/>
      <c r="M157" s="223"/>
      <c r="N157" s="223"/>
      <c r="O157" s="223"/>
      <c r="P157" s="223"/>
      <c r="Q157" s="223"/>
    </row>
    <row r="158" spans="2:17" ht="16" customHeight="1" thickBot="1">
      <c r="B158" s="269" t="s">
        <v>185</v>
      </c>
      <c r="C158" s="269"/>
      <c r="D158" s="270"/>
      <c r="E158" s="270"/>
      <c r="F158" s="270"/>
      <c r="G158" s="270"/>
      <c r="H158" s="270"/>
      <c r="I158" s="270"/>
      <c r="J158" s="270"/>
      <c r="K158" s="270"/>
      <c r="L158" s="270"/>
      <c r="M158" s="270"/>
      <c r="N158" s="270"/>
      <c r="O158" s="270"/>
      <c r="P158" s="271"/>
      <c r="Q158" s="271"/>
    </row>
    <row r="159" spans="2:17" ht="15" customHeight="1">
      <c r="B159" s="260" t="str">
        <f ca="1">+B7</f>
        <v>Fiscal Year Ended December 31,</v>
      </c>
      <c r="C159" s="260"/>
      <c r="D159" s="260"/>
      <c r="E159" s="260"/>
      <c r="F159" s="260"/>
      <c r="G159" s="260"/>
      <c r="H159" s="260"/>
      <c r="I159" s="289"/>
      <c r="J159" s="289"/>
      <c r="K159" s="319"/>
      <c r="L159" s="320">
        <f t="shared" ref="L159:Q159" ca="1" si="104">L7</f>
        <v>2019</v>
      </c>
      <c r="M159" s="290">
        <f t="shared" ca="1" si="104"/>
        <v>2020</v>
      </c>
      <c r="N159" s="290">
        <f t="shared" ca="1" si="104"/>
        <v>2021</v>
      </c>
      <c r="O159" s="290">
        <f t="shared" ca="1" si="104"/>
        <v>2022</v>
      </c>
      <c r="P159" s="290">
        <f t="shared" ca="1" si="104"/>
        <v>2023</v>
      </c>
      <c r="Q159" s="290">
        <f t="shared" ca="1" si="104"/>
        <v>2024</v>
      </c>
    </row>
    <row r="160" spans="2:17" ht="15" customHeight="1">
      <c r="B160" s="99" t="s">
        <v>171</v>
      </c>
      <c r="J160" s="151"/>
      <c r="K160" s="151"/>
      <c r="L160" s="151"/>
      <c r="M160" s="151"/>
      <c r="N160" s="151"/>
      <c r="O160" s="151"/>
      <c r="P160" s="151"/>
      <c r="Q160" s="151"/>
    </row>
    <row r="161" spans="2:17" ht="12.75" customHeight="1">
      <c r="B161" s="3" t="s">
        <v>172</v>
      </c>
      <c r="J161" s="151"/>
      <c r="K161" s="151"/>
      <c r="L161" s="268">
        <v>240</v>
      </c>
      <c r="M161" s="268">
        <f ca="1">L163</f>
        <v>250</v>
      </c>
      <c r="N161" s="268">
        <f ca="1">M163</f>
        <v>255</v>
      </c>
      <c r="O161" s="268">
        <f ca="1">N163</f>
        <v>260</v>
      </c>
      <c r="P161" s="268">
        <f ca="1">O163</f>
        <v>265</v>
      </c>
      <c r="Q161" s="268">
        <f ca="1">P163</f>
        <v>270</v>
      </c>
    </row>
    <row r="162" spans="2:17" ht="12.75" customHeight="1">
      <c r="B162" s="3" t="s">
        <v>173</v>
      </c>
      <c r="J162" s="151"/>
      <c r="K162" s="151"/>
      <c r="L162" s="268">
        <f t="shared" ref="L162:Q162" ca="1" si="105">AVERAGE(L163,L161)</f>
        <v>245</v>
      </c>
      <c r="M162" s="268">
        <f t="shared" ca="1" si="105"/>
        <v>252.5</v>
      </c>
      <c r="N162" s="268">
        <f t="shared" ca="1" si="105"/>
        <v>257.5</v>
      </c>
      <c r="O162" s="268">
        <f t="shared" ca="1" si="105"/>
        <v>262.5</v>
      </c>
      <c r="P162" s="268">
        <f t="shared" ca="1" si="105"/>
        <v>267.5</v>
      </c>
      <c r="Q162" s="268">
        <f t="shared" ca="1" si="105"/>
        <v>272.5</v>
      </c>
    </row>
    <row r="163" spans="2:17" ht="12.75" customHeight="1">
      <c r="B163" s="3" t="s">
        <v>174</v>
      </c>
      <c r="J163" s="151"/>
      <c r="K163" s="151"/>
      <c r="L163" s="268">
        <v>250</v>
      </c>
      <c r="M163" s="268">
        <f ca="1">L163+5</f>
        <v>255</v>
      </c>
      <c r="N163" s="268">
        <f ca="1">M163+5</f>
        <v>260</v>
      </c>
      <c r="O163" s="268">
        <f ca="1">N163+5</f>
        <v>265</v>
      </c>
      <c r="P163" s="268">
        <f ca="1">O163+5</f>
        <v>270</v>
      </c>
      <c r="Q163" s="268">
        <f ca="1">P163+5</f>
        <v>275</v>
      </c>
    </row>
    <row r="164" spans="2:17" ht="12.75" customHeight="1">
      <c r="B164" s="110" t="s">
        <v>175</v>
      </c>
      <c r="J164" s="151"/>
      <c r="K164" s="151"/>
      <c r="L164" s="333">
        <f t="shared" ref="L164:Q164" ca="1" si="106">AVERAGE(L161:L163)</f>
        <v>245</v>
      </c>
      <c r="M164" s="334">
        <f t="shared" ca="1" si="106"/>
        <v>252.5</v>
      </c>
      <c r="N164" s="334">
        <f t="shared" ca="1" si="106"/>
        <v>257.5</v>
      </c>
      <c r="O164" s="334">
        <f t="shared" ca="1" si="106"/>
        <v>262.5</v>
      </c>
      <c r="P164" s="334">
        <f t="shared" ca="1" si="106"/>
        <v>267.5</v>
      </c>
      <c r="Q164" s="335">
        <f t="shared" ca="1" si="106"/>
        <v>272.5</v>
      </c>
    </row>
    <row r="165" spans="2:17" ht="12.75" customHeight="1">
      <c r="B165" s="110"/>
      <c r="J165" s="151"/>
      <c r="K165" s="151"/>
      <c r="L165" s="151"/>
      <c r="M165" s="151"/>
      <c r="N165" s="151"/>
      <c r="O165" s="151"/>
      <c r="P165" s="151"/>
      <c r="Q165" s="151"/>
    </row>
    <row r="166" spans="2:17" ht="12.75" customHeight="1">
      <c r="B166" s="110"/>
      <c r="E166" s="102" t="s">
        <v>183</v>
      </c>
      <c r="G166" s="240" t="s">
        <v>177</v>
      </c>
      <c r="H166" s="240"/>
      <c r="J166" s="151"/>
      <c r="K166" s="151"/>
      <c r="L166" s="151"/>
      <c r="M166" s="151"/>
      <c r="N166" s="151"/>
      <c r="O166" s="151"/>
      <c r="P166" s="151"/>
      <c r="Q166" s="151"/>
    </row>
    <row r="167" spans="2:17" ht="12.75" customHeight="1">
      <c r="B167" s="243" t="s">
        <v>176</v>
      </c>
      <c r="E167" s="102" t="s">
        <v>180</v>
      </c>
      <c r="F167" s="65" t="s">
        <v>184</v>
      </c>
      <c r="G167" s="65" t="s">
        <v>178</v>
      </c>
      <c r="H167" s="65" t="s">
        <v>179</v>
      </c>
      <c r="J167" s="151"/>
      <c r="K167" s="151"/>
      <c r="L167" s="151"/>
      <c r="M167" s="151"/>
      <c r="N167" s="151"/>
      <c r="O167" s="151"/>
      <c r="P167" s="151"/>
      <c r="Q167" s="151"/>
    </row>
    <row r="168" spans="2:17" ht="12.75" customHeight="1">
      <c r="B168" s="117" t="str">
        <f ca="1">+B147</f>
        <v>Revolver</v>
      </c>
      <c r="E168" s="336" t="s">
        <v>181</v>
      </c>
      <c r="F168" s="337">
        <v>0</v>
      </c>
      <c r="G168" s="338">
        <v>125</v>
      </c>
      <c r="H168" s="339">
        <v>0.02</v>
      </c>
      <c r="J168" s="151"/>
      <c r="K168" s="151"/>
      <c r="L168" s="302">
        <f t="shared" ref="L168:Q175" ca="1" si="107">IF($E168="F",$F168,(MAX(L$164,$H168)+$G168)/10000)</f>
        <v>3.6999999999999998E-2</v>
      </c>
      <c r="M168" s="302">
        <f t="shared" ca="1" si="107"/>
        <v>3.7749999999999999E-2</v>
      </c>
      <c r="N168" s="302">
        <f t="shared" ca="1" si="107"/>
        <v>3.8249999999999999E-2</v>
      </c>
      <c r="O168" s="302">
        <f t="shared" ca="1" si="107"/>
        <v>3.875E-2</v>
      </c>
      <c r="P168" s="302">
        <f t="shared" ca="1" si="107"/>
        <v>3.925E-2</v>
      </c>
      <c r="Q168" s="302">
        <f t="shared" ca="1" si="107"/>
        <v>3.9750000000000001E-2</v>
      </c>
    </row>
    <row r="169" spans="2:17" ht="12.75" customHeight="1">
      <c r="B169" s="117" t="str">
        <f ca="1">+B148</f>
        <v>Undrawn Revolver Fee</v>
      </c>
      <c r="E169" s="266" t="s">
        <v>182</v>
      </c>
      <c r="F169" s="267">
        <v>1.75E-4</v>
      </c>
      <c r="G169" s="268">
        <v>17.5</v>
      </c>
      <c r="H169" s="268">
        <v>0.02</v>
      </c>
      <c r="J169" s="151"/>
      <c r="K169" s="151"/>
      <c r="L169" s="302">
        <f t="shared" ca="1" si="107"/>
        <v>1.75E-4</v>
      </c>
      <c r="M169" s="302">
        <f t="shared" ca="1" si="107"/>
        <v>1.75E-4</v>
      </c>
      <c r="N169" s="302">
        <f t="shared" ca="1" si="107"/>
        <v>1.75E-4</v>
      </c>
      <c r="O169" s="302">
        <f t="shared" ca="1" si="107"/>
        <v>1.75E-4</v>
      </c>
      <c r="P169" s="302">
        <f t="shared" ca="1" si="107"/>
        <v>1.75E-4</v>
      </c>
      <c r="Q169" s="302">
        <f t="shared" ca="1" si="107"/>
        <v>1.75E-4</v>
      </c>
    </row>
    <row r="170" spans="2:17" ht="12.75" customHeight="1">
      <c r="B170" s="117" t="str">
        <f ca="1">+B127</f>
        <v>2020 Senior Notes</v>
      </c>
      <c r="E170" s="266" t="s">
        <v>182</v>
      </c>
      <c r="F170" s="267">
        <v>5.9499999999999997E-2</v>
      </c>
      <c r="G170" s="268">
        <v>0</v>
      </c>
      <c r="H170" s="268">
        <v>0</v>
      </c>
      <c r="J170" s="151"/>
      <c r="K170" s="151"/>
      <c r="L170" s="302">
        <f t="shared" ca="1" si="107"/>
        <v>5.9499999999999997E-2</v>
      </c>
      <c r="M170" s="302">
        <f t="shared" ca="1" si="107"/>
        <v>5.9499999999999997E-2</v>
      </c>
      <c r="N170" s="302">
        <f t="shared" ca="1" si="107"/>
        <v>5.9499999999999997E-2</v>
      </c>
      <c r="O170" s="302">
        <f t="shared" ca="1" si="107"/>
        <v>5.9499999999999997E-2</v>
      </c>
      <c r="P170" s="302">
        <f t="shared" ca="1" si="107"/>
        <v>5.9499999999999997E-2</v>
      </c>
      <c r="Q170" s="302">
        <f t="shared" ca="1" si="107"/>
        <v>5.9499999999999997E-2</v>
      </c>
    </row>
    <row r="171" spans="2:17" ht="12.75" customHeight="1">
      <c r="B171" s="117" t="str">
        <f ca="1">+B128</f>
        <v>2022 Senior Notes</v>
      </c>
      <c r="E171" s="266" t="s">
        <v>182</v>
      </c>
      <c r="F171" s="267">
        <v>2.5000000000000001E-2</v>
      </c>
      <c r="G171" s="268">
        <v>0</v>
      </c>
      <c r="H171" s="268">
        <v>0</v>
      </c>
      <c r="J171" s="151"/>
      <c r="K171" s="151"/>
      <c r="L171" s="302">
        <f t="shared" ca="1" si="107"/>
        <v>2.5000000000000001E-2</v>
      </c>
      <c r="M171" s="302">
        <f t="shared" ca="1" si="107"/>
        <v>2.5000000000000001E-2</v>
      </c>
      <c r="N171" s="302">
        <f t="shared" ca="1" si="107"/>
        <v>2.5000000000000001E-2</v>
      </c>
      <c r="O171" s="302">
        <f t="shared" ca="1" si="107"/>
        <v>2.5000000000000001E-2</v>
      </c>
      <c r="P171" s="302">
        <f t="shared" ca="1" si="107"/>
        <v>2.5000000000000001E-2</v>
      </c>
      <c r="Q171" s="302">
        <f t="shared" ca="1" si="107"/>
        <v>2.5000000000000001E-2</v>
      </c>
    </row>
    <row r="172" spans="2:17" ht="12.75" customHeight="1">
      <c r="B172" s="117" t="str">
        <f ca="1">+B129</f>
        <v>2024 Senior Notes</v>
      </c>
      <c r="E172" s="266" t="s">
        <v>182</v>
      </c>
      <c r="F172" s="267">
        <v>4.4999999999999998E-2</v>
      </c>
      <c r="G172" s="268">
        <v>0</v>
      </c>
      <c r="H172" s="268">
        <v>0</v>
      </c>
      <c r="J172" s="151"/>
      <c r="K172" s="151"/>
      <c r="L172" s="302">
        <f t="shared" ca="1" si="107"/>
        <v>4.4999999999999998E-2</v>
      </c>
      <c r="M172" s="302">
        <f t="shared" ca="1" si="107"/>
        <v>4.4999999999999998E-2</v>
      </c>
      <c r="N172" s="302">
        <f t="shared" ca="1" si="107"/>
        <v>4.4999999999999998E-2</v>
      </c>
      <c r="O172" s="302">
        <f t="shared" ca="1" si="107"/>
        <v>4.4999999999999998E-2</v>
      </c>
      <c r="P172" s="302">
        <f t="shared" ca="1" si="107"/>
        <v>4.4999999999999998E-2</v>
      </c>
      <c r="Q172" s="302">
        <f t="shared" ca="1" si="107"/>
        <v>4.4999999999999998E-2</v>
      </c>
    </row>
    <row r="173" spans="2:17" ht="12.75" customHeight="1">
      <c r="B173" s="117" t="str">
        <f ca="1">+B130</f>
        <v>2026 Senior Notes</v>
      </c>
      <c r="E173" s="266" t="s">
        <v>182</v>
      </c>
      <c r="F173" s="267">
        <v>0.05</v>
      </c>
      <c r="G173" s="268">
        <v>0</v>
      </c>
      <c r="H173" s="268">
        <v>0</v>
      </c>
      <c r="J173" s="151"/>
      <c r="K173" s="151"/>
      <c r="L173" s="302">
        <f t="shared" ca="1" si="107"/>
        <v>0.05</v>
      </c>
      <c r="M173" s="302">
        <f t="shared" ca="1" si="107"/>
        <v>0.05</v>
      </c>
      <c r="N173" s="302">
        <f t="shared" ca="1" si="107"/>
        <v>0.05</v>
      </c>
      <c r="O173" s="302">
        <f t="shared" ca="1" si="107"/>
        <v>0.05</v>
      </c>
      <c r="P173" s="302">
        <f t="shared" ca="1" si="107"/>
        <v>0.05</v>
      </c>
      <c r="Q173" s="302">
        <f t="shared" ca="1" si="107"/>
        <v>0.05</v>
      </c>
    </row>
    <row r="174" spans="2:17" ht="12.75" customHeight="1">
      <c r="B174" s="117" t="str">
        <f ca="1">+B131</f>
        <v>2028 Senior Notes</v>
      </c>
      <c r="E174" s="266" t="s">
        <v>182</v>
      </c>
      <c r="F174" s="267">
        <v>3.7999999999999999E-2</v>
      </c>
      <c r="G174" s="268">
        <v>0</v>
      </c>
      <c r="H174" s="268">
        <v>0</v>
      </c>
      <c r="J174" s="151"/>
      <c r="K174" s="151"/>
      <c r="L174" s="302">
        <f t="shared" ca="1" si="107"/>
        <v>3.7999999999999999E-2</v>
      </c>
      <c r="M174" s="302">
        <f t="shared" ca="1" si="107"/>
        <v>3.7999999999999999E-2</v>
      </c>
      <c r="N174" s="302">
        <f t="shared" ca="1" si="107"/>
        <v>3.7999999999999999E-2</v>
      </c>
      <c r="O174" s="302">
        <f t="shared" ca="1" si="107"/>
        <v>3.7999999999999999E-2</v>
      </c>
      <c r="P174" s="302">
        <f t="shared" ca="1" si="107"/>
        <v>3.7999999999999999E-2</v>
      </c>
      <c r="Q174" s="302">
        <f t="shared" ca="1" si="107"/>
        <v>3.7999999999999999E-2</v>
      </c>
    </row>
    <row r="175" spans="2:17" ht="12.75" customHeight="1">
      <c r="B175" s="117" t="str">
        <f ca="1">+B155</f>
        <v>Interest Income</v>
      </c>
      <c r="E175" s="266" t="s">
        <v>182</v>
      </c>
      <c r="F175" s="267">
        <v>5.0000000000000001E-3</v>
      </c>
      <c r="G175" s="268">
        <v>0</v>
      </c>
      <c r="H175" s="268">
        <v>0.02</v>
      </c>
      <c r="J175" s="151"/>
      <c r="K175" s="151"/>
      <c r="L175" s="302">
        <f t="shared" ca="1" si="107"/>
        <v>5.0000000000000001E-3</v>
      </c>
      <c r="M175" s="302">
        <f t="shared" ca="1" si="107"/>
        <v>5.0000000000000001E-3</v>
      </c>
      <c r="N175" s="302">
        <f t="shared" ca="1" si="107"/>
        <v>5.0000000000000001E-3</v>
      </c>
      <c r="O175" s="302">
        <f t="shared" ca="1" si="107"/>
        <v>5.0000000000000001E-3</v>
      </c>
      <c r="P175" s="302">
        <f t="shared" ca="1" si="107"/>
        <v>5.0000000000000001E-3</v>
      </c>
      <c r="Q175" s="302">
        <f t="shared" ca="1" si="107"/>
        <v>5.0000000000000001E-3</v>
      </c>
    </row>
    <row r="176" spans="2:17" ht="12.75" customHeight="1">
      <c r="J176" s="151"/>
      <c r="K176" s="151"/>
      <c r="L176" s="151"/>
      <c r="M176" s="151"/>
      <c r="N176" s="151"/>
      <c r="O176" s="151"/>
      <c r="P176" s="151"/>
      <c r="Q176" s="151"/>
    </row>
    <row r="177" spans="2:18" ht="16" customHeight="1" thickBot="1">
      <c r="B177" s="269" t="s">
        <v>169</v>
      </c>
      <c r="C177" s="269"/>
      <c r="D177" s="270"/>
      <c r="E177" s="270"/>
      <c r="F177" s="270"/>
      <c r="G177" s="270"/>
      <c r="H177" s="270"/>
      <c r="I177" s="270"/>
      <c r="J177" s="270"/>
      <c r="K177" s="270"/>
      <c r="L177" s="270"/>
      <c r="M177" s="270"/>
      <c r="N177" s="270"/>
      <c r="O177" s="270"/>
      <c r="P177" s="271"/>
      <c r="Q177" s="271"/>
    </row>
    <row r="178" spans="2:18" ht="15" customHeight="1">
      <c r="B178" s="260" t="str">
        <f ca="1">+B7</f>
        <v>Fiscal Year Ended December 31,</v>
      </c>
      <c r="C178" s="260"/>
      <c r="D178" s="260"/>
      <c r="E178" s="260"/>
      <c r="F178" s="260"/>
      <c r="G178" s="260"/>
      <c r="H178" s="260"/>
      <c r="I178" s="289"/>
      <c r="J178" s="289">
        <f t="shared" ref="J178:Q178" ca="1" si="108">J7</f>
        <v>2017</v>
      </c>
      <c r="K178" s="319">
        <f t="shared" ca="1" si="108"/>
        <v>2018</v>
      </c>
      <c r="L178" s="320">
        <f t="shared" ca="1" si="108"/>
        <v>2019</v>
      </c>
      <c r="M178" s="290">
        <f t="shared" ca="1" si="108"/>
        <v>2020</v>
      </c>
      <c r="N178" s="290">
        <f t="shared" ca="1" si="108"/>
        <v>2021</v>
      </c>
      <c r="O178" s="290">
        <f t="shared" ca="1" si="108"/>
        <v>2022</v>
      </c>
      <c r="P178" s="290">
        <f t="shared" ca="1" si="108"/>
        <v>2023</v>
      </c>
      <c r="Q178" s="290">
        <f t="shared" ca="1" si="108"/>
        <v>2024</v>
      </c>
    </row>
    <row r="179" spans="2:18" ht="15" customHeight="1">
      <c r="B179" s="3" t="s">
        <v>8</v>
      </c>
      <c r="J179" s="151">
        <f t="shared" ref="J179:Q179" ca="1" si="109">+(J78+J73)/(J73+J78+J82)</f>
        <v>0.48438212494300048</v>
      </c>
      <c r="K179" s="151">
        <f t="shared" ca="1" si="109"/>
        <v>0.47525891829689298</v>
      </c>
      <c r="L179" s="151">
        <f t="shared" ca="1" si="109"/>
        <v>0.49595608347955089</v>
      </c>
      <c r="M179" s="151">
        <f t="shared" ca="1" si="109"/>
        <v>0.51081166009321044</v>
      </c>
      <c r="N179" s="151">
        <f t="shared" ca="1" si="109"/>
        <v>0.51836967227244302</v>
      </c>
      <c r="O179" s="151">
        <f t="shared" ca="1" si="109"/>
        <v>0.51699965467658238</v>
      </c>
      <c r="P179" s="151">
        <f t="shared" ca="1" si="109"/>
        <v>0.50608444757857474</v>
      </c>
      <c r="Q179" s="151">
        <f t="shared" ca="1" si="109"/>
        <v>0.48601665924199489</v>
      </c>
    </row>
    <row r="180" spans="2:18" ht="12.75" customHeight="1">
      <c r="B180" s="3" t="s">
        <v>9</v>
      </c>
      <c r="J180" s="151">
        <f t="shared" ref="J180:Q180" ca="1" si="110">+IF((J78+J73-J61)/(J73+J78+J82)&lt;0,"NM",(J78+J73-J61)/(J73+J78+J82))</f>
        <v>0.10647514819881441</v>
      </c>
      <c r="K180" s="151">
        <f t="shared" ca="1" si="110"/>
        <v>0.15931466564377958</v>
      </c>
      <c r="L180" s="151">
        <f t="shared" ca="1" si="110"/>
        <v>0.13159343958293188</v>
      </c>
      <c r="M180" s="151">
        <f t="shared" ca="1" si="110"/>
        <v>6.7260158226478545E-2</v>
      </c>
      <c r="N180" s="151" t="str">
        <f t="shared" ca="1" si="110"/>
        <v>NM</v>
      </c>
      <c r="O180" s="151" t="str">
        <f t="shared" ca="1" si="110"/>
        <v>NM</v>
      </c>
      <c r="P180" s="151" t="str">
        <f t="shared" ca="1" si="110"/>
        <v>NM</v>
      </c>
      <c r="Q180" s="151" t="str">
        <f t="shared" ca="1" si="110"/>
        <v>NM</v>
      </c>
    </row>
    <row r="181" spans="2:18" ht="12.75" customHeight="1">
      <c r="B181" s="1" t="s">
        <v>236</v>
      </c>
      <c r="C181" s="70"/>
      <c r="D181" s="70"/>
      <c r="E181" s="70"/>
      <c r="J181" s="151">
        <f t="shared" ref="J181:Q181" ca="1" si="111">+J82/J70</f>
        <v>0.24427522143011449</v>
      </c>
      <c r="K181" s="151">
        <f t="shared" ca="1" si="111"/>
        <v>0.22758276493095991</v>
      </c>
      <c r="L181" s="151">
        <f t="shared" ca="1" si="111"/>
        <v>0.20574771926579999</v>
      </c>
      <c r="M181" s="151">
        <f t="shared" ca="1" si="111"/>
        <v>0.18771706738168553</v>
      </c>
      <c r="N181" s="151">
        <f t="shared" ca="1" si="111"/>
        <v>0.17522372116829019</v>
      </c>
      <c r="O181" s="151">
        <f t="shared" ca="1" si="111"/>
        <v>0.16783297694612326</v>
      </c>
      <c r="P181" s="151">
        <f t="shared" ca="1" si="111"/>
        <v>0.16566835359754647</v>
      </c>
      <c r="Q181" s="151">
        <f t="shared" ca="1" si="111"/>
        <v>0.16835482982866179</v>
      </c>
    </row>
    <row r="182" spans="2:18" ht="12.75" customHeight="1">
      <c r="B182" s="1" t="s">
        <v>237</v>
      </c>
      <c r="C182" s="70"/>
      <c r="D182" s="70"/>
      <c r="E182" s="70"/>
      <c r="J182" s="151">
        <f t="shared" ref="J182:Q182" ca="1" si="112">+SUM(J78,J73)/J82</f>
        <v>0.93942073844793283</v>
      </c>
      <c r="K182" s="151">
        <f t="shared" ca="1" si="112"/>
        <v>0.9057017543859649</v>
      </c>
      <c r="L182" s="151">
        <f t="shared" ca="1" si="112"/>
        <v>0.9839541103943269</v>
      </c>
      <c r="M182" s="151">
        <f t="shared" ca="1" si="112"/>
        <v>1.0442024439718676</v>
      </c>
      <c r="N182" s="151">
        <f t="shared" ca="1" si="112"/>
        <v>1.0762812107747257</v>
      </c>
      <c r="O182" s="151">
        <f t="shared" ca="1" si="112"/>
        <v>1.0703918945035098</v>
      </c>
      <c r="P182" s="151">
        <f t="shared" ca="1" si="112"/>
        <v>1.0246376027187065</v>
      </c>
      <c r="Q182" s="151">
        <f t="shared" ca="1" si="112"/>
        <v>0.94558835024737209</v>
      </c>
    </row>
    <row r="183" spans="2:18" ht="12.75" customHeight="1">
      <c r="B183" s="1" t="s">
        <v>54</v>
      </c>
      <c r="C183" s="70"/>
      <c r="D183" s="70"/>
      <c r="E183" s="70"/>
      <c r="J183" s="104">
        <f t="shared" ref="J183:Q183" ca="1" si="113">+(J78+J73)/J40</f>
        <v>2.4920821114369502</v>
      </c>
      <c r="K183" s="104">
        <f t="shared" ca="1" si="113"/>
        <v>1.8706592853548063</v>
      </c>
      <c r="L183" s="104">
        <f t="shared" ca="1" si="113"/>
        <v>1.7114472083997772</v>
      </c>
      <c r="M183" s="104">
        <f t="shared" ca="1" si="113"/>
        <v>1.5468352049502205</v>
      </c>
      <c r="N183" s="104">
        <f t="shared" ca="1" si="113"/>
        <v>1.4062616801987191</v>
      </c>
      <c r="O183" s="104">
        <f t="shared" ca="1" si="113"/>
        <v>1.2754643194741011</v>
      </c>
      <c r="P183" s="104">
        <f t="shared" ca="1" si="113"/>
        <v>1.1578012019454085</v>
      </c>
      <c r="Q183" s="104">
        <f t="shared" ca="1" si="113"/>
        <v>1.0517849367348953</v>
      </c>
    </row>
    <row r="184" spans="2:18" ht="12.75" customHeight="1">
      <c r="B184" s="1" t="s">
        <v>109</v>
      </c>
      <c r="C184" s="70"/>
      <c r="D184" s="70"/>
      <c r="E184" s="70"/>
      <c r="J184" s="104">
        <f t="shared" ref="J184:Q184" ca="1" si="114">+MAX(0,(J78+J73-J61)/J40)</f>
        <v>0.54780058651026398</v>
      </c>
      <c r="K184" s="104">
        <f t="shared" ca="1" si="114"/>
        <v>0.62707599396074487</v>
      </c>
      <c r="L184" s="104">
        <f t="shared" ca="1" si="114"/>
        <v>0.45410316017873692</v>
      </c>
      <c r="M184" s="104">
        <f t="shared" ca="1" si="114"/>
        <v>0.20367659699908655</v>
      </c>
      <c r="N184" s="104">
        <f t="shared" ca="1" si="114"/>
        <v>0</v>
      </c>
      <c r="O184" s="104">
        <f t="shared" ca="1" si="114"/>
        <v>0</v>
      </c>
      <c r="P184" s="104">
        <f t="shared" ca="1" si="114"/>
        <v>0</v>
      </c>
      <c r="Q184" s="104">
        <f t="shared" ca="1" si="114"/>
        <v>0</v>
      </c>
    </row>
    <row r="185" spans="2:18" ht="12.75" customHeight="1">
      <c r="B185" s="1" t="s">
        <v>250</v>
      </c>
      <c r="C185" s="70"/>
      <c r="D185" s="70"/>
      <c r="E185" s="70"/>
      <c r="J185" s="104">
        <f ca="1">+J40/J14</f>
        <v>11.52027027027027</v>
      </c>
      <c r="K185" s="104">
        <f t="shared" ref="K185:Q185" ca="1" si="115">+K40/K14</f>
        <v>16.69747899159664</v>
      </c>
      <c r="L185" s="104">
        <f t="shared" ca="1" si="115"/>
        <v>29.885759614573729</v>
      </c>
      <c r="M185" s="104">
        <f t="shared" ca="1" si="115"/>
        <v>33.949772151327998</v>
      </c>
      <c r="N185" s="104">
        <f t="shared" ca="1" si="115"/>
        <v>38.911471043466094</v>
      </c>
      <c r="O185" s="104">
        <f t="shared" ca="1" si="115"/>
        <v>45.415470850851769</v>
      </c>
      <c r="P185" s="104">
        <f t="shared" ca="1" si="115"/>
        <v>54.106904591398688</v>
      </c>
      <c r="Q185" s="104">
        <f t="shared" ca="1" si="115"/>
        <v>66.201684636845187</v>
      </c>
    </row>
    <row r="186" spans="2:18" ht="12.75" customHeight="1">
      <c r="B186" s="1"/>
      <c r="C186" s="70"/>
      <c r="D186" s="70"/>
      <c r="E186" s="70"/>
      <c r="J186" s="151"/>
      <c r="K186" s="151"/>
      <c r="L186" s="151"/>
      <c r="M186" s="151"/>
      <c r="N186" s="151"/>
      <c r="O186" s="151"/>
      <c r="P186" s="151"/>
      <c r="Q186" s="151"/>
    </row>
    <row r="187" spans="2:18" ht="12.75" customHeight="1">
      <c r="J187" s="151"/>
      <c r="K187" s="151"/>
      <c r="L187" s="151"/>
      <c r="M187" s="151"/>
      <c r="N187" s="151"/>
      <c r="O187" s="151"/>
      <c r="P187" s="151"/>
      <c r="Q187" s="151"/>
    </row>
    <row r="188" spans="2:18" ht="16" customHeight="1" thickBot="1">
      <c r="B188" s="269" t="s">
        <v>115</v>
      </c>
      <c r="C188" s="269"/>
      <c r="D188" s="270"/>
      <c r="E188" s="270"/>
      <c r="F188" s="270"/>
      <c r="G188" s="270"/>
      <c r="H188" s="270"/>
      <c r="I188" s="270"/>
      <c r="J188" s="270"/>
      <c r="K188" s="270"/>
      <c r="L188" s="270"/>
      <c r="M188" s="270"/>
      <c r="N188" s="270"/>
      <c r="O188" s="270"/>
      <c r="P188" s="271"/>
      <c r="Q188" s="271"/>
    </row>
    <row r="189" spans="2:18" ht="15" customHeight="1">
      <c r="B189" s="277" t="str">
        <f ca="1">$B$7</f>
        <v>Fiscal Year Ended December 31,</v>
      </c>
      <c r="C189" s="318"/>
      <c r="D189" s="318"/>
      <c r="E189" s="318"/>
      <c r="F189" s="318"/>
      <c r="G189" s="318"/>
      <c r="H189" s="318"/>
      <c r="I189" s="289"/>
      <c r="J189" s="289"/>
      <c r="K189" s="319"/>
      <c r="L189" s="320">
        <f t="shared" ref="L189:Q189" ca="1" si="116">L7</f>
        <v>2019</v>
      </c>
      <c r="M189" s="290">
        <f t="shared" ca="1" si="116"/>
        <v>2020</v>
      </c>
      <c r="N189" s="290">
        <f t="shared" ca="1" si="116"/>
        <v>2021</v>
      </c>
      <c r="O189" s="290">
        <f t="shared" ca="1" si="116"/>
        <v>2022</v>
      </c>
      <c r="P189" s="290">
        <f t="shared" ca="1" si="116"/>
        <v>2023</v>
      </c>
      <c r="Q189" s="290">
        <f t="shared" ca="1" si="116"/>
        <v>2024</v>
      </c>
    </row>
    <row r="190" spans="2:18" s="14" customFormat="1" ht="15" customHeight="1">
      <c r="B190" s="9" t="s">
        <v>114</v>
      </c>
      <c r="C190" s="9"/>
      <c r="D190" s="9"/>
      <c r="E190" s="9"/>
      <c r="F190" s="9"/>
      <c r="G190" s="19"/>
      <c r="H190" s="19"/>
      <c r="I190" s="256">
        <f ca="1">afy+1</f>
        <v>2019</v>
      </c>
      <c r="J190" s="256">
        <f ca="1">afy+2</f>
        <v>2020</v>
      </c>
      <c r="L190" s="23"/>
      <c r="M190" s="23">
        <f ca="1">M22</f>
        <v>4.6159869059107743</v>
      </c>
      <c r="N190" s="23">
        <f ca="1">N22</f>
        <v>5.4011060356552028</v>
      </c>
      <c r="O190" s="23">
        <f ca="1">O22</f>
        <v>6.2716785629555787</v>
      </c>
      <c r="P190" s="23">
        <f ca="1">P22</f>
        <v>7.2050404354381499</v>
      </c>
      <c r="Q190" s="23">
        <f ca="1">Q22</f>
        <v>8.1987180184381501</v>
      </c>
      <c r="R190" s="340">
        <f ca="1">Q190*(1+altg)</f>
        <v>9.5202211733135336</v>
      </c>
    </row>
    <row r="191" spans="2:18" s="14" customFormat="1" ht="12.75" customHeight="1">
      <c r="B191" s="9" t="s">
        <v>198</v>
      </c>
      <c r="C191" s="9"/>
      <c r="D191" s="9"/>
      <c r="E191" s="9"/>
      <c r="F191" s="9"/>
      <c r="G191" s="9"/>
      <c r="H191" s="9"/>
      <c r="I191" s="291">
        <f ca="1">'Spread Cover'!J27</f>
        <v>34.477955262231625</v>
      </c>
      <c r="J191" s="291">
        <f ca="1">'Spread Cover'!J28</f>
        <v>28.864899904587272</v>
      </c>
      <c r="L191" s="341"/>
      <c r="M191" s="292">
        <f ca="1">$I191*M190</f>
        <v>159.14979003303867</v>
      </c>
      <c r="N191" s="292">
        <f ca="1">$I191*N190</f>
        <v>186.21909226388928</v>
      </c>
      <c r="O191" s="292">
        <f ca="1">$I191*O190</f>
        <v>216.23465291267956</v>
      </c>
      <c r="P191" s="292">
        <f ca="1">$I191*P190</f>
        <v>248.41506179560639</v>
      </c>
      <c r="Q191" s="292">
        <f ca="1">$I191*Q190</f>
        <v>282.67503304736283</v>
      </c>
      <c r="R191" s="27"/>
    </row>
    <row r="192" spans="2:18" s="14" customFormat="1" ht="12.75" customHeight="1">
      <c r="B192" s="9" t="s">
        <v>159</v>
      </c>
      <c r="C192" s="9"/>
      <c r="D192" s="9"/>
      <c r="E192" s="9"/>
      <c r="F192" s="9"/>
      <c r="G192" s="9"/>
      <c r="H192" s="9"/>
      <c r="I192" s="293"/>
      <c r="L192" s="342">
        <v>0.05</v>
      </c>
      <c r="M192" s="275">
        <f ca="1">L192</f>
        <v>0.05</v>
      </c>
      <c r="N192" s="275">
        <f ca="1">M192</f>
        <v>0.05</v>
      </c>
      <c r="O192" s="275">
        <f ca="1">N192</f>
        <v>0.05</v>
      </c>
      <c r="P192" s="275">
        <f ca="1">O192</f>
        <v>0.05</v>
      </c>
      <c r="Q192" s="275">
        <f ca="1">P192</f>
        <v>0.05</v>
      </c>
      <c r="R192" s="27"/>
    </row>
    <row r="193" spans="2:18" s="254" customFormat="1" ht="12.75" customHeight="1">
      <c r="B193" s="9" t="s">
        <v>116</v>
      </c>
      <c r="C193" s="192"/>
      <c r="D193" s="192"/>
      <c r="E193" s="192"/>
      <c r="F193" s="192"/>
      <c r="G193" s="192"/>
      <c r="H193" s="192"/>
      <c r="I193" s="294"/>
      <c r="L193" s="343">
        <f ca="1">aprice*(1+L192)</f>
        <v>139.90200000000002</v>
      </c>
      <c r="M193" s="295">
        <f ca="1">M191*(1+M192)</f>
        <v>167.1072795346906</v>
      </c>
      <c r="N193" s="295">
        <f ca="1">N191*(1+N192)</f>
        <v>195.53004687708375</v>
      </c>
      <c r="O193" s="295">
        <f ca="1">O191*(1+O192)</f>
        <v>227.04638555831355</v>
      </c>
      <c r="P193" s="295">
        <f ca="1">P191*(1+P192)</f>
        <v>260.8358148853867</v>
      </c>
      <c r="Q193" s="295">
        <f ca="1">Q191*(1+Q192)</f>
        <v>296.80878469973101</v>
      </c>
      <c r="R193" s="296"/>
    </row>
    <row r="194" spans="2:18" s="14" customFormat="1" ht="12.75" customHeight="1">
      <c r="B194" s="9"/>
      <c r="C194" s="9"/>
      <c r="D194" s="9"/>
      <c r="E194" s="9"/>
      <c r="F194" s="9"/>
      <c r="G194" s="19"/>
      <c r="H194" s="19"/>
      <c r="I194" s="19"/>
      <c r="L194" s="297"/>
      <c r="M194" s="297"/>
      <c r="N194" s="297"/>
      <c r="O194" s="297"/>
      <c r="P194" s="297"/>
      <c r="Q194" s="297"/>
      <c r="R194" s="9"/>
    </row>
    <row r="195" spans="2:18" s="14" customFormat="1" ht="12.75" customHeight="1">
      <c r="B195" s="9" t="s">
        <v>186</v>
      </c>
      <c r="C195" s="9"/>
      <c r="D195" s="9"/>
      <c r="E195" s="9"/>
      <c r="F195" s="9"/>
      <c r="G195" s="19"/>
      <c r="H195" s="19"/>
      <c r="I195" s="19"/>
      <c r="L195" s="46">
        <v>900</v>
      </c>
      <c r="M195" s="50">
        <f ca="1">+L195</f>
        <v>900</v>
      </c>
      <c r="N195" s="50">
        <f t="shared" ref="N195:Q195" ca="1" si="117">+M195</f>
        <v>900</v>
      </c>
      <c r="O195" s="50">
        <f t="shared" ca="1" si="117"/>
        <v>900</v>
      </c>
      <c r="P195" s="50">
        <f t="shared" ca="1" si="117"/>
        <v>900</v>
      </c>
      <c r="Q195" s="50">
        <f t="shared" ca="1" si="117"/>
        <v>900</v>
      </c>
      <c r="R195" s="9"/>
    </row>
    <row r="196" spans="2:18" s="14" customFormat="1" ht="12.75" customHeight="1">
      <c r="B196" s="9"/>
      <c r="C196" s="9"/>
      <c r="D196" s="9"/>
      <c r="E196" s="9"/>
      <c r="F196" s="9"/>
      <c r="G196" s="19"/>
      <c r="H196" s="19"/>
      <c r="I196" s="19"/>
      <c r="L196" s="297"/>
      <c r="M196" s="297"/>
      <c r="N196" s="297"/>
      <c r="O196" s="297"/>
      <c r="P196" s="297"/>
      <c r="Q196" s="297"/>
      <c r="R196" s="9"/>
    </row>
    <row r="197" spans="2:18" s="14" customFormat="1" ht="12.75" customHeight="1">
      <c r="B197" s="9" t="s">
        <v>189</v>
      </c>
      <c r="C197" s="9"/>
      <c r="D197" s="9"/>
      <c r="E197" s="9"/>
      <c r="F197" s="9"/>
      <c r="G197" s="19"/>
      <c r="H197" s="19"/>
      <c r="I197" s="19"/>
      <c r="L197" s="283">
        <f ca="1">L203+(adshares-ashares)</f>
        <v>137.01460944431102</v>
      </c>
      <c r="M197" s="22">
        <f ca="1">+L200</f>
        <v>132.22903113417831</v>
      </c>
      <c r="N197" s="22">
        <f ca="1">+M200</f>
        <v>128.64587807518856</v>
      </c>
      <c r="O197" s="22">
        <f ca="1">+N200</f>
        <v>126.00682147148873</v>
      </c>
      <c r="P197" s="22">
        <f ca="1">+O200</f>
        <v>124.18860057689086</v>
      </c>
      <c r="Q197" s="22">
        <f ca="1">+P200</f>
        <v>123.08264179974235</v>
      </c>
      <c r="R197" s="9"/>
    </row>
    <row r="198" spans="2:18" s="14" customFormat="1" ht="12.75" customHeight="1">
      <c r="B198" s="9" t="s">
        <v>187</v>
      </c>
      <c r="C198" s="9"/>
      <c r="D198" s="9"/>
      <c r="E198" s="9"/>
      <c r="F198" s="9"/>
      <c r="G198" s="19"/>
      <c r="H198" s="19"/>
      <c r="I198" s="19"/>
      <c r="L198" s="25">
        <f ca="1">+L92/'Spread Cover'!$E$9</f>
        <v>1.6474962706452654</v>
      </c>
      <c r="M198" s="25">
        <f ca="1">+M92/'Spread Cover'!$E$9</f>
        <v>1.8026087253325387</v>
      </c>
      <c r="N198" s="25">
        <f ca="1">+N92/'Spread Cover'!$E$9</f>
        <v>1.9638165320375425</v>
      </c>
      <c r="O198" s="25">
        <f ca="1">+O92/'Spread Cover'!$E$9</f>
        <v>2.145726814972031</v>
      </c>
      <c r="P198" s="25">
        <f ca="1">+P92/'Spread Cover'!$E$9</f>
        <v>2.344487628746573</v>
      </c>
      <c r="Q198" s="25">
        <f ca="1">+Q92/'Spread Cover'!$E$9</f>
        <v>2.5616598548298311</v>
      </c>
      <c r="R198" s="9"/>
    </row>
    <row r="199" spans="2:18" s="14" customFormat="1" ht="12.75" customHeight="1">
      <c r="B199" s="9" t="s">
        <v>155</v>
      </c>
      <c r="C199" s="9"/>
      <c r="D199" s="9"/>
      <c r="E199" s="9"/>
      <c r="F199" s="9"/>
      <c r="G199" s="19"/>
      <c r="H199" s="19"/>
      <c r="I199" s="19"/>
      <c r="L199" s="22">
        <f t="shared" ref="L199:Q199" ca="1" si="118">IF(L195=0,0,-L195/L193)</f>
        <v>-6.4330745807779728</v>
      </c>
      <c r="M199" s="22">
        <f t="shared" ca="1" si="118"/>
        <v>-5.3857617843222965</v>
      </c>
      <c r="N199" s="22">
        <f t="shared" ca="1" si="118"/>
        <v>-4.6028731357373829</v>
      </c>
      <c r="O199" s="22">
        <f t="shared" ca="1" si="118"/>
        <v>-3.9639477095698936</v>
      </c>
      <c r="P199" s="22">
        <f t="shared" ca="1" si="118"/>
        <v>-3.4504464058950917</v>
      </c>
      <c r="Q199" s="22">
        <f t="shared" ca="1" si="118"/>
        <v>-3.0322552646495695</v>
      </c>
      <c r="R199" s="9"/>
    </row>
    <row r="200" spans="2:18" s="14" customFormat="1" ht="12.75" customHeight="1">
      <c r="B200" s="9" t="s">
        <v>156</v>
      </c>
      <c r="C200" s="9"/>
      <c r="D200" s="9"/>
      <c r="E200" s="9"/>
      <c r="F200" s="9"/>
      <c r="G200" s="19"/>
      <c r="H200" s="19"/>
      <c r="I200" s="19"/>
      <c r="L200" s="287">
        <f t="shared" ref="L200:Q200" ca="1" si="119">SUM(L197:L199)</f>
        <v>132.22903113417831</v>
      </c>
      <c r="M200" s="287">
        <f t="shared" ca="1" si="119"/>
        <v>128.64587807518856</v>
      </c>
      <c r="N200" s="287">
        <f t="shared" ca="1" si="119"/>
        <v>126.00682147148873</v>
      </c>
      <c r="O200" s="287">
        <f t="shared" ca="1" si="119"/>
        <v>124.18860057689086</v>
      </c>
      <c r="P200" s="287">
        <f t="shared" ca="1" si="119"/>
        <v>123.08264179974235</v>
      </c>
      <c r="Q200" s="287">
        <f t="shared" ca="1" si="119"/>
        <v>122.61204638992261</v>
      </c>
      <c r="R200" s="9"/>
    </row>
    <row r="201" spans="2:18" s="14" customFormat="1" ht="12.75" customHeight="1">
      <c r="B201" s="14" t="s">
        <v>70</v>
      </c>
      <c r="F201" s="14" t="s">
        <v>157</v>
      </c>
      <c r="G201" s="344">
        <v>0.5</v>
      </c>
      <c r="H201" s="344"/>
      <c r="I201" s="19"/>
      <c r="L201" s="22">
        <f t="shared" ref="L201:Q201" ca="1" si="120">((L197+L198)*$G201)+(L200*(1-$G201))</f>
        <v>135.44556842456728</v>
      </c>
      <c r="M201" s="22">
        <f t="shared" ca="1" si="120"/>
        <v>131.33875896734969</v>
      </c>
      <c r="N201" s="22">
        <f t="shared" ca="1" si="120"/>
        <v>128.30825803935744</v>
      </c>
      <c r="O201" s="22">
        <f t="shared" ca="1" si="120"/>
        <v>126.17057443167582</v>
      </c>
      <c r="P201" s="22">
        <f t="shared" ca="1" si="120"/>
        <v>124.80786500268989</v>
      </c>
      <c r="Q201" s="22">
        <f t="shared" ca="1" si="120"/>
        <v>124.12817402224739</v>
      </c>
    </row>
    <row r="202" spans="2:18" s="14" customFormat="1" ht="12.75" customHeight="1">
      <c r="B202" s="9"/>
      <c r="C202" s="9"/>
      <c r="D202" s="9"/>
      <c r="E202" s="9"/>
      <c r="F202" s="9"/>
      <c r="G202" s="9"/>
      <c r="H202" s="9"/>
      <c r="I202" s="298"/>
      <c r="J202" s="298"/>
      <c r="K202" s="298"/>
      <c r="L202" s="299"/>
      <c r="M202" s="299"/>
      <c r="N202" s="299"/>
      <c r="O202" s="299"/>
      <c r="P202" s="299"/>
      <c r="Q202" s="299"/>
    </row>
    <row r="203" spans="2:18" s="14" customFormat="1" ht="12.75" customHeight="1">
      <c r="B203" s="9" t="s">
        <v>188</v>
      </c>
      <c r="C203" s="9"/>
      <c r="D203" s="9"/>
      <c r="E203" s="9"/>
      <c r="F203" s="9"/>
      <c r="G203" s="19"/>
      <c r="H203" s="19"/>
      <c r="I203" s="19"/>
      <c r="L203" s="283">
        <f ca="1">afyshares</f>
        <v>136.007689</v>
      </c>
      <c r="M203" s="22">
        <f ca="1">+L206</f>
        <v>131.22211068986729</v>
      </c>
      <c r="N203" s="22">
        <f ca="1">+M206</f>
        <v>127.63895763087753</v>
      </c>
      <c r="O203" s="22">
        <f ca="1">+N206</f>
        <v>124.99990102717769</v>
      </c>
      <c r="P203" s="22">
        <f ca="1">+O206</f>
        <v>123.18168013257983</v>
      </c>
      <c r="Q203" s="22">
        <f ca="1">+P206</f>
        <v>122.07572135543131</v>
      </c>
      <c r="R203" s="9"/>
    </row>
    <row r="204" spans="2:18" s="14" customFormat="1" ht="12.75" customHeight="1">
      <c r="B204" s="9" t="s">
        <v>187</v>
      </c>
      <c r="C204" s="9"/>
      <c r="D204" s="9"/>
      <c r="E204" s="9"/>
      <c r="F204" s="9"/>
      <c r="G204" s="19"/>
      <c r="H204" s="19"/>
      <c r="I204" s="19"/>
      <c r="L204" s="22">
        <f ca="1">+L198</f>
        <v>1.6474962706452654</v>
      </c>
      <c r="M204" s="22">
        <f t="shared" ref="M204:Q205" ca="1" si="121">+M198</f>
        <v>1.8026087253325387</v>
      </c>
      <c r="N204" s="22">
        <f t="shared" ca="1" si="121"/>
        <v>1.9638165320375425</v>
      </c>
      <c r="O204" s="22">
        <f t="shared" ca="1" si="121"/>
        <v>2.145726814972031</v>
      </c>
      <c r="P204" s="22">
        <f t="shared" ca="1" si="121"/>
        <v>2.344487628746573</v>
      </c>
      <c r="Q204" s="22">
        <f t="shared" ca="1" si="121"/>
        <v>2.5616598548298311</v>
      </c>
      <c r="R204" s="9"/>
    </row>
    <row r="205" spans="2:18" s="14" customFormat="1" ht="12.75" customHeight="1">
      <c r="B205" s="9" t="s">
        <v>155</v>
      </c>
      <c r="C205" s="9"/>
      <c r="D205" s="9"/>
      <c r="E205" s="9"/>
      <c r="F205" s="9"/>
      <c r="G205" s="19"/>
      <c r="H205" s="19"/>
      <c r="I205" s="19"/>
      <c r="L205" s="22">
        <f ca="1">+L199</f>
        <v>-6.4330745807779728</v>
      </c>
      <c r="M205" s="22">
        <f t="shared" ca="1" si="121"/>
        <v>-5.3857617843222965</v>
      </c>
      <c r="N205" s="22">
        <f t="shared" ca="1" si="121"/>
        <v>-4.6028731357373829</v>
      </c>
      <c r="O205" s="22">
        <f t="shared" ca="1" si="121"/>
        <v>-3.9639477095698936</v>
      </c>
      <c r="P205" s="22">
        <f t="shared" ca="1" si="121"/>
        <v>-3.4504464058950917</v>
      </c>
      <c r="Q205" s="22">
        <f t="shared" ca="1" si="121"/>
        <v>-3.0322552646495695</v>
      </c>
      <c r="R205" s="9"/>
    </row>
    <row r="206" spans="2:18" s="14" customFormat="1" ht="12.75" customHeight="1">
      <c r="B206" s="9" t="s">
        <v>156</v>
      </c>
      <c r="C206" s="9"/>
      <c r="D206" s="9"/>
      <c r="E206" s="9"/>
      <c r="F206" s="9"/>
      <c r="G206" s="19"/>
      <c r="H206" s="19"/>
      <c r="I206" s="19"/>
      <c r="L206" s="287">
        <f t="shared" ref="L206:Q206" ca="1" si="122">SUM(L203:L205)</f>
        <v>131.22211068986729</v>
      </c>
      <c r="M206" s="287">
        <f t="shared" ca="1" si="122"/>
        <v>127.63895763087753</v>
      </c>
      <c r="N206" s="287">
        <f t="shared" ca="1" si="122"/>
        <v>124.99990102717769</v>
      </c>
      <c r="O206" s="287">
        <f t="shared" ca="1" si="122"/>
        <v>123.18168013257983</v>
      </c>
      <c r="P206" s="287">
        <f t="shared" ca="1" si="122"/>
        <v>122.07572135543131</v>
      </c>
      <c r="Q206" s="287">
        <f t="shared" ca="1" si="122"/>
        <v>121.60512594561158</v>
      </c>
      <c r="R206" s="9"/>
    </row>
    <row r="207" spans="2:18" s="14" customFormat="1" ht="12.75" customHeight="1">
      <c r="B207" s="14" t="s">
        <v>190</v>
      </c>
      <c r="F207" s="14" t="s">
        <v>157</v>
      </c>
      <c r="G207" s="300">
        <f ca="1">+G201</f>
        <v>0.5</v>
      </c>
      <c r="H207" s="300"/>
      <c r="I207" s="19"/>
      <c r="L207" s="22">
        <f t="shared" ref="L207:Q207" ca="1" si="123">((L203+L204)*$G207)+(L206*(1-$G207))</f>
        <v>134.43864798025629</v>
      </c>
      <c r="M207" s="22">
        <f t="shared" ca="1" si="123"/>
        <v>130.33183852303867</v>
      </c>
      <c r="N207" s="22">
        <f t="shared" ca="1" si="123"/>
        <v>127.30133759504638</v>
      </c>
      <c r="O207" s="22">
        <f t="shared" ca="1" si="123"/>
        <v>125.16365398736477</v>
      </c>
      <c r="P207" s="22">
        <f t="shared" ca="1" si="123"/>
        <v>123.80094455837886</v>
      </c>
      <c r="Q207" s="22">
        <f t="shared" ca="1" si="123"/>
        <v>123.12125357793636</v>
      </c>
    </row>
    <row r="208" spans="2:18" s="14" customFormat="1" ht="12.75" customHeight="1">
      <c r="B208" s="237"/>
      <c r="C208" s="9"/>
      <c r="D208" s="9"/>
      <c r="E208" s="9"/>
      <c r="F208" s="9"/>
      <c r="G208" s="9"/>
      <c r="H208" s="9"/>
      <c r="I208" s="298"/>
      <c r="J208" s="298"/>
      <c r="K208" s="298"/>
      <c r="L208" s="299"/>
      <c r="M208" s="299"/>
      <c r="N208" s="299"/>
      <c r="O208" s="299"/>
      <c r="P208" s="299"/>
      <c r="Q208" s="299"/>
    </row>
    <row r="209" spans="2:17" ht="16" customHeight="1" thickBot="1">
      <c r="B209" s="269" t="s">
        <v>42</v>
      </c>
      <c r="C209" s="269"/>
      <c r="D209" s="270"/>
      <c r="E209" s="270"/>
      <c r="F209" s="270"/>
      <c r="G209" s="270"/>
      <c r="H209" s="270"/>
      <c r="I209" s="270"/>
      <c r="J209" s="270"/>
      <c r="K209" s="270"/>
      <c r="L209" s="270"/>
      <c r="M209" s="270"/>
      <c r="N209" s="270"/>
      <c r="O209" s="270"/>
      <c r="P209" s="271"/>
      <c r="Q209" s="271"/>
    </row>
    <row r="210" spans="2:17" ht="15" customHeight="1">
      <c r="B210" s="260" t="str">
        <f ca="1">$B$7</f>
        <v>Fiscal Year Ended December 31,</v>
      </c>
      <c r="C210" s="260"/>
      <c r="D210" s="260"/>
      <c r="E210" s="260"/>
      <c r="F210" s="260"/>
      <c r="G210" s="260"/>
      <c r="H210" s="260"/>
      <c r="I210" s="289">
        <f t="shared" ref="I210:Q210" ca="1" si="124">I7</f>
        <v>2016</v>
      </c>
      <c r="J210" s="289">
        <f t="shared" ca="1" si="124"/>
        <v>2017</v>
      </c>
      <c r="K210" s="319">
        <f t="shared" ca="1" si="124"/>
        <v>2018</v>
      </c>
      <c r="L210" s="320">
        <f t="shared" ca="1" si="124"/>
        <v>2019</v>
      </c>
      <c r="M210" s="290">
        <f t="shared" ca="1" si="124"/>
        <v>2020</v>
      </c>
      <c r="N210" s="290">
        <f t="shared" ca="1" si="124"/>
        <v>2021</v>
      </c>
      <c r="O210" s="290">
        <f t="shared" ca="1" si="124"/>
        <v>2022</v>
      </c>
      <c r="P210" s="290">
        <f t="shared" ca="1" si="124"/>
        <v>2023</v>
      </c>
      <c r="Q210" s="290">
        <f t="shared" ca="1" si="124"/>
        <v>2024</v>
      </c>
    </row>
    <row r="211" spans="2:17" s="14" customFormat="1" ht="15" customHeight="1">
      <c r="B211" s="9" t="s">
        <v>38</v>
      </c>
      <c r="C211" s="9"/>
      <c r="D211" s="9"/>
      <c r="E211" s="9"/>
      <c r="F211" s="9"/>
      <c r="G211" s="9"/>
      <c r="H211" s="9"/>
      <c r="I211" s="403">
        <f ca="1">-'Cash Flow'!G17</f>
        <v>749</v>
      </c>
      <c r="J211" s="403">
        <f ca="1">-'Cash Flow'!H17</f>
        <v>710</v>
      </c>
      <c r="K211" s="403">
        <f ca="1">-'Cash Flow'!I17</f>
        <v>878</v>
      </c>
      <c r="L211" s="274">
        <f t="shared" ref="L211:Q211" ca="1" si="125">L8*L212</f>
        <v>949.41817695803252</v>
      </c>
      <c r="M211" s="274">
        <f t="shared" ca="1" si="125"/>
        <v>1038.8062906531229</v>
      </c>
      <c r="N211" s="274">
        <f t="shared" ca="1" si="125"/>
        <v>1131.7070302058273</v>
      </c>
      <c r="O211" s="274">
        <f t="shared" ca="1" si="125"/>
        <v>1236.5381805221421</v>
      </c>
      <c r="P211" s="274">
        <f t="shared" ca="1" si="125"/>
        <v>1351.0799447900581</v>
      </c>
      <c r="Q211" s="274">
        <f t="shared" ca="1" si="125"/>
        <v>1476.2318268596473</v>
      </c>
    </row>
    <row r="212" spans="2:17" s="14" customFormat="1" ht="12.75" customHeight="1">
      <c r="B212" s="237" t="s">
        <v>113</v>
      </c>
      <c r="C212" s="9"/>
      <c r="D212" s="9"/>
      <c r="E212" s="9"/>
      <c r="F212" s="9"/>
      <c r="G212" s="9"/>
      <c r="H212" s="9"/>
      <c r="I212" s="276">
        <f ca="1">I211/I8</f>
        <v>8.5365853658536592E-2</v>
      </c>
      <c r="J212" s="276">
        <f ca="1">J211/J8</f>
        <v>7.0576540755467196E-2</v>
      </c>
      <c r="K212" s="276">
        <f ca="1">K211/K8</f>
        <v>7.8232201728593062E-2</v>
      </c>
      <c r="L212" s="313">
        <f t="shared" ref="L212:Q212" ca="1" si="126">+K212</f>
        <v>7.8232201728593062E-2</v>
      </c>
      <c r="M212" s="313">
        <f t="shared" ca="1" si="126"/>
        <v>7.8232201728593062E-2</v>
      </c>
      <c r="N212" s="276">
        <f t="shared" ca="1" si="126"/>
        <v>7.8232201728593062E-2</v>
      </c>
      <c r="O212" s="276">
        <f t="shared" ca="1" si="126"/>
        <v>7.8232201728593062E-2</v>
      </c>
      <c r="P212" s="276">
        <f t="shared" ca="1" si="126"/>
        <v>7.8232201728593062E-2</v>
      </c>
      <c r="Q212" s="276">
        <f t="shared" ca="1" si="126"/>
        <v>7.8232201728593062E-2</v>
      </c>
    </row>
    <row r="213" spans="2:17" s="14" customFormat="1" ht="12.75" customHeight="1">
      <c r="B213" s="237"/>
      <c r="C213" s="9"/>
      <c r="D213" s="9"/>
      <c r="E213" s="9"/>
      <c r="F213" s="9"/>
      <c r="G213" s="9"/>
      <c r="H213" s="9"/>
      <c r="I213" s="298"/>
      <c r="J213" s="298"/>
      <c r="K213" s="298"/>
      <c r="L213" s="299"/>
      <c r="M213" s="299"/>
      <c r="N213" s="299"/>
      <c r="O213" s="299"/>
      <c r="P213" s="299"/>
      <c r="Q213" s="299"/>
    </row>
    <row r="214" spans="2:17" s="14" customFormat="1" ht="12.75" customHeight="1">
      <c r="B214" s="9" t="s">
        <v>137</v>
      </c>
      <c r="C214" s="9"/>
      <c r="D214" s="9"/>
      <c r="E214" s="9"/>
      <c r="F214" s="9"/>
      <c r="G214" s="9"/>
      <c r="H214" s="9"/>
      <c r="I214" s="274">
        <f ca="1">I39</f>
        <v>829</v>
      </c>
      <c r="J214" s="274">
        <f ca="1">J39</f>
        <v>889</v>
      </c>
      <c r="K214" s="274">
        <f ca="1">K39</f>
        <v>1001</v>
      </c>
      <c r="L214" s="274">
        <f t="shared" ref="L214:Q214" ca="1" si="127">L8*L215</f>
        <v>1082.4232290831328</v>
      </c>
      <c r="M214" s="274">
        <f t="shared" ca="1" si="127"/>
        <v>1184.3338233983782</v>
      </c>
      <c r="N214" s="274">
        <f t="shared" ca="1" si="127"/>
        <v>1290.2491312483294</v>
      </c>
      <c r="O214" s="274">
        <f t="shared" ca="1" si="127"/>
        <v>1409.7661944221688</v>
      </c>
      <c r="P214" s="274">
        <f t="shared" ca="1" si="127"/>
        <v>1540.3542422948155</v>
      </c>
      <c r="Q214" s="274">
        <f t="shared" ca="1" si="127"/>
        <v>1683.0387912147005</v>
      </c>
    </row>
    <row r="215" spans="2:17" s="14" customFormat="1" ht="12.75" customHeight="1">
      <c r="B215" s="237" t="s">
        <v>113</v>
      </c>
      <c r="C215" s="9"/>
      <c r="D215" s="9"/>
      <c r="E215" s="9"/>
      <c r="F215" s="9"/>
      <c r="G215" s="9"/>
      <c r="H215" s="9"/>
      <c r="I215" s="276">
        <f ca="1">I214/I8</f>
        <v>9.448370184636426E-2</v>
      </c>
      <c r="J215" s="276">
        <f ca="1">J214/J8</f>
        <v>8.8369781312127235E-2</v>
      </c>
      <c r="K215" s="276">
        <f ca="1">K214/K8</f>
        <v>8.919183818943241E-2</v>
      </c>
      <c r="L215" s="313">
        <f t="shared" ref="L215:Q215" ca="1" si="128">+K215</f>
        <v>8.919183818943241E-2</v>
      </c>
      <c r="M215" s="313">
        <f t="shared" ca="1" si="128"/>
        <v>8.919183818943241E-2</v>
      </c>
      <c r="N215" s="276">
        <f t="shared" ca="1" si="128"/>
        <v>8.919183818943241E-2</v>
      </c>
      <c r="O215" s="276">
        <f t="shared" ca="1" si="128"/>
        <v>8.919183818943241E-2</v>
      </c>
      <c r="P215" s="276">
        <f t="shared" ca="1" si="128"/>
        <v>8.919183818943241E-2</v>
      </c>
      <c r="Q215" s="276">
        <f t="shared" ca="1" si="128"/>
        <v>8.919183818943241E-2</v>
      </c>
    </row>
    <row r="216" spans="2:17" s="14" customFormat="1" ht="12.75" customHeight="1">
      <c r="B216" s="237"/>
      <c r="C216" s="9"/>
      <c r="D216" s="9"/>
      <c r="E216" s="9"/>
      <c r="F216" s="9"/>
      <c r="G216" s="9"/>
      <c r="H216" s="9"/>
      <c r="I216" s="276"/>
      <c r="J216" s="276"/>
      <c r="K216" s="276"/>
      <c r="L216" s="313"/>
      <c r="M216" s="313"/>
      <c r="N216" s="276"/>
      <c r="O216" s="276"/>
      <c r="P216" s="276"/>
      <c r="Q216" s="276"/>
    </row>
    <row r="217" spans="2:17" s="14" customFormat="1" ht="12.75" customHeight="1">
      <c r="B217" s="448" t="s">
        <v>303</v>
      </c>
      <c r="C217" s="9"/>
      <c r="D217" s="9"/>
      <c r="E217" s="9"/>
      <c r="F217" s="9"/>
      <c r="G217" s="9"/>
      <c r="H217" s="9"/>
      <c r="I217" s="403">
        <f ca="1">+'Cash Flow'!G10</f>
        <v>242</v>
      </c>
      <c r="J217" s="403">
        <f ca="1">+'Cash Flow'!H10</f>
        <v>149</v>
      </c>
      <c r="K217" s="403">
        <f ca="1">+'Cash Flow'!I10</f>
        <v>203</v>
      </c>
      <c r="L217" s="274">
        <f t="shared" ref="L217:Q217" ca="1" si="129">+L218*L8</f>
        <v>219.51240310077517</v>
      </c>
      <c r="M217" s="274">
        <f t="shared" ca="1" si="129"/>
        <v>240.17958656330748</v>
      </c>
      <c r="N217" s="274">
        <f t="shared" ca="1" si="129"/>
        <v>261.65891472868219</v>
      </c>
      <c r="O217" s="274">
        <f t="shared" ca="1" si="129"/>
        <v>285.89664082687341</v>
      </c>
      <c r="P217" s="274">
        <f t="shared" ca="1" si="129"/>
        <v>312.37953165419339</v>
      </c>
      <c r="Q217" s="274">
        <f t="shared" ca="1" si="129"/>
        <v>341.31555905752668</v>
      </c>
    </row>
    <row r="218" spans="2:17" s="14" customFormat="1" ht="12.75" customHeight="1">
      <c r="B218" s="237" t="s">
        <v>113</v>
      </c>
      <c r="C218" s="9"/>
      <c r="D218" s="9"/>
      <c r="E218" s="9"/>
      <c r="F218" s="9"/>
      <c r="G218" s="9"/>
      <c r="H218" s="9"/>
      <c r="I218" s="276">
        <f ca="1">+I217/I8</f>
        <v>2.7581490768178708E-2</v>
      </c>
      <c r="J218" s="276">
        <f ca="1">+J217/J8</f>
        <v>1.4811133200795228E-2</v>
      </c>
      <c r="K218" s="276">
        <f ca="1">+K217/K8</f>
        <v>1.8087855297157621E-2</v>
      </c>
      <c r="L218" s="313">
        <f ca="1">+K218</f>
        <v>1.8087855297157621E-2</v>
      </c>
      <c r="M218" s="313">
        <f t="shared" ref="M218:Q218" ca="1" si="130">+L218</f>
        <v>1.8087855297157621E-2</v>
      </c>
      <c r="N218" s="276">
        <f t="shared" ca="1" si="130"/>
        <v>1.8087855297157621E-2</v>
      </c>
      <c r="O218" s="276">
        <f t="shared" ca="1" si="130"/>
        <v>1.8087855297157621E-2</v>
      </c>
      <c r="P218" s="276">
        <f t="shared" ca="1" si="130"/>
        <v>1.8087855297157621E-2</v>
      </c>
      <c r="Q218" s="276">
        <f t="shared" ca="1" si="130"/>
        <v>1.8087855297157621E-2</v>
      </c>
    </row>
    <row r="219" spans="2:17" s="14" customFormat="1" ht="12.75" customHeight="1">
      <c r="B219" s="237"/>
      <c r="C219" s="9"/>
      <c r="D219" s="9"/>
      <c r="E219" s="9"/>
      <c r="F219" s="9"/>
      <c r="G219" s="9"/>
      <c r="H219" s="9"/>
      <c r="I219" s="276"/>
      <c r="J219" s="276"/>
      <c r="K219" s="276"/>
      <c r="L219" s="313"/>
      <c r="M219" s="313"/>
      <c r="N219" s="276"/>
      <c r="O219" s="276"/>
      <c r="P219" s="276"/>
      <c r="Q219" s="276"/>
    </row>
    <row r="220" spans="2:17" s="14" customFormat="1" ht="12.75" customHeight="1">
      <c r="B220" s="448" t="s">
        <v>279</v>
      </c>
      <c r="C220" s="9"/>
      <c r="D220" s="9"/>
      <c r="E220" s="9"/>
      <c r="F220" s="9"/>
      <c r="G220" s="9"/>
      <c r="H220" s="9"/>
      <c r="I220" s="276"/>
      <c r="J220" s="403">
        <f ca="1">+'Balance Sheet'!H10</f>
        <v>1866</v>
      </c>
      <c r="K220" s="403">
        <f ca="1">+'Balance Sheet'!I10</f>
        <v>2151</v>
      </c>
      <c r="L220" s="274">
        <f t="shared" ref="L220:Q220" ca="1" si="131">+L221/365*L8</f>
        <v>2325.9663993584604</v>
      </c>
      <c r="M220" s="274">
        <f t="shared" ca="1" si="131"/>
        <v>2544.9570970328791</v>
      </c>
      <c r="N220" s="274">
        <f t="shared" ca="1" si="131"/>
        <v>2772.5533279871697</v>
      </c>
      <c r="O220" s="274">
        <f t="shared" ca="1" si="131"/>
        <v>3029.3777064955898</v>
      </c>
      <c r="P220" s="274">
        <f t="shared" ca="1" si="131"/>
        <v>3309.991983192956</v>
      </c>
      <c r="Q220" s="274">
        <f t="shared" ca="1" si="131"/>
        <v>3616.5998400627586</v>
      </c>
    </row>
    <row r="221" spans="2:17" s="14" customFormat="1" ht="12.75" customHeight="1">
      <c r="B221" s="237" t="s">
        <v>304</v>
      </c>
      <c r="C221" s="9"/>
      <c r="D221" s="9"/>
      <c r="E221" s="9"/>
      <c r="F221" s="9"/>
      <c r="G221" s="9"/>
      <c r="H221" s="9"/>
      <c r="I221" s="276"/>
      <c r="J221" s="30">
        <f ca="1">+J220/J8*365</f>
        <v>67.702783300198803</v>
      </c>
      <c r="K221" s="30">
        <f ca="1">+K220/K8*365</f>
        <v>69.955894145950282</v>
      </c>
      <c r="L221" s="255">
        <f ca="1">+K221</f>
        <v>69.955894145950282</v>
      </c>
      <c r="M221" s="255">
        <f t="shared" ref="M221:Q221" ca="1" si="132">+L221</f>
        <v>69.955894145950282</v>
      </c>
      <c r="N221" s="30">
        <f t="shared" ca="1" si="132"/>
        <v>69.955894145950282</v>
      </c>
      <c r="O221" s="30">
        <f t="shared" ca="1" si="132"/>
        <v>69.955894145950282</v>
      </c>
      <c r="P221" s="30">
        <f t="shared" ca="1" si="132"/>
        <v>69.955894145950282</v>
      </c>
      <c r="Q221" s="30">
        <f t="shared" ca="1" si="132"/>
        <v>69.955894145950282</v>
      </c>
    </row>
    <row r="222" spans="2:17" s="14" customFormat="1" ht="12.75" customHeight="1">
      <c r="B222" s="237"/>
      <c r="C222" s="9"/>
      <c r="D222" s="9"/>
      <c r="E222" s="9"/>
      <c r="F222" s="9"/>
      <c r="G222" s="9"/>
      <c r="H222" s="9"/>
      <c r="I222" s="276"/>
      <c r="J222" s="276"/>
      <c r="K222" s="276"/>
      <c r="L222" s="276"/>
      <c r="M222" s="276"/>
      <c r="N222" s="276"/>
      <c r="O222" s="276"/>
      <c r="P222" s="276"/>
      <c r="Q222" s="276"/>
    </row>
    <row r="223" spans="2:17" s="14" customFormat="1" ht="12.75" customHeight="1">
      <c r="B223" s="448" t="s">
        <v>280</v>
      </c>
      <c r="C223" s="9"/>
      <c r="D223" s="9"/>
      <c r="E223" s="9"/>
      <c r="F223" s="9"/>
      <c r="G223" s="9"/>
      <c r="H223" s="9"/>
      <c r="I223" s="276"/>
      <c r="J223" s="403">
        <f ca="1">+'Balance Sheet'!H11</f>
        <v>290</v>
      </c>
      <c r="K223" s="403">
        <f ca="1">+'Balance Sheet'!I11</f>
        <v>316</v>
      </c>
      <c r="L223" s="274">
        <f t="shared" ref="L223:Q223" ca="1" si="133">+L224*L8</f>
        <v>341.70403635391608</v>
      </c>
      <c r="M223" s="274">
        <f t="shared" ca="1" si="133"/>
        <v>373.87561258130626</v>
      </c>
      <c r="N223" s="274">
        <f t="shared" ca="1" si="133"/>
        <v>407.31141406041172</v>
      </c>
      <c r="O223" s="274">
        <f t="shared" ca="1" si="133"/>
        <v>445.04107636104436</v>
      </c>
      <c r="P223" s="274">
        <f t="shared" ca="1" si="133"/>
        <v>486.2656748902715</v>
      </c>
      <c r="Q223" s="274">
        <f t="shared" ca="1" si="133"/>
        <v>531.30894907477068</v>
      </c>
    </row>
    <row r="224" spans="2:17" ht="12.75" customHeight="1">
      <c r="B224" s="110" t="s">
        <v>113</v>
      </c>
      <c r="I224" s="258"/>
      <c r="J224" s="101">
        <f ca="1">+J223/J8</f>
        <v>2.8827037773359841E-2</v>
      </c>
      <c r="K224" s="101">
        <f ca="1">+K223/K8</f>
        <v>2.8156464403457187E-2</v>
      </c>
      <c r="L224" s="242">
        <f ca="1">+K224</f>
        <v>2.8156464403457187E-2</v>
      </c>
      <c r="M224" s="242">
        <f t="shared" ref="M224:Q224" ca="1" si="134">+L224</f>
        <v>2.8156464403457187E-2</v>
      </c>
      <c r="N224" s="101">
        <f t="shared" ca="1" si="134"/>
        <v>2.8156464403457187E-2</v>
      </c>
      <c r="O224" s="101">
        <f t="shared" ca="1" si="134"/>
        <v>2.8156464403457187E-2</v>
      </c>
      <c r="P224" s="101">
        <f t="shared" ca="1" si="134"/>
        <v>2.8156464403457187E-2</v>
      </c>
      <c r="Q224" s="101">
        <f t="shared" ca="1" si="134"/>
        <v>2.8156464403457187E-2</v>
      </c>
    </row>
    <row r="225" spans="2:17" ht="12.75" customHeight="1">
      <c r="B225" s="110"/>
      <c r="I225" s="258"/>
      <c r="J225" s="258"/>
      <c r="K225" s="258"/>
      <c r="L225" s="111"/>
      <c r="M225" s="111"/>
      <c r="N225" s="111"/>
      <c r="O225" s="111"/>
      <c r="P225" s="111"/>
      <c r="Q225" s="111"/>
    </row>
    <row r="226" spans="2:17" ht="12.75" customHeight="1">
      <c r="B226" s="117" t="s">
        <v>282</v>
      </c>
      <c r="I226" s="258"/>
      <c r="J226" s="73">
        <f ca="1">+'Balance Sheet'!H21</f>
        <v>2536</v>
      </c>
      <c r="K226" s="73">
        <f ca="1">+'Balance Sheet'!I21</f>
        <v>2487</v>
      </c>
      <c r="L226" s="111">
        <f t="shared" ref="L226:Q226" ca="1" si="135">+L227/365*L9</f>
        <v>2687.9628893129789</v>
      </c>
      <c r="M226" s="111">
        <f t="shared" ca="1" si="135"/>
        <v>2941.0357061068717</v>
      </c>
      <c r="N226" s="111">
        <f t="shared" ca="1" si="135"/>
        <v>3204.0533587786276</v>
      </c>
      <c r="O226" s="111">
        <f t="shared" ca="1" si="135"/>
        <v>3500.8480152671773</v>
      </c>
      <c r="P226" s="111">
        <f t="shared" ca="1" si="135"/>
        <v>3825.1350566371489</v>
      </c>
      <c r="Q226" s="111">
        <f t="shared" ca="1" si="135"/>
        <v>4179.4611299050721</v>
      </c>
    </row>
    <row r="227" spans="2:17" ht="12.75" customHeight="1">
      <c r="B227" s="110" t="s">
        <v>305</v>
      </c>
      <c r="I227" s="258"/>
      <c r="J227" s="449">
        <f ca="1">+J226/J9*365</f>
        <v>526.82982356289131</v>
      </c>
      <c r="K227" s="449">
        <f ca="1">+K226/K9*365</f>
        <v>461.96183206106872</v>
      </c>
      <c r="L227" s="170">
        <f ca="1">+K227</f>
        <v>461.96183206106872</v>
      </c>
      <c r="M227" s="170">
        <f t="shared" ref="M227:Q227" ca="1" si="136">+L227</f>
        <v>461.96183206106872</v>
      </c>
      <c r="N227" s="449">
        <f t="shared" ca="1" si="136"/>
        <v>461.96183206106872</v>
      </c>
      <c r="O227" s="449">
        <f t="shared" ca="1" si="136"/>
        <v>461.96183206106872</v>
      </c>
      <c r="P227" s="449">
        <f t="shared" ca="1" si="136"/>
        <v>461.96183206106872</v>
      </c>
      <c r="Q227" s="449">
        <f t="shared" ca="1" si="136"/>
        <v>461.96183206106872</v>
      </c>
    </row>
    <row r="228" spans="2:17" ht="12.75" customHeight="1">
      <c r="B228" s="110"/>
      <c r="I228" s="258"/>
      <c r="J228" s="258"/>
      <c r="K228" s="258"/>
      <c r="L228" s="111"/>
      <c r="M228" s="111"/>
      <c r="N228" s="111"/>
      <c r="O228" s="111"/>
      <c r="P228" s="111"/>
      <c r="Q228" s="111"/>
    </row>
    <row r="229" spans="2:17" ht="12.75" customHeight="1">
      <c r="B229" s="117" t="s">
        <v>284</v>
      </c>
      <c r="I229" s="258"/>
      <c r="J229" s="73">
        <f ca="1">+'Balance Sheet'!H22</f>
        <v>3545</v>
      </c>
      <c r="K229" s="73">
        <f ca="1">+'Balance Sheet'!I22</f>
        <v>4691</v>
      </c>
      <c r="L229" s="111">
        <f t="shared" ref="L229:Q229" ca="1" si="137">+L230*L8</f>
        <v>5072.5747928361397</v>
      </c>
      <c r="M229" s="111">
        <f t="shared" ca="1" si="137"/>
        <v>5550.1598057560368</v>
      </c>
      <c r="N229" s="111">
        <f t="shared" ca="1" si="137"/>
        <v>6046.5121625233896</v>
      </c>
      <c r="O229" s="111">
        <f t="shared" ca="1" si="137"/>
        <v>6606.6066114229716</v>
      </c>
      <c r="P229" s="111">
        <f t="shared" ca="1" si="137"/>
        <v>7218.5831674375431</v>
      </c>
      <c r="Q229" s="111">
        <f t="shared" ca="1" si="137"/>
        <v>7887.2477218662943</v>
      </c>
    </row>
    <row r="230" spans="2:17" ht="12.75" customHeight="1">
      <c r="B230" s="110" t="s">
        <v>113</v>
      </c>
      <c r="I230" s="258"/>
      <c r="J230" s="101">
        <f ca="1">+J229/J8</f>
        <v>0.35238568588469182</v>
      </c>
      <c r="K230" s="101">
        <f ca="1">+K229/K8</f>
        <v>0.41798093201461284</v>
      </c>
      <c r="L230" s="242">
        <f ca="1">+K230</f>
        <v>0.41798093201461284</v>
      </c>
      <c r="M230" s="242">
        <f t="shared" ref="M230:Q230" ca="1" si="138">+L230</f>
        <v>0.41798093201461284</v>
      </c>
      <c r="N230" s="101">
        <f t="shared" ca="1" si="138"/>
        <v>0.41798093201461284</v>
      </c>
      <c r="O230" s="101">
        <f t="shared" ca="1" si="138"/>
        <v>0.41798093201461284</v>
      </c>
      <c r="P230" s="101">
        <f t="shared" ca="1" si="138"/>
        <v>0.41798093201461284</v>
      </c>
      <c r="Q230" s="101">
        <f t="shared" ca="1" si="138"/>
        <v>0.41798093201461284</v>
      </c>
    </row>
    <row r="231" spans="2:17" ht="12.75" customHeight="1">
      <c r="B231" s="110"/>
      <c r="I231" s="258"/>
      <c r="J231" s="258"/>
      <c r="K231" s="258"/>
      <c r="L231" s="111"/>
      <c r="M231" s="111"/>
      <c r="N231" s="111"/>
      <c r="O231" s="111"/>
      <c r="P231" s="111"/>
      <c r="Q231" s="111"/>
    </row>
    <row r="232" spans="2:17" ht="12.75" customHeight="1">
      <c r="B232" s="117" t="s">
        <v>283</v>
      </c>
      <c r="I232" s="258"/>
      <c r="J232" s="73">
        <f ca="1">+'Balance Sheet'!H23</f>
        <v>1298</v>
      </c>
      <c r="K232" s="73">
        <f ca="1">+'Balance Sheet'!I23</f>
        <v>882</v>
      </c>
      <c r="L232" s="111">
        <f t="shared" ref="L232:Q232" ca="1" si="139">+L233*L9</f>
        <v>953.27031297709982</v>
      </c>
      <c r="M232" s="111">
        <f t="shared" ca="1" si="139"/>
        <v>1043.0211068702295</v>
      </c>
      <c r="N232" s="111">
        <f t="shared" ca="1" si="139"/>
        <v>1136.2987786259548</v>
      </c>
      <c r="O232" s="111">
        <f t="shared" ca="1" si="139"/>
        <v>1241.5552671755731</v>
      </c>
      <c r="P232" s="111">
        <f t="shared" ca="1" si="139"/>
        <v>1356.5617691813291</v>
      </c>
      <c r="Q232" s="111">
        <f t="shared" ca="1" si="139"/>
        <v>1482.2214381086746</v>
      </c>
    </row>
    <row r="233" spans="2:17" ht="12.75" customHeight="1">
      <c r="B233" s="110" t="s">
        <v>306</v>
      </c>
      <c r="I233" s="258"/>
      <c r="J233" s="101">
        <f ca="1">+J232/J9</f>
        <v>0.73875924871940812</v>
      </c>
      <c r="K233" s="101">
        <f ca="1">+K232/K9</f>
        <v>0.44885496183206108</v>
      </c>
      <c r="L233" s="242">
        <f ca="1">+K233</f>
        <v>0.44885496183206108</v>
      </c>
      <c r="M233" s="242">
        <f t="shared" ref="M233:Q233" ca="1" si="140">+L233</f>
        <v>0.44885496183206108</v>
      </c>
      <c r="N233" s="101">
        <f t="shared" ca="1" si="140"/>
        <v>0.44885496183206108</v>
      </c>
      <c r="O233" s="101">
        <f t="shared" ca="1" si="140"/>
        <v>0.44885496183206108</v>
      </c>
      <c r="P233" s="101">
        <f t="shared" ca="1" si="140"/>
        <v>0.44885496183206108</v>
      </c>
      <c r="Q233" s="101">
        <f t="shared" ca="1" si="140"/>
        <v>0.44885496183206108</v>
      </c>
    </row>
    <row r="234" spans="2:17" ht="12.75" customHeight="1">
      <c r="J234" s="308"/>
      <c r="K234" s="308"/>
      <c r="L234" s="308"/>
      <c r="M234" s="345"/>
      <c r="N234" s="345"/>
      <c r="O234" s="345"/>
      <c r="P234" s="345"/>
      <c r="Q234" s="345"/>
    </row>
    <row r="235" spans="2:17" s="14" customFormat="1" ht="16" customHeight="1" thickBot="1">
      <c r="B235" s="269" t="s">
        <v>62</v>
      </c>
      <c r="C235" s="269"/>
      <c r="D235" s="270"/>
      <c r="E235" s="270"/>
      <c r="F235" s="270"/>
      <c r="G235" s="270"/>
      <c r="H235" s="270"/>
      <c r="I235" s="270"/>
      <c r="J235" s="270"/>
      <c r="K235" s="270"/>
      <c r="L235" s="270"/>
      <c r="M235" s="270"/>
      <c r="N235" s="270"/>
      <c r="O235" s="270"/>
      <c r="P235" s="271"/>
      <c r="Q235" s="271"/>
    </row>
    <row r="236" spans="2:17">
      <c r="B236" s="346"/>
      <c r="C236" s="346"/>
      <c r="D236" s="7"/>
      <c r="E236" s="7"/>
      <c r="F236" s="7"/>
      <c r="G236" s="7"/>
      <c r="H236" s="7"/>
      <c r="I236" s="4"/>
      <c r="J236" s="7"/>
      <c r="K236" s="7"/>
      <c r="L236" s="7"/>
      <c r="M236" s="7"/>
      <c r="N236" s="7"/>
      <c r="O236" s="7"/>
    </row>
    <row r="237" spans="2:17" s="14" customFormat="1" ht="12.75" customHeight="1">
      <c r="B237" s="157" t="s">
        <v>63</v>
      </c>
      <c r="C237" s="347">
        <v>1</v>
      </c>
      <c r="D237" s="192" t="str">
        <f ca="1">INDEX(C240:C244,acase)</f>
        <v>Wall street consensus</v>
      </c>
      <c r="E237" s="254"/>
      <c r="F237" s="254"/>
      <c r="G237" s="254"/>
      <c r="H237" s="364" t="str">
        <f ca="1">$B$7</f>
        <v>Fiscal Year Ended December 31,</v>
      </c>
      <c r="I237" s="364"/>
      <c r="J237" s="365"/>
      <c r="K237" s="365"/>
      <c r="L237" s="348">
        <f t="shared" ref="L237:Q237" ca="1" si="141">L$7</f>
        <v>2019</v>
      </c>
      <c r="M237" s="349">
        <f t="shared" ca="1" si="141"/>
        <v>2020</v>
      </c>
      <c r="N237" s="349">
        <f t="shared" ca="1" si="141"/>
        <v>2021</v>
      </c>
      <c r="O237" s="349">
        <f t="shared" ca="1" si="141"/>
        <v>2022</v>
      </c>
      <c r="P237" s="349">
        <f t="shared" ca="1" si="141"/>
        <v>2023</v>
      </c>
      <c r="Q237" s="349">
        <f t="shared" ca="1" si="141"/>
        <v>2024</v>
      </c>
    </row>
    <row r="238" spans="2:17" s="14" customFormat="1" ht="12.75" customHeight="1">
      <c r="B238" s="192"/>
      <c r="C238" s="192"/>
      <c r="D238" s="192"/>
      <c r="E238" s="192"/>
      <c r="F238" s="192"/>
      <c r="G238" s="254"/>
      <c r="H238" s="366"/>
      <c r="I238" s="366"/>
      <c r="J238" s="366"/>
      <c r="K238" s="367"/>
      <c r="L238" s="368"/>
      <c r="M238" s="368"/>
      <c r="N238" s="368"/>
      <c r="O238" s="369"/>
      <c r="P238" s="369"/>
      <c r="Q238" s="369"/>
    </row>
    <row r="239" spans="2:17" ht="12.75" customHeight="1">
      <c r="B239" s="350" t="s">
        <v>63</v>
      </c>
      <c r="C239" s="157" t="s">
        <v>120</v>
      </c>
      <c r="D239" s="4"/>
      <c r="E239" s="157" t="s">
        <v>119</v>
      </c>
      <c r="F239" s="4"/>
      <c r="G239" s="4"/>
      <c r="H239" s="370" t="s">
        <v>294</v>
      </c>
      <c r="I239" s="4"/>
      <c r="K239" s="371">
        <f ca="1">$C$237</f>
        <v>1</v>
      </c>
      <c r="L239" s="353">
        <f t="shared" ref="L239:Q239" ca="1" si="142">INDEX(L240:L244,$K239)</f>
        <v>8.1341887195936824E-2</v>
      </c>
      <c r="M239" s="241">
        <f t="shared" ca="1" si="142"/>
        <v>9.4150413236760322E-2</v>
      </c>
      <c r="N239" s="241">
        <f t="shared" ca="1" si="142"/>
        <v>8.9430282034868469E-2</v>
      </c>
      <c r="O239" s="241">
        <f t="shared" ca="1" si="142"/>
        <v>9.2630996820129985E-2</v>
      </c>
      <c r="P239" s="241">
        <f t="shared" ca="1" si="142"/>
        <v>9.2630996820129985E-2</v>
      </c>
      <c r="Q239" s="372">
        <f t="shared" ca="1" si="142"/>
        <v>9.2630996820129985E-2</v>
      </c>
    </row>
    <row r="240" spans="2:17" ht="12.75" customHeight="1">
      <c r="B240" s="354">
        <v>1</v>
      </c>
      <c r="C240" s="355" t="s">
        <v>228</v>
      </c>
      <c r="D240" s="113"/>
      <c r="E240" s="355" t="s">
        <v>229</v>
      </c>
      <c r="F240" s="113"/>
      <c r="G240" s="4"/>
      <c r="H240" s="4"/>
      <c r="I240" s="4"/>
      <c r="J240" s="4"/>
      <c r="K240" s="356">
        <v>1</v>
      </c>
      <c r="L240" s="242">
        <f ca="1">+Inputs!D35/'Income Statement'!I7-1</f>
        <v>8.1341887195936824E-2</v>
      </c>
      <c r="M240" s="242">
        <f ca="1">+Inputs!E35/Inputs!D35-1</f>
        <v>9.4150413236760322E-2</v>
      </c>
      <c r="N240" s="101">
        <f ca="1">+Inputs!F35/Inputs!E35-1</f>
        <v>8.9430282034868469E-2</v>
      </c>
      <c r="O240" s="101">
        <f ca="1">+Inputs!G35/Inputs!F35-1</f>
        <v>9.2630996820129985E-2</v>
      </c>
      <c r="P240" s="101">
        <f t="shared" ref="N240:Q244" ca="1" si="143">+O240</f>
        <v>9.2630996820129985E-2</v>
      </c>
      <c r="Q240" s="101">
        <f t="shared" ca="1" si="143"/>
        <v>9.2630996820129985E-2</v>
      </c>
    </row>
    <row r="241" spans="2:19" ht="12.75" customHeight="1">
      <c r="B241" s="266">
        <v>2</v>
      </c>
      <c r="C241" s="284" t="s">
        <v>160</v>
      </c>
      <c r="D241" s="4"/>
      <c r="E241" s="1" t="s">
        <v>146</v>
      </c>
      <c r="F241" s="4"/>
      <c r="G241" s="4"/>
      <c r="I241" s="4"/>
      <c r="K241" s="357">
        <f ca="1">K240+1</f>
        <v>2</v>
      </c>
      <c r="L241" s="242">
        <v>0</v>
      </c>
      <c r="M241" s="242">
        <v>0</v>
      </c>
      <c r="N241" s="101">
        <f t="shared" ca="1" si="143"/>
        <v>0</v>
      </c>
      <c r="O241" s="101">
        <f t="shared" ca="1" si="143"/>
        <v>0</v>
      </c>
      <c r="P241" s="101">
        <f t="shared" ca="1" si="143"/>
        <v>0</v>
      </c>
      <c r="Q241" s="101">
        <f t="shared" ca="1" si="143"/>
        <v>0</v>
      </c>
    </row>
    <row r="242" spans="2:19" ht="12.75" customHeight="1">
      <c r="B242" s="266">
        <v>3</v>
      </c>
      <c r="C242" s="284" t="s">
        <v>161</v>
      </c>
      <c r="D242" s="4"/>
      <c r="E242" s="1" t="s">
        <v>146</v>
      </c>
      <c r="F242" s="4"/>
      <c r="G242" s="4"/>
      <c r="I242" s="4"/>
      <c r="K242" s="357">
        <f ca="1">K241+1</f>
        <v>3</v>
      </c>
      <c r="L242" s="242">
        <v>0</v>
      </c>
      <c r="M242" s="242">
        <v>0</v>
      </c>
      <c r="N242" s="101">
        <f t="shared" ca="1" si="143"/>
        <v>0</v>
      </c>
      <c r="O242" s="101">
        <f t="shared" ca="1" si="143"/>
        <v>0</v>
      </c>
      <c r="P242" s="101">
        <f t="shared" ca="1" si="143"/>
        <v>0</v>
      </c>
      <c r="Q242" s="101">
        <f t="shared" ca="1" si="143"/>
        <v>0</v>
      </c>
    </row>
    <row r="243" spans="2:19" ht="12.75" customHeight="1">
      <c r="B243" s="266">
        <v>4</v>
      </c>
      <c r="C243" s="284" t="s">
        <v>162</v>
      </c>
      <c r="D243" s="4"/>
      <c r="E243" s="1" t="s">
        <v>146</v>
      </c>
      <c r="F243" s="4"/>
      <c r="G243" s="4"/>
      <c r="I243" s="4"/>
      <c r="K243" s="357">
        <f ca="1">K242+1</f>
        <v>4</v>
      </c>
      <c r="L243" s="242">
        <v>0</v>
      </c>
      <c r="M243" s="242">
        <v>0</v>
      </c>
      <c r="N243" s="101">
        <f t="shared" ca="1" si="143"/>
        <v>0</v>
      </c>
      <c r="O243" s="101">
        <f t="shared" ca="1" si="143"/>
        <v>0</v>
      </c>
      <c r="P243" s="101">
        <f t="shared" ca="1" si="143"/>
        <v>0</v>
      </c>
      <c r="Q243" s="101">
        <f t="shared" ca="1" si="143"/>
        <v>0</v>
      </c>
    </row>
    <row r="244" spans="2:19" ht="12.75" customHeight="1">
      <c r="B244" s="266">
        <v>5</v>
      </c>
      <c r="C244" s="284" t="s">
        <v>163</v>
      </c>
      <c r="D244" s="4"/>
      <c r="E244" s="1" t="s">
        <v>146</v>
      </c>
      <c r="F244" s="4"/>
      <c r="G244" s="4"/>
      <c r="I244" s="4"/>
      <c r="K244" s="357">
        <f ca="1">K243+1</f>
        <v>5</v>
      </c>
      <c r="L244" s="242">
        <v>0</v>
      </c>
      <c r="M244" s="242">
        <v>0</v>
      </c>
      <c r="N244" s="101">
        <f t="shared" ca="1" si="143"/>
        <v>0</v>
      </c>
      <c r="O244" s="101">
        <f t="shared" ca="1" si="143"/>
        <v>0</v>
      </c>
      <c r="P244" s="101">
        <f t="shared" ca="1" si="143"/>
        <v>0</v>
      </c>
      <c r="Q244" s="101">
        <f t="shared" ca="1" si="143"/>
        <v>0</v>
      </c>
    </row>
    <row r="245" spans="2:19" ht="12.75" customHeight="1">
      <c r="H245" s="4"/>
      <c r="I245" s="4"/>
      <c r="J245" s="4"/>
      <c r="K245" s="4"/>
    </row>
    <row r="246" spans="2:19" s="14" customFormat="1" ht="12.75" customHeight="1">
      <c r="B246" s="192"/>
      <c r="E246" s="9"/>
      <c r="F246" s="9"/>
      <c r="H246" s="351" t="s">
        <v>295</v>
      </c>
      <c r="J246" s="3"/>
      <c r="K246" s="352">
        <f ca="1">$C$237</f>
        <v>1</v>
      </c>
      <c r="L246" s="353">
        <f t="shared" ref="L246:Q246" ca="1" si="144">INDEX(L247:L251,$K246)</f>
        <v>0.82499999999999996</v>
      </c>
      <c r="M246" s="241">
        <f t="shared" ca="1" si="144"/>
        <v>0.82499999999999996</v>
      </c>
      <c r="N246" s="241">
        <f t="shared" ca="1" si="144"/>
        <v>0.82499999999999996</v>
      </c>
      <c r="O246" s="241">
        <f t="shared" ca="1" si="144"/>
        <v>0.82499999999999996</v>
      </c>
      <c r="P246" s="241">
        <f t="shared" ca="1" si="144"/>
        <v>0.82499999999999996</v>
      </c>
      <c r="Q246" s="372">
        <f t="shared" ca="1" si="144"/>
        <v>0.82499999999999996</v>
      </c>
    </row>
    <row r="247" spans="2:19" s="14" customFormat="1" ht="12.75" customHeight="1">
      <c r="E247" s="9"/>
      <c r="F247" s="9"/>
      <c r="G247" s="9"/>
      <c r="H247" s="9"/>
      <c r="J247" s="9"/>
      <c r="K247" s="358">
        <f ca="1">K240</f>
        <v>1</v>
      </c>
      <c r="L247" s="242">
        <v>0.82499999999999996</v>
      </c>
      <c r="M247" s="242">
        <v>0.82499999999999996</v>
      </c>
      <c r="N247" s="242">
        <v>0.82499999999999996</v>
      </c>
      <c r="O247" s="242">
        <v>0.82499999999999996</v>
      </c>
      <c r="P247" s="242">
        <v>0.82499999999999996</v>
      </c>
      <c r="Q247" s="242">
        <v>0.82499999999999996</v>
      </c>
    </row>
    <row r="248" spans="2:19" s="14" customFormat="1" ht="12.75" customHeight="1">
      <c r="B248" s="9"/>
      <c r="C248" s="9"/>
      <c r="E248" s="9"/>
      <c r="F248" s="9"/>
      <c r="G248" s="9"/>
      <c r="H248" s="9"/>
      <c r="J248" s="9"/>
      <c r="K248" s="357">
        <f ca="1">K247+1</f>
        <v>2</v>
      </c>
      <c r="L248" s="242">
        <v>0</v>
      </c>
      <c r="M248" s="242">
        <v>0</v>
      </c>
      <c r="N248" s="101">
        <f t="shared" ref="N248:Q251" ca="1" si="145">+M248</f>
        <v>0</v>
      </c>
      <c r="O248" s="101">
        <f t="shared" ca="1" si="145"/>
        <v>0</v>
      </c>
      <c r="P248" s="101">
        <f t="shared" ca="1" si="145"/>
        <v>0</v>
      </c>
      <c r="Q248" s="101">
        <f t="shared" ca="1" si="145"/>
        <v>0</v>
      </c>
    </row>
    <row r="249" spans="2:19" s="14" customFormat="1" ht="12.75" customHeight="1">
      <c r="B249" s="9"/>
      <c r="C249" s="9"/>
      <c r="E249" s="9"/>
      <c r="F249" s="9"/>
      <c r="G249" s="9"/>
      <c r="H249" s="9"/>
      <c r="J249" s="9"/>
      <c r="K249" s="357">
        <f ca="1">K248+1</f>
        <v>3</v>
      </c>
      <c r="L249" s="242">
        <v>0</v>
      </c>
      <c r="M249" s="242">
        <v>0</v>
      </c>
      <c r="N249" s="101">
        <f t="shared" ca="1" si="145"/>
        <v>0</v>
      </c>
      <c r="O249" s="101">
        <f t="shared" ca="1" si="145"/>
        <v>0</v>
      </c>
      <c r="P249" s="101">
        <f t="shared" ca="1" si="145"/>
        <v>0</v>
      </c>
      <c r="Q249" s="101">
        <f t="shared" ca="1" si="145"/>
        <v>0</v>
      </c>
    </row>
    <row r="250" spans="2:19" s="14" customFormat="1" ht="12.75" customHeight="1">
      <c r="B250" s="9"/>
      <c r="C250" s="9"/>
      <c r="E250" s="9"/>
      <c r="F250" s="9"/>
      <c r="G250" s="9"/>
      <c r="H250" s="9"/>
      <c r="J250" s="9"/>
      <c r="K250" s="357">
        <f ca="1">K249+1</f>
        <v>4</v>
      </c>
      <c r="L250" s="242">
        <v>0</v>
      </c>
      <c r="M250" s="242">
        <v>0</v>
      </c>
      <c r="N250" s="101">
        <f t="shared" ca="1" si="145"/>
        <v>0</v>
      </c>
      <c r="O250" s="101">
        <f t="shared" ca="1" si="145"/>
        <v>0</v>
      </c>
      <c r="P250" s="101">
        <f t="shared" ca="1" si="145"/>
        <v>0</v>
      </c>
      <c r="Q250" s="101">
        <f t="shared" ca="1" si="145"/>
        <v>0</v>
      </c>
    </row>
    <row r="251" spans="2:19" s="14" customFormat="1" ht="12.75" customHeight="1">
      <c r="B251" s="9"/>
      <c r="C251" s="9"/>
      <c r="E251" s="9"/>
      <c r="F251" s="9"/>
      <c r="G251" s="9"/>
      <c r="H251" s="9"/>
      <c r="J251" s="9"/>
      <c r="K251" s="357">
        <f ca="1">K250+1</f>
        <v>5</v>
      </c>
      <c r="L251" s="242">
        <v>0</v>
      </c>
      <c r="M251" s="242">
        <v>0</v>
      </c>
      <c r="N251" s="101">
        <f t="shared" ca="1" si="145"/>
        <v>0</v>
      </c>
      <c r="O251" s="101">
        <f t="shared" ca="1" si="145"/>
        <v>0</v>
      </c>
      <c r="P251" s="101">
        <f t="shared" ca="1" si="145"/>
        <v>0</v>
      </c>
      <c r="Q251" s="101">
        <f t="shared" ca="1" si="145"/>
        <v>0</v>
      </c>
      <c r="S251" s="307"/>
    </row>
    <row r="252" spans="2:19" ht="12.75" customHeight="1">
      <c r="H252" s="4"/>
      <c r="I252" s="4"/>
      <c r="J252" s="4"/>
      <c r="K252" s="4"/>
      <c r="L252" s="9"/>
      <c r="M252" s="373"/>
      <c r="N252" s="373"/>
      <c r="O252" s="373"/>
      <c r="P252" s="373"/>
      <c r="Q252" s="373"/>
      <c r="S252" s="232"/>
    </row>
    <row r="253" spans="2:19" ht="12.75" customHeight="1">
      <c r="B253" s="4"/>
      <c r="C253" s="192"/>
      <c r="G253" s="4"/>
      <c r="H253" s="191" t="s">
        <v>296</v>
      </c>
      <c r="I253" s="4"/>
      <c r="J253" s="9"/>
      <c r="K253" s="352">
        <f ca="1">$C$237</f>
        <v>1</v>
      </c>
      <c r="L253" s="374">
        <f t="shared" ref="L253:Q253" ca="1" si="146">INDEX(L254:L258,$K253)</f>
        <v>0.73</v>
      </c>
      <c r="M253" s="241">
        <f t="shared" ca="1" si="146"/>
        <v>0.73</v>
      </c>
      <c r="N253" s="241">
        <f t="shared" ca="1" si="146"/>
        <v>0.73</v>
      </c>
      <c r="O253" s="241">
        <f t="shared" ca="1" si="146"/>
        <v>0.73</v>
      </c>
      <c r="P253" s="241">
        <f t="shared" ca="1" si="146"/>
        <v>0.73</v>
      </c>
      <c r="Q253" s="372">
        <f t="shared" ca="1" si="146"/>
        <v>0.73</v>
      </c>
      <c r="S253" s="232"/>
    </row>
    <row r="254" spans="2:19" ht="12.75" customHeight="1">
      <c r="B254" s="4"/>
      <c r="C254" s="375"/>
      <c r="K254" s="358">
        <f ca="1">K240</f>
        <v>1</v>
      </c>
      <c r="L254" s="242">
        <v>0.73</v>
      </c>
      <c r="M254" s="242">
        <v>0.73</v>
      </c>
      <c r="N254" s="242">
        <v>0.73</v>
      </c>
      <c r="O254" s="242">
        <v>0.73</v>
      </c>
      <c r="P254" s="242">
        <v>0.73</v>
      </c>
      <c r="Q254" s="242">
        <v>0.73</v>
      </c>
      <c r="S254" s="232"/>
    </row>
    <row r="255" spans="2:19" ht="12.75" customHeight="1">
      <c r="K255" s="357">
        <f ca="1">K254+1</f>
        <v>2</v>
      </c>
      <c r="L255" s="242">
        <v>0</v>
      </c>
      <c r="M255" s="242">
        <v>0</v>
      </c>
      <c r="N255" s="101">
        <f t="shared" ref="N255:Q258" ca="1" si="147">+M255</f>
        <v>0</v>
      </c>
      <c r="O255" s="101">
        <f t="shared" ca="1" si="147"/>
        <v>0</v>
      </c>
      <c r="P255" s="101">
        <f t="shared" ca="1" si="147"/>
        <v>0</v>
      </c>
      <c r="Q255" s="101">
        <f t="shared" ca="1" si="147"/>
        <v>0</v>
      </c>
      <c r="S255" s="232"/>
    </row>
    <row r="256" spans="2:19" ht="12.75" customHeight="1">
      <c r="B256" s="4"/>
      <c r="C256" s="4"/>
      <c r="D256" s="4"/>
      <c r="E256" s="4"/>
      <c r="F256" s="4"/>
      <c r="G256" s="4"/>
      <c r="H256" s="4"/>
      <c r="K256" s="357">
        <f ca="1">K255+1</f>
        <v>3</v>
      </c>
      <c r="L256" s="242">
        <v>0</v>
      </c>
      <c r="M256" s="242">
        <v>0</v>
      </c>
      <c r="N256" s="101">
        <f t="shared" ca="1" si="147"/>
        <v>0</v>
      </c>
      <c r="O256" s="101">
        <f t="shared" ca="1" si="147"/>
        <v>0</v>
      </c>
      <c r="P256" s="101">
        <f t="shared" ca="1" si="147"/>
        <v>0</v>
      </c>
      <c r="Q256" s="101">
        <f t="shared" ca="1" si="147"/>
        <v>0</v>
      </c>
      <c r="S256" s="232"/>
    </row>
    <row r="257" spans="2:17" ht="12.75" customHeight="1">
      <c r="B257" s="4"/>
      <c r="C257" s="4"/>
      <c r="D257" s="4"/>
      <c r="E257" s="4"/>
      <c r="F257" s="4"/>
      <c r="G257" s="4"/>
      <c r="H257" s="4"/>
      <c r="I257" s="4"/>
      <c r="J257" s="4"/>
      <c r="K257" s="357">
        <f ca="1">K256+1</f>
        <v>4</v>
      </c>
      <c r="L257" s="242">
        <v>0</v>
      </c>
      <c r="M257" s="242">
        <v>0</v>
      </c>
      <c r="N257" s="101">
        <f t="shared" ca="1" si="147"/>
        <v>0</v>
      </c>
      <c r="O257" s="101">
        <f t="shared" ca="1" si="147"/>
        <v>0</v>
      </c>
      <c r="P257" s="101">
        <f t="shared" ca="1" si="147"/>
        <v>0</v>
      </c>
      <c r="Q257" s="101">
        <f t="shared" ca="1" si="147"/>
        <v>0</v>
      </c>
    </row>
    <row r="258" spans="2:17" ht="12.75" customHeight="1">
      <c r="B258" s="4"/>
      <c r="C258" s="4"/>
      <c r="D258" s="4"/>
      <c r="E258" s="4"/>
      <c r="F258" s="4"/>
      <c r="G258" s="4"/>
      <c r="H258" s="4"/>
      <c r="I258" s="4"/>
      <c r="J258" s="4"/>
      <c r="K258" s="357">
        <f ca="1">K257+1</f>
        <v>5</v>
      </c>
      <c r="L258" s="242">
        <v>0</v>
      </c>
      <c r="M258" s="242">
        <v>0</v>
      </c>
      <c r="N258" s="101">
        <f t="shared" ca="1" si="147"/>
        <v>0</v>
      </c>
      <c r="O258" s="101">
        <f t="shared" ca="1" si="147"/>
        <v>0</v>
      </c>
      <c r="P258" s="101">
        <f t="shared" ca="1" si="147"/>
        <v>0</v>
      </c>
      <c r="Q258" s="101">
        <f t="shared" ca="1" si="147"/>
        <v>0</v>
      </c>
    </row>
  </sheetData>
  <customSheetViews>
    <customSheetView guid="{9AE38660-BF5A-49A3-9FC0-AD5890AFC019}" showPageBreaks="1" showGridLines="0" printArea="1" hiddenRows="1" view="pageBreakPreview" showRuler="0">
      <selection activeCell="P14" sqref="P14"/>
      <rowBreaks count="6" manualBreakCount="6">
        <brk id="46" min="1" max="14" man="1"/>
        <brk id="79" min="1" max="14" man="1"/>
        <brk id="110" min="1" max="14" man="1"/>
        <brk id="135" min="1" max="14" man="1"/>
        <brk id="159" min="1" max="14" man="1"/>
        <brk id="169" min="1" max="15" man="1"/>
      </rowBreaks>
      <pageMargins left="0.35" right="0.35" top="0.35" bottom="0.35" header="0.15" footer="0.15"/>
      <printOptions horizontalCentered="1"/>
      <pageSetup scale="86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dataValidations disablePrompts="1" count="1">
    <dataValidation type="custom" allowBlank="1" showInputMessage="1" showErrorMessage="1" error="Enter &quot;F&quot; for fixed rate or &quot;L&quot; for LIBOR-based rate" sqref="E168:E175" xr:uid="{00000000-0002-0000-0600-000000000000}">
      <formula1>OR(E168="F",E168="L")</formula1>
    </dataValidation>
  </dataValidations>
  <printOptions horizontalCentered="1"/>
  <pageMargins left="0.35" right="0.35" top="0.35" bottom="0.35" header="0.15" footer="0.15"/>
  <pageSetup scale="73" orientation="landscape" r:id="rId2"/>
  <headerFooter alignWithMargins="0"/>
  <rowBreaks count="8" manualBreakCount="8">
    <brk id="57" min="1" max="15" man="1"/>
    <brk id="87" min="1" max="15" man="1"/>
    <brk id="114" min="1" max="15" man="1"/>
    <brk id="157" max="16383" man="1"/>
    <brk id="176" max="16383" man="1"/>
    <brk id="187" max="16383" man="1"/>
    <brk id="208" min="1" max="15" man="1"/>
    <brk id="234" min="1" max="15" man="1"/>
  </rowBreak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V101"/>
  <sheetViews>
    <sheetView showGridLines="0" zoomScale="130" zoomScaleNormal="130" zoomScaleSheetLayoutView="85" workbookViewId="0">
      <selection activeCell="B3" sqref="B3"/>
    </sheetView>
  </sheetViews>
  <sheetFormatPr defaultColWidth="8.796875" defaultRowHeight="15.5" outlineLevelRow="1"/>
  <cols>
    <col min="1" max="1" width="2.796875" style="462" customWidth="1"/>
    <col min="2" max="2" width="12.796875" style="462" customWidth="1"/>
    <col min="3" max="3" width="10.796875" style="462" customWidth="1"/>
    <col min="4" max="4" width="5.796875" style="462" customWidth="1"/>
    <col min="5" max="6" width="8.796875" style="462"/>
    <col min="7" max="18" width="11.296875" style="462" customWidth="1"/>
    <col min="19" max="19" width="10.69921875" style="531" bestFit="1" customWidth="1"/>
    <col min="20" max="21" width="8.796875" style="531"/>
    <col min="22" max="22" width="11.296875" style="531" customWidth="1"/>
    <col min="23" max="16384" width="8.796875" style="463"/>
  </cols>
  <sheetData>
    <row r="1" spans="1:22">
      <c r="A1" s="2"/>
    </row>
    <row r="2" spans="1:22" s="4" customFormat="1" ht="22.5">
      <c r="B2" s="60" t="s">
        <v>272</v>
      </c>
      <c r="C2" s="252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42"/>
      <c r="T2" s="14"/>
      <c r="U2" s="14"/>
      <c r="V2" s="14"/>
    </row>
    <row r="3" spans="1:22" s="207" customFormat="1" ht="20.149999999999999" customHeight="1" thickBot="1">
      <c r="B3" s="525" t="s">
        <v>351</v>
      </c>
      <c r="C3" s="525"/>
      <c r="D3" s="523"/>
      <c r="E3" s="523"/>
      <c r="F3" s="523"/>
      <c r="G3" s="523"/>
      <c r="H3" s="523"/>
      <c r="I3" s="523"/>
      <c r="J3" s="523"/>
      <c r="K3" s="523"/>
      <c r="L3" s="523"/>
      <c r="M3" s="523"/>
      <c r="N3" s="523"/>
      <c r="O3" s="250"/>
      <c r="P3" s="250"/>
      <c r="Q3" s="524" t="s">
        <v>354</v>
      </c>
      <c r="R3" s="524"/>
      <c r="S3" s="532"/>
      <c r="T3" s="532"/>
      <c r="U3" s="533"/>
      <c r="V3" s="533"/>
    </row>
    <row r="4" spans="1:22" s="4" customFormat="1" ht="12.75" customHeight="1">
      <c r="A4" s="3"/>
      <c r="B4" s="129" t="str">
        <f ca="1">+Proj!B4</f>
        <v>(Amounts in Millions, Except Per Share Data)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S4" s="14"/>
      <c r="T4" s="14"/>
      <c r="U4" s="14"/>
      <c r="V4" s="14"/>
    </row>
    <row r="5" spans="1:22" s="4" customFormat="1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S5" s="14"/>
      <c r="T5" s="14"/>
      <c r="U5" s="14"/>
      <c r="V5" s="14"/>
    </row>
    <row r="6" spans="1:22" s="4" customFormat="1">
      <c r="A6" s="3"/>
      <c r="B6" s="565" t="s">
        <v>355</v>
      </c>
      <c r="C6" s="530"/>
      <c r="D6" s="530"/>
      <c r="E6" s="530"/>
      <c r="F6" s="564"/>
      <c r="G6" s="564"/>
      <c r="H6" s="564"/>
      <c r="I6" s="530"/>
      <c r="J6" s="530"/>
      <c r="K6" s="530"/>
      <c r="L6" s="530"/>
      <c r="M6" s="530"/>
      <c r="N6" s="530"/>
      <c r="O6" s="3"/>
      <c r="S6" s="14"/>
      <c r="T6" s="14"/>
      <c r="U6" s="14"/>
      <c r="V6" s="14"/>
    </row>
    <row r="7" spans="1:22" s="4" customFormat="1" ht="12.75" customHeight="1">
      <c r="A7" s="3"/>
      <c r="B7" s="125"/>
      <c r="C7" s="125"/>
      <c r="D7" s="125"/>
      <c r="E7" s="125"/>
      <c r="F7" s="125"/>
      <c r="G7" s="125"/>
      <c r="H7" s="125"/>
      <c r="I7" s="566">
        <f ca="1">+Proj!L7</f>
        <v>2019</v>
      </c>
      <c r="J7" s="566">
        <f ca="1">+Proj!M7</f>
        <v>2020</v>
      </c>
      <c r="K7" s="566">
        <f ca="1">+Proj!N7</f>
        <v>2021</v>
      </c>
      <c r="L7" s="566">
        <f ca="1">+Proj!O7</f>
        <v>2022</v>
      </c>
      <c r="M7" s="566">
        <f ca="1">+Proj!P7</f>
        <v>2023</v>
      </c>
      <c r="N7" s="566">
        <f ca="1">+Proj!Q7</f>
        <v>2024</v>
      </c>
      <c r="O7" s="3"/>
      <c r="S7" s="14"/>
      <c r="T7" s="14"/>
      <c r="U7" s="14"/>
      <c r="V7" s="14"/>
    </row>
    <row r="8" spans="1:22" s="4" customFormat="1" ht="15" customHeight="1">
      <c r="A8" s="3"/>
      <c r="B8" s="3" t="s">
        <v>106</v>
      </c>
      <c r="C8" s="3"/>
      <c r="D8" s="3"/>
      <c r="E8" s="3"/>
      <c r="F8" s="3"/>
      <c r="G8" s="3"/>
      <c r="H8" s="3"/>
      <c r="I8" s="447">
        <f ca="1">+Proj!L8</f>
        <v>12135.9</v>
      </c>
      <c r="J8" s="527">
        <f ca="1">+Proj!M8</f>
        <v>13278.5</v>
      </c>
      <c r="K8" s="528">
        <f ca="1">+Proj!N8</f>
        <v>14466.000000000002</v>
      </c>
      <c r="L8" s="528">
        <f ca="1">+Proj!O8</f>
        <v>15806.000000000002</v>
      </c>
      <c r="M8" s="529">
        <f ca="1">+Proj!P8</f>
        <v>17270.125535738978</v>
      </c>
      <c r="N8" s="529">
        <f ca="1">+Proj!Q8</f>
        <v>18869.874479323262</v>
      </c>
      <c r="O8" s="3"/>
      <c r="S8" s="14"/>
      <c r="T8" s="14"/>
      <c r="U8" s="14"/>
      <c r="V8" s="14"/>
    </row>
    <row r="9" spans="1:22" s="4" customFormat="1" ht="12.75" customHeight="1">
      <c r="A9" s="3"/>
      <c r="B9" s="305" t="s">
        <v>230</v>
      </c>
      <c r="C9" s="198"/>
      <c r="D9" s="198"/>
      <c r="E9" s="198"/>
      <c r="F9" s="198"/>
      <c r="G9" s="198"/>
      <c r="H9" s="198"/>
      <c r="I9" s="467">
        <f ca="1">+Proj!L50</f>
        <v>8.1341887195936824E-2</v>
      </c>
      <c r="J9" s="466">
        <f ca="1">+Proj!M50</f>
        <v>9.4150413236760322E-2</v>
      </c>
      <c r="K9" s="200">
        <f ca="1">K8/J8-1</f>
        <v>8.9430282034868469E-2</v>
      </c>
      <c r="L9" s="200">
        <f ca="1">L8/K8-1</f>
        <v>9.2630996820129985E-2</v>
      </c>
      <c r="M9" s="200">
        <f ca="1">M8/L8-1</f>
        <v>9.2630996820129985E-2</v>
      </c>
      <c r="N9" s="200">
        <f ca="1">N8/M8-1</f>
        <v>9.2630996820129985E-2</v>
      </c>
      <c r="O9" s="3"/>
      <c r="S9" s="14"/>
      <c r="T9" s="14"/>
      <c r="U9" s="14"/>
      <c r="V9" s="14"/>
    </row>
    <row r="10" spans="1:22" s="4" customFormat="1" ht="12.75" customHeight="1">
      <c r="A10" s="3"/>
      <c r="B10" s="3" t="s">
        <v>10</v>
      </c>
      <c r="C10" s="3"/>
      <c r="D10" s="3"/>
      <c r="E10" s="3"/>
      <c r="F10" s="3"/>
      <c r="G10" s="3"/>
      <c r="H10" s="3"/>
      <c r="I10" s="100">
        <f ca="1">+Proj!L40</f>
        <v>2171.8461321839063</v>
      </c>
      <c r="J10" s="75">
        <f ca="1">+Proj!M40</f>
        <v>2402.9709099616844</v>
      </c>
      <c r="K10" s="75">
        <f ca="1">+Proj!N40</f>
        <v>2643.1780459770121</v>
      </c>
      <c r="L10" s="75">
        <f ca="1">+Proj!O40</f>
        <v>2914.2328352490422</v>
      </c>
      <c r="M10" s="75">
        <f ca="1">+Proj!P40</f>
        <v>3210.3956998442122</v>
      </c>
      <c r="N10" s="75">
        <f ca="1">+Proj!Q40</f>
        <v>3533.9924258079368</v>
      </c>
      <c r="O10" s="3"/>
      <c r="P10" s="3"/>
      <c r="S10" s="14"/>
      <c r="T10" s="14"/>
      <c r="U10" s="14"/>
      <c r="V10" s="14"/>
    </row>
    <row r="11" spans="1:22" s="4" customFormat="1" ht="12.75" customHeight="1">
      <c r="A11" s="3"/>
      <c r="B11" s="305" t="s">
        <v>342</v>
      </c>
      <c r="C11" s="198"/>
      <c r="D11" s="198"/>
      <c r="E11" s="198"/>
      <c r="F11" s="198"/>
      <c r="G11" s="198"/>
      <c r="H11" s="198"/>
      <c r="I11" s="468">
        <f ca="1">I10/I8</f>
        <v>0.17896045057918294</v>
      </c>
      <c r="J11" s="200">
        <f ca="1">J10/J8</f>
        <v>0.18096704522059603</v>
      </c>
      <c r="K11" s="200">
        <f ca="1">K10/K8</f>
        <v>0.18271657997905513</v>
      </c>
      <c r="L11" s="200">
        <f ca="1">L10/L8</f>
        <v>0.18437510029413146</v>
      </c>
      <c r="M11" s="200">
        <f ca="1">M10/M8</f>
        <v>0.18589301468600131</v>
      </c>
      <c r="N11" s="200">
        <f ca="1">N10/N8</f>
        <v>0.18728224343412156</v>
      </c>
      <c r="O11" s="3"/>
      <c r="P11" s="3"/>
      <c r="S11" s="14"/>
      <c r="T11" s="14"/>
      <c r="U11" s="14"/>
      <c r="V11" s="14"/>
    </row>
    <row r="12" spans="1:22" s="4" customFormat="1" ht="12.75" customHeight="1">
      <c r="A12" s="3"/>
      <c r="B12" s="3" t="s">
        <v>252</v>
      </c>
      <c r="C12" s="3"/>
      <c r="D12" s="3"/>
      <c r="E12" s="3"/>
      <c r="F12" s="3"/>
      <c r="G12" s="3"/>
      <c r="H12" s="3"/>
      <c r="I12" s="100">
        <f ca="1">+Proj!L37</f>
        <v>869.91049999999814</v>
      </c>
      <c r="J12" s="75">
        <f ca="1">+Proj!M37</f>
        <v>978.45749999999862</v>
      </c>
      <c r="K12" s="75">
        <f ca="1">+Proj!N37</f>
        <v>1091.2700000000004</v>
      </c>
      <c r="L12" s="75">
        <f ca="1">+Proj!O37</f>
        <v>1218.5699999999997</v>
      </c>
      <c r="M12" s="75">
        <f ca="1">+Proj!P37</f>
        <v>1357.6619258952032</v>
      </c>
      <c r="N12" s="75">
        <f ca="1">+Proj!Q37</f>
        <v>1509.6380755357095</v>
      </c>
      <c r="O12" s="3"/>
      <c r="P12" s="3"/>
      <c r="S12" s="14"/>
      <c r="T12" s="14"/>
      <c r="U12" s="14"/>
      <c r="V12" s="14"/>
    </row>
    <row r="13" spans="1:22" s="4" customFormat="1" ht="12.75" customHeight="1">
      <c r="A13" s="3"/>
      <c r="B13" s="305" t="s">
        <v>342</v>
      </c>
      <c r="C13" s="198"/>
      <c r="D13" s="198"/>
      <c r="E13" s="198"/>
      <c r="F13" s="198"/>
      <c r="G13" s="198"/>
      <c r="H13" s="198"/>
      <c r="I13" s="468">
        <f ca="1">I12/I8</f>
        <v>7.1680757092592903E-2</v>
      </c>
      <c r="J13" s="200">
        <f ca="1">J12/J8</f>
        <v>7.3687351734005993E-2</v>
      </c>
      <c r="K13" s="200">
        <f ca="1">K12/K8</f>
        <v>7.5436886492465105E-2</v>
      </c>
      <c r="L13" s="200">
        <f ca="1">L12/L8</f>
        <v>7.7095406807541414E-2</v>
      </c>
      <c r="M13" s="200">
        <f ca="1">M12/M8</f>
        <v>7.8613321199411293E-2</v>
      </c>
      <c r="N13" s="200">
        <f ca="1">N12/N8</f>
        <v>8.0002549947531518E-2</v>
      </c>
      <c r="O13" s="3"/>
      <c r="P13" s="3"/>
      <c r="S13" s="14"/>
      <c r="T13" s="14"/>
      <c r="U13" s="14"/>
      <c r="V13" s="14"/>
    </row>
    <row r="14" spans="1:22" s="4" customFormat="1" ht="12.75" customHeight="1">
      <c r="A14" s="3"/>
      <c r="B14" s="3" t="s">
        <v>341</v>
      </c>
      <c r="C14" s="469">
        <v>0.25</v>
      </c>
      <c r="D14" s="470"/>
      <c r="E14" s="3"/>
      <c r="F14" s="3"/>
      <c r="G14" s="3"/>
      <c r="H14" s="3"/>
      <c r="I14" s="53">
        <f ca="1">-$C$14*I12</f>
        <v>-217.47762499999953</v>
      </c>
      <c r="J14" s="203">
        <f ca="1">-$C$14*J12</f>
        <v>-244.61437499999965</v>
      </c>
      <c r="K14" s="203">
        <f ca="1">-$C$14*K12</f>
        <v>-272.81750000000011</v>
      </c>
      <c r="L14" s="203">
        <f ca="1">-$C$14*L12</f>
        <v>-304.64249999999993</v>
      </c>
      <c r="M14" s="203">
        <f ca="1">-$C$14*M12</f>
        <v>-339.41548147380081</v>
      </c>
      <c r="N14" s="203">
        <f ca="1">-$C$14*N12</f>
        <v>-377.40951888392738</v>
      </c>
      <c r="O14" s="3"/>
      <c r="P14" s="3"/>
      <c r="Q14" s="423"/>
      <c r="S14" s="15"/>
      <c r="T14" s="14"/>
      <c r="U14" s="14"/>
      <c r="V14" s="14"/>
    </row>
    <row r="15" spans="1:22" s="4" customFormat="1" ht="12.75" customHeight="1">
      <c r="A15" s="3"/>
      <c r="B15" s="3" t="str">
        <f ca="1">"Tax-Effected "&amp;B12</f>
        <v>Tax-Effected EBIT</v>
      </c>
      <c r="C15" s="3"/>
      <c r="D15" s="3"/>
      <c r="E15" s="3"/>
      <c r="F15" s="3"/>
      <c r="G15" s="3"/>
      <c r="H15" s="3"/>
      <c r="I15" s="436">
        <f ca="1">I12+I14</f>
        <v>652.4328749999986</v>
      </c>
      <c r="J15" s="329">
        <f ca="1">J12+J14</f>
        <v>733.84312499999896</v>
      </c>
      <c r="K15" s="329">
        <f ca="1">K12+K14</f>
        <v>818.45250000000033</v>
      </c>
      <c r="L15" s="329">
        <f ca="1">L12+L14</f>
        <v>913.92749999999978</v>
      </c>
      <c r="M15" s="329">
        <f ca="1">M12+M14</f>
        <v>1018.2464444214024</v>
      </c>
      <c r="N15" s="329">
        <f ca="1">N12+N14</f>
        <v>1132.2285566517821</v>
      </c>
      <c r="O15" s="3"/>
      <c r="P15" s="3"/>
      <c r="S15" s="14"/>
      <c r="T15" s="14"/>
      <c r="U15" s="14"/>
      <c r="V15" s="14"/>
    </row>
    <row r="16" spans="1:22" s="4" customFormat="1" ht="12.75" customHeight="1">
      <c r="A16" s="3"/>
      <c r="B16" s="3" t="s">
        <v>340</v>
      </c>
      <c r="C16" s="3"/>
      <c r="D16" s="3"/>
      <c r="E16" s="3"/>
      <c r="F16" s="3"/>
      <c r="G16" s="3"/>
      <c r="H16" s="3"/>
      <c r="I16" s="100">
        <f ca="1">+Proj!L91+Proj!L93</f>
        <v>1082.4232290831328</v>
      </c>
      <c r="J16" s="75">
        <f ca="1">+Proj!M91+Proj!M93</f>
        <v>1184.3338233983782</v>
      </c>
      <c r="K16" s="75">
        <f ca="1">+Proj!N91+Proj!N93</f>
        <v>1290.2491312483294</v>
      </c>
      <c r="L16" s="75">
        <f ca="1">+Proj!O91+Proj!O93</f>
        <v>1409.7661944221688</v>
      </c>
      <c r="M16" s="75">
        <f ca="1">+Proj!P91+Proj!P93</f>
        <v>1540.3542422948155</v>
      </c>
      <c r="N16" s="75">
        <f ca="1">+Proj!Q91+Proj!Q93</f>
        <v>1683.0387912147005</v>
      </c>
      <c r="O16" s="3"/>
      <c r="P16" s="3"/>
      <c r="Q16" s="3"/>
      <c r="R16" s="3"/>
      <c r="S16" s="14"/>
      <c r="T16" s="14"/>
      <c r="U16" s="14"/>
      <c r="V16" s="14"/>
    </row>
    <row r="17" spans="1:22" s="4" customFormat="1" ht="12.75" customHeight="1">
      <c r="A17" s="3"/>
      <c r="B17" s="3" t="s">
        <v>339</v>
      </c>
      <c r="C17" s="3"/>
      <c r="D17" s="3"/>
      <c r="E17" s="3"/>
      <c r="F17" s="3"/>
      <c r="G17" s="3"/>
      <c r="H17" s="3"/>
      <c r="I17" s="100">
        <f ca="1">+Proj!L97</f>
        <v>-949.41817695803252</v>
      </c>
      <c r="J17" s="75">
        <f ca="1">+Proj!M97</f>
        <v>-1038.8062906531229</v>
      </c>
      <c r="K17" s="75">
        <f ca="1">+Proj!N97</f>
        <v>-1131.7070302058273</v>
      </c>
      <c r="L17" s="75">
        <f ca="1">+Proj!O97</f>
        <v>-1236.5381805221421</v>
      </c>
      <c r="M17" s="75">
        <f ca="1">+Proj!P97</f>
        <v>-1351.0799447900581</v>
      </c>
      <c r="N17" s="75">
        <f ca="1">+-N16</f>
        <v>-1683.0387912147005</v>
      </c>
      <c r="O17" s="3"/>
      <c r="Q17" s="102" t="s">
        <v>347</v>
      </c>
      <c r="R17" s="102" t="s">
        <v>346</v>
      </c>
      <c r="S17" s="14"/>
      <c r="T17" s="14"/>
      <c r="U17" s="14"/>
      <c r="V17" s="14"/>
    </row>
    <row r="18" spans="1:22" s="4" customFormat="1" ht="12.75" customHeight="1">
      <c r="A18" s="3"/>
      <c r="B18" s="3" t="s">
        <v>338</v>
      </c>
      <c r="C18" s="3"/>
      <c r="D18" s="3"/>
      <c r="E18" s="3"/>
      <c r="F18" s="3"/>
      <c r="G18" s="3"/>
      <c r="H18" s="3"/>
      <c r="I18" s="100">
        <f ca="1">+Proj!L94</f>
        <v>453.13755941384261</v>
      </c>
      <c r="J18" s="103">
        <f ca="1">+Proj!M94</f>
        <v>569.24634970511033</v>
      </c>
      <c r="K18" s="103">
        <f ca="1">+Proj!N94</f>
        <v>591.61564876143893</v>
      </c>
      <c r="L18" s="103">
        <f ca="1">+Proj!O94</f>
        <v>667.59155312869552</v>
      </c>
      <c r="M18" s="103">
        <f ca="1">+Proj!P94</f>
        <v>729.43122416370716</v>
      </c>
      <c r="N18" s="103">
        <f ca="1">+Proj!Q94</f>
        <v>796.99916556971766</v>
      </c>
      <c r="O18" s="3"/>
      <c r="P18" s="3" t="s">
        <v>345</v>
      </c>
      <c r="Q18" s="464">
        <v>9</v>
      </c>
      <c r="R18" s="464">
        <v>1</v>
      </c>
      <c r="S18" s="14"/>
      <c r="T18" s="14"/>
      <c r="U18" s="14"/>
      <c r="V18" s="14"/>
    </row>
    <row r="19" spans="1:22" s="4" customFormat="1" ht="12.75" customHeight="1">
      <c r="A19" s="3"/>
      <c r="B19" s="3" t="s">
        <v>337</v>
      </c>
      <c r="C19" s="3"/>
      <c r="D19" s="3"/>
      <c r="E19" s="3"/>
      <c r="F19" s="3"/>
      <c r="G19" s="3"/>
      <c r="H19" s="3"/>
      <c r="I19" s="472">
        <f ca="1">SUM(I15:I18)</f>
        <v>1238.5754865389415</v>
      </c>
      <c r="J19" s="471">
        <f ca="1">SUM(J15:J18)</f>
        <v>1448.6170074503646</v>
      </c>
      <c r="K19" s="471">
        <f ca="1">SUM(K15:K18)</f>
        <v>1568.6102498039413</v>
      </c>
      <c r="L19" s="471">
        <f ca="1">SUM(L15:L18)</f>
        <v>1754.7470670287223</v>
      </c>
      <c r="M19" s="471">
        <f ca="1">SUM(M15:M18)</f>
        <v>1936.9519660898668</v>
      </c>
      <c r="N19" s="471">
        <f ca="1">SUM(N15:N18)</f>
        <v>1929.2277222215</v>
      </c>
      <c r="O19" s="3"/>
      <c r="P19" s="4" t="s">
        <v>344</v>
      </c>
      <c r="Q19" s="465">
        <v>0.08</v>
      </c>
      <c r="R19" s="465">
        <v>0.02</v>
      </c>
      <c r="S19" s="14"/>
      <c r="T19" s="14"/>
      <c r="U19" s="14"/>
      <c r="V19" s="14"/>
    </row>
    <row r="20" spans="1:22" s="4" customFormat="1" ht="12.75" customHeight="1">
      <c r="A20" s="3"/>
      <c r="B20" s="305" t="s">
        <v>336</v>
      </c>
      <c r="C20" s="3"/>
      <c r="D20" s="3"/>
      <c r="E20" s="3"/>
      <c r="F20" s="3"/>
      <c r="G20" s="3"/>
      <c r="H20" s="3"/>
      <c r="I20" s="473"/>
      <c r="J20" s="474">
        <f ca="1">IF(I19&lt;=0,"NM",J19/I19-1)</f>
        <v>0.16958314062743174</v>
      </c>
      <c r="K20" s="474">
        <f ca="1">IF(J19&lt;=0,"NM",K19/J19-1)</f>
        <v>8.2832965329304509E-2</v>
      </c>
      <c r="L20" s="474">
        <f ca="1">IF(K19&lt;=0,"NM",L19/K19-1)</f>
        <v>0.11866352221531518</v>
      </c>
      <c r="M20" s="474">
        <f ca="1">IF(L19&lt;=0,"NM",M19/L19-1)</f>
        <v>0.10383542020655345</v>
      </c>
      <c r="N20" s="474">
        <f ca="1">IF(M19&lt;=0,"NM",N19/M19-1)</f>
        <v>-3.9878344964638934E-3</v>
      </c>
      <c r="O20" s="3"/>
      <c r="P20" s="4" t="s">
        <v>343</v>
      </c>
      <c r="Q20" s="465">
        <v>2.5000000000000001E-2</v>
      </c>
      <c r="R20" s="465">
        <v>5.0000000000000001E-3</v>
      </c>
      <c r="S20" s="14"/>
      <c r="T20" s="14"/>
      <c r="U20" s="14"/>
      <c r="V20" s="534"/>
    </row>
    <row r="21" spans="1:22" s="4" customFormat="1" ht="12.75" customHeight="1">
      <c r="A21" s="3"/>
      <c r="B21" s="305"/>
      <c r="C21" s="3"/>
      <c r="D21" s="3"/>
      <c r="E21" s="3"/>
      <c r="F21" s="3"/>
      <c r="G21" s="3"/>
      <c r="H21" s="3"/>
      <c r="I21" s="473"/>
      <c r="J21" s="474"/>
      <c r="K21" s="474"/>
      <c r="L21" s="474"/>
      <c r="M21" s="474"/>
      <c r="N21" s="474"/>
      <c r="O21" s="3"/>
      <c r="Q21" s="465"/>
      <c r="R21" s="465"/>
      <c r="S21" s="14"/>
      <c r="T21" s="14"/>
      <c r="U21" s="14"/>
      <c r="V21" s="534"/>
    </row>
    <row r="22" spans="1:22" s="4" customFormat="1" ht="12.75" customHeight="1">
      <c r="A22" s="3"/>
      <c r="B22" s="567"/>
      <c r="C22" s="425"/>
      <c r="D22" s="425"/>
      <c r="E22" s="425"/>
      <c r="F22" s="425"/>
      <c r="G22" s="425"/>
      <c r="H22" s="425"/>
      <c r="I22" s="568"/>
      <c r="J22" s="569"/>
      <c r="K22" s="569"/>
      <c r="L22" s="569"/>
      <c r="M22" s="569"/>
      <c r="N22" s="569"/>
      <c r="O22" s="425"/>
      <c r="P22" s="425"/>
      <c r="Q22" s="570"/>
      <c r="R22" s="570"/>
      <c r="S22" s="14"/>
      <c r="T22" s="14"/>
      <c r="U22" s="14"/>
      <c r="V22" s="534"/>
    </row>
    <row r="23" spans="1:22" s="4" customFormat="1" ht="12.75" customHeight="1">
      <c r="A23" s="3"/>
      <c r="B23" s="573" t="s">
        <v>357</v>
      </c>
      <c r="I23" s="571"/>
      <c r="J23" s="572"/>
      <c r="K23" s="572"/>
      <c r="L23" s="572"/>
      <c r="M23" s="572"/>
      <c r="N23" s="572"/>
      <c r="Q23" s="465"/>
      <c r="R23" s="465"/>
      <c r="S23" s="14"/>
      <c r="T23" s="14"/>
      <c r="U23" s="14"/>
      <c r="V23" s="534"/>
    </row>
    <row r="24" spans="1:22" s="4" customFormat="1" ht="12.75" customHeight="1">
      <c r="A24" s="3"/>
      <c r="B24" s="305"/>
      <c r="C24" s="3"/>
      <c r="D24" s="3"/>
      <c r="E24" s="3"/>
      <c r="F24" s="3"/>
      <c r="G24" s="3"/>
      <c r="H24" s="3"/>
      <c r="I24" s="473"/>
      <c r="J24" s="474"/>
      <c r="K24" s="474"/>
      <c r="L24" s="474"/>
      <c r="M24" s="474"/>
      <c r="N24" s="474"/>
      <c r="O24" s="3"/>
      <c r="Q24" s="465"/>
      <c r="R24" s="465"/>
      <c r="S24" s="14"/>
      <c r="T24" s="14"/>
      <c r="U24" s="14"/>
      <c r="V24" s="534"/>
    </row>
    <row r="25" spans="1:22" s="4" customFormat="1" ht="12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14"/>
      <c r="T25" s="14"/>
      <c r="U25" s="14"/>
      <c r="V25" s="14"/>
    </row>
    <row r="26" spans="1:22" s="4" customFormat="1">
      <c r="A26" s="3"/>
      <c r="B26" s="562" t="s">
        <v>356</v>
      </c>
      <c r="C26" s="563"/>
      <c r="D26" s="56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14"/>
      <c r="T26" s="14"/>
      <c r="U26" s="14"/>
      <c r="V26" s="14"/>
    </row>
    <row r="27" spans="1:22" s="157" customFormat="1" ht="12.75" customHeight="1">
      <c r="A27" s="155"/>
      <c r="B27" s="155" t="s">
        <v>335</v>
      </c>
      <c r="C27" s="155"/>
      <c r="D27" s="155"/>
      <c r="E27" s="155"/>
      <c r="F27" s="155"/>
      <c r="G27" s="537">
        <f ca="1">+H27</f>
        <v>9</v>
      </c>
      <c r="H27" s="542">
        <f ca="1">Q18</f>
        <v>9</v>
      </c>
      <c r="I27" s="543">
        <f ca="1">+H27</f>
        <v>9</v>
      </c>
      <c r="J27" s="537">
        <f ca="1">+K27</f>
        <v>10</v>
      </c>
      <c r="K27" s="542">
        <f ca="1">H27+$R$18</f>
        <v>10</v>
      </c>
      <c r="L27" s="543">
        <f ca="1">+K27</f>
        <v>10</v>
      </c>
      <c r="M27" s="537">
        <f ca="1">+N27</f>
        <v>11</v>
      </c>
      <c r="N27" s="542">
        <f ca="1">K27+$R$18</f>
        <v>11</v>
      </c>
      <c r="O27" s="543">
        <f ca="1">+N27</f>
        <v>11</v>
      </c>
      <c r="P27" s="537">
        <f ca="1">+Q27</f>
        <v>12</v>
      </c>
      <c r="Q27" s="542">
        <f ca="1">N27+$R$18</f>
        <v>12</v>
      </c>
      <c r="R27" s="538">
        <f ca="1">+Q27</f>
        <v>12</v>
      </c>
      <c r="S27" s="254"/>
      <c r="T27" s="254"/>
      <c r="U27" s="254"/>
      <c r="V27" s="254"/>
    </row>
    <row r="28" spans="1:22" s="4" customFormat="1" ht="12.75" customHeight="1">
      <c r="A28" s="3"/>
      <c r="B28" s="3" t="s">
        <v>332</v>
      </c>
      <c r="C28" s="3"/>
      <c r="D28" s="3"/>
      <c r="E28" s="3"/>
      <c r="F28" s="3"/>
      <c r="G28" s="539">
        <f ca="1">Q19</f>
        <v>0.08</v>
      </c>
      <c r="H28" s="540">
        <f ca="1">G28+$R$19</f>
        <v>0.1</v>
      </c>
      <c r="I28" s="540">
        <f ca="1">H28+$R$19</f>
        <v>0.12000000000000001</v>
      </c>
      <c r="J28" s="539">
        <f ca="1">$G$28</f>
        <v>0.08</v>
      </c>
      <c r="K28" s="540">
        <f ca="1">$H$28</f>
        <v>0.1</v>
      </c>
      <c r="L28" s="540">
        <f ca="1">$I$28</f>
        <v>0.12000000000000001</v>
      </c>
      <c r="M28" s="539">
        <f ca="1">$G$28</f>
        <v>0.08</v>
      </c>
      <c r="N28" s="540">
        <f ca="1">$H$28</f>
        <v>0.1</v>
      </c>
      <c r="O28" s="540">
        <f ca="1">$I$28</f>
        <v>0.12000000000000001</v>
      </c>
      <c r="P28" s="539">
        <f ca="1">$G$28</f>
        <v>0.08</v>
      </c>
      <c r="Q28" s="540">
        <f ca="1">$H$28</f>
        <v>0.1</v>
      </c>
      <c r="R28" s="541">
        <f ca="1">$I$28</f>
        <v>0.12000000000000001</v>
      </c>
      <c r="S28" s="14"/>
      <c r="T28" s="14"/>
      <c r="U28" s="14"/>
      <c r="V28" s="14"/>
    </row>
    <row r="29" spans="1:22" s="4" customFormat="1" ht="12.75" customHeight="1">
      <c r="A29" s="3"/>
      <c r="B29" s="3" t="s">
        <v>331</v>
      </c>
      <c r="C29" s="3"/>
      <c r="D29" s="3"/>
      <c r="E29" s="3"/>
      <c r="F29" s="3"/>
      <c r="G29" s="478">
        <f ca="1">XNPV(G28,$J$19:$N$19,$J$58:$N$58)/(1+G28)^$R$59</f>
        <v>6814.1210477820059</v>
      </c>
      <c r="H29" s="106">
        <f ca="1">XNPV(H28,$J$19:$N$19,$J$58:$N$58)/(1+H28)^$R$59</f>
        <v>6450.5296222022116</v>
      </c>
      <c r="I29" s="479">
        <f ca="1">XNPV(I28,$J$19:$N$19,$J$58:$N$58)/(1+I28)^$R$59</f>
        <v>6116.3132588500321</v>
      </c>
      <c r="J29" s="478">
        <f ca="1">XNPV(J28,$J$19:$N$19,$J$58:$N$58)/(1+J28)^$R$59</f>
        <v>6814.1210477820059</v>
      </c>
      <c r="K29" s="106">
        <f ca="1">XNPV(K28,$J$19:$N$19,$J$58:$N$58)/(1+K28)^$R$59</f>
        <v>6450.5296222022116</v>
      </c>
      <c r="L29" s="479">
        <f ca="1">XNPV(L28,$J$19:$N$19,$J$58:$N$58)/(1+L28)^$R$59</f>
        <v>6116.3132588500321</v>
      </c>
      <c r="M29" s="478">
        <f ca="1">XNPV(M28,$J$19:$N$19,$J$58:$N$58)/(1+M28)^$R$59</f>
        <v>6814.1210477820059</v>
      </c>
      <c r="N29" s="106">
        <f ca="1">XNPV(N28,$J$19:$N$19,$J$58:$N$58)/(1+N28)^$R$59</f>
        <v>6450.5296222022116</v>
      </c>
      <c r="O29" s="479">
        <f ca="1">XNPV(O28,$J$19:$N$19,$J$58:$N$58)/(1+O28)^$R$59</f>
        <v>6116.3132588500321</v>
      </c>
      <c r="P29" s="106">
        <f ca="1">XNPV(P28,$J$19:$N$19,$J$58:$N$58)/(1+P28)^$R$59</f>
        <v>6814.1210477820059</v>
      </c>
      <c r="Q29" s="106">
        <f ca="1">XNPV(Q28,$J$19:$N$19,$J$58:$N$58)/(1+Q28)^$R$59</f>
        <v>6450.5296222022116</v>
      </c>
      <c r="R29" s="479">
        <f ca="1">XNPV(R28,$J$19:$N$19,$J$58:$N$58)/(1+R28)^$R$59</f>
        <v>6116.3132588500321</v>
      </c>
      <c r="S29" s="14"/>
      <c r="T29" s="14"/>
      <c r="U29" s="14"/>
      <c r="V29" s="14"/>
    </row>
    <row r="30" spans="1:22" s="4" customFormat="1" ht="12.75" customHeight="1">
      <c r="A30" s="3"/>
      <c r="B30" s="3" t="s">
        <v>330</v>
      </c>
      <c r="C30" s="3"/>
      <c r="D30" s="3"/>
      <c r="E30" s="3"/>
      <c r="F30" s="3"/>
      <c r="G30" s="480">
        <f ca="1">($N$10*G27)/(1+G28)^($R$60)</f>
        <v>21637.456237737159</v>
      </c>
      <c r="H30" s="481">
        <f ca="1">($N$10*H27)/(1+H28)^($R$60)</f>
        <v>19738.670109853556</v>
      </c>
      <c r="I30" s="482">
        <f ca="1">($N$10*I27)/(1+I28)^($R$60)</f>
        <v>18036.336226731095</v>
      </c>
      <c r="J30" s="480">
        <f ca="1">($N$10*J27)/(1+J28)^($R$60)</f>
        <v>24041.618041930175</v>
      </c>
      <c r="K30" s="481">
        <f ca="1">($N$10*K27)/(1+K28)^($R$60)</f>
        <v>21931.855677615062</v>
      </c>
      <c r="L30" s="482">
        <f ca="1">($N$10*L27)/(1+L28)^($R$60)</f>
        <v>20040.373585256773</v>
      </c>
      <c r="M30" s="480">
        <f ca="1">($N$10*M27)/(1+M28)^($R$60)</f>
        <v>26445.779846123198</v>
      </c>
      <c r="N30" s="481">
        <f ca="1">($N$10*N27)/(1+N28)^($R$60)</f>
        <v>24125.041245376568</v>
      </c>
      <c r="O30" s="482">
        <f ca="1">($N$10*O27)/(1+O28)^($R$60)</f>
        <v>22044.410943782452</v>
      </c>
      <c r="P30" s="481">
        <f ca="1">($N$10*P27)/(1+P28)^($R$60)</f>
        <v>28849.94165031621</v>
      </c>
      <c r="Q30" s="481">
        <f ca="1">($N$10*Q27)/(1+Q28)^($R$60)</f>
        <v>26318.226813138073</v>
      </c>
      <c r="R30" s="482">
        <f ca="1">($N$10*R27)/(1+R28)^($R$60)</f>
        <v>24048.448302308127</v>
      </c>
      <c r="S30" s="14"/>
      <c r="T30" s="14"/>
      <c r="U30" s="14"/>
      <c r="V30" s="14"/>
    </row>
    <row r="31" spans="1:22" s="4" customFormat="1" ht="12.75" customHeight="1">
      <c r="A31" s="3"/>
      <c r="B31" s="3" t="s">
        <v>329</v>
      </c>
      <c r="C31" s="3"/>
      <c r="D31" s="3"/>
      <c r="E31" s="3"/>
      <c r="F31" s="3"/>
      <c r="G31" s="478">
        <f t="shared" ref="G31:R31" ca="1" si="0">G29+G30</f>
        <v>28451.577285519164</v>
      </c>
      <c r="H31" s="106">
        <f t="shared" ca="1" si="0"/>
        <v>26189.199732055768</v>
      </c>
      <c r="I31" s="479">
        <f t="shared" ca="1" si="0"/>
        <v>24152.649485581125</v>
      </c>
      <c r="J31" s="478">
        <f t="shared" ca="1" si="0"/>
        <v>30855.73908971218</v>
      </c>
      <c r="K31" s="106">
        <f t="shared" ca="1" si="0"/>
        <v>28382.385299817273</v>
      </c>
      <c r="L31" s="479">
        <f t="shared" ca="1" si="0"/>
        <v>26156.686844106807</v>
      </c>
      <c r="M31" s="478">
        <f t="shared" ca="1" si="0"/>
        <v>33259.9008939052</v>
      </c>
      <c r="N31" s="106">
        <f t="shared" ca="1" si="0"/>
        <v>30575.570867578779</v>
      </c>
      <c r="O31" s="479">
        <f t="shared" ca="1" si="0"/>
        <v>28160.724202632482</v>
      </c>
      <c r="P31" s="106">
        <f t="shared" ca="1" si="0"/>
        <v>35664.06269809822</v>
      </c>
      <c r="Q31" s="106">
        <f t="shared" ca="1" si="0"/>
        <v>32768.756435340285</v>
      </c>
      <c r="R31" s="479">
        <f t="shared" ca="1" si="0"/>
        <v>30164.761561158157</v>
      </c>
      <c r="S31" s="14"/>
      <c r="T31" s="14"/>
      <c r="U31" s="14"/>
      <c r="V31" s="14"/>
    </row>
    <row r="32" spans="1:22" s="4" customFormat="1" ht="12.75" customHeight="1">
      <c r="A32" s="3"/>
      <c r="B32" s="70" t="str">
        <f ca="1">IF(G32&lt;=0,"Less: Net Debt","Plus: Net Cash")&amp;" (a)"</f>
        <v>Less: Net Debt (a)</v>
      </c>
      <c r="C32" s="3"/>
      <c r="D32" s="3"/>
      <c r="E32" s="3"/>
      <c r="F32" s="3"/>
      <c r="G32" s="483">
        <f ca="1">+-acqnetdebt</f>
        <v>-1110</v>
      </c>
      <c r="H32" s="481">
        <f t="shared" ref="H32:R32" ca="1" si="1">$G$32</f>
        <v>-1110</v>
      </c>
      <c r="I32" s="482">
        <f t="shared" ca="1" si="1"/>
        <v>-1110</v>
      </c>
      <c r="J32" s="480">
        <f t="shared" ca="1" si="1"/>
        <v>-1110</v>
      </c>
      <c r="K32" s="481">
        <f t="shared" ca="1" si="1"/>
        <v>-1110</v>
      </c>
      <c r="L32" s="482">
        <f t="shared" ca="1" si="1"/>
        <v>-1110</v>
      </c>
      <c r="M32" s="480">
        <f t="shared" ca="1" si="1"/>
        <v>-1110</v>
      </c>
      <c r="N32" s="481">
        <f t="shared" ca="1" si="1"/>
        <v>-1110</v>
      </c>
      <c r="O32" s="482">
        <f t="shared" ca="1" si="1"/>
        <v>-1110</v>
      </c>
      <c r="P32" s="481">
        <f t="shared" ca="1" si="1"/>
        <v>-1110</v>
      </c>
      <c r="Q32" s="481">
        <f t="shared" ca="1" si="1"/>
        <v>-1110</v>
      </c>
      <c r="R32" s="482">
        <f t="shared" ca="1" si="1"/>
        <v>-1110</v>
      </c>
      <c r="S32" s="14"/>
      <c r="T32" s="14"/>
      <c r="U32" s="14"/>
      <c r="V32" s="14"/>
    </row>
    <row r="33" spans="1:22" s="4" customFormat="1" ht="12.75" customHeight="1">
      <c r="A33" s="3"/>
      <c r="B33" s="3" t="s">
        <v>328</v>
      </c>
      <c r="C33" s="3"/>
      <c r="D33" s="3"/>
      <c r="E33" s="3"/>
      <c r="F33" s="3"/>
      <c r="G33" s="478">
        <f t="shared" ref="G33:R33" ca="1" si="2">SUM(G31:G32)</f>
        <v>27341.577285519164</v>
      </c>
      <c r="H33" s="106">
        <f t="shared" ca="1" si="2"/>
        <v>25079.199732055768</v>
      </c>
      <c r="I33" s="479">
        <f t="shared" ca="1" si="2"/>
        <v>23042.649485581125</v>
      </c>
      <c r="J33" s="478">
        <f t="shared" ca="1" si="2"/>
        <v>29745.73908971218</v>
      </c>
      <c r="K33" s="106">
        <f t="shared" ca="1" si="2"/>
        <v>27272.385299817273</v>
      </c>
      <c r="L33" s="479">
        <f t="shared" ca="1" si="2"/>
        <v>25046.686844106807</v>
      </c>
      <c r="M33" s="478">
        <f t="shared" ca="1" si="2"/>
        <v>32149.9008939052</v>
      </c>
      <c r="N33" s="106">
        <f t="shared" ca="1" si="2"/>
        <v>29465.570867578779</v>
      </c>
      <c r="O33" s="479">
        <f t="shared" ca="1" si="2"/>
        <v>27050.724202632482</v>
      </c>
      <c r="P33" s="106">
        <f t="shared" ca="1" si="2"/>
        <v>34554.06269809822</v>
      </c>
      <c r="Q33" s="106">
        <f t="shared" ca="1" si="2"/>
        <v>31658.756435340285</v>
      </c>
      <c r="R33" s="479">
        <f t="shared" ca="1" si="2"/>
        <v>29054.761561158157</v>
      </c>
      <c r="S33" s="14"/>
      <c r="T33" s="14"/>
      <c r="U33" s="14"/>
      <c r="V33" s="14"/>
    </row>
    <row r="34" spans="1:22" s="157" customFormat="1" ht="18" customHeight="1">
      <c r="A34" s="155"/>
      <c r="B34" s="155" t="s">
        <v>327</v>
      </c>
      <c r="C34" s="155"/>
      <c r="D34" s="155"/>
      <c r="E34" s="155"/>
      <c r="F34" s="155"/>
      <c r="G34" s="484">
        <f t="shared" ref="G34:R34" ca="1" si="3">G33/G53</f>
        <v>199.55227691709786</v>
      </c>
      <c r="H34" s="317">
        <f t="shared" ca="1" si="3"/>
        <v>183.04033295258998</v>
      </c>
      <c r="I34" s="485">
        <f t="shared" ca="1" si="3"/>
        <v>168.17658773057121</v>
      </c>
      <c r="J34" s="484">
        <f t="shared" ca="1" si="3"/>
        <v>217.09903206929334</v>
      </c>
      <c r="K34" s="317">
        <f t="shared" ca="1" si="3"/>
        <v>199.04727977859918</v>
      </c>
      <c r="L34" s="485">
        <f t="shared" ca="1" si="3"/>
        <v>182.80303790733296</v>
      </c>
      <c r="M34" s="484">
        <f t="shared" ca="1" si="3"/>
        <v>234.64578722148886</v>
      </c>
      <c r="N34" s="317">
        <f t="shared" ca="1" si="3"/>
        <v>215.0542266046084</v>
      </c>
      <c r="O34" s="485">
        <f t="shared" ca="1" si="3"/>
        <v>197.42948808409463</v>
      </c>
      <c r="P34" s="317">
        <f t="shared" ca="1" si="3"/>
        <v>252.19254237368435</v>
      </c>
      <c r="Q34" s="317">
        <f t="shared" ca="1" si="3"/>
        <v>231.0611734306176</v>
      </c>
      <c r="R34" s="485">
        <f t="shared" ca="1" si="3"/>
        <v>212.05593826085629</v>
      </c>
      <c r="S34" s="254"/>
      <c r="T34" s="254"/>
      <c r="U34" s="254"/>
      <c r="V34" s="254"/>
    </row>
    <row r="35" spans="1:22" s="4" customFormat="1" ht="18" customHeight="1">
      <c r="A35" s="3"/>
      <c r="B35" s="3" t="s">
        <v>326</v>
      </c>
      <c r="C35" s="3"/>
      <c r="D35" s="3"/>
      <c r="E35" s="3"/>
      <c r="F35" s="3"/>
      <c r="G35" s="486">
        <f t="shared" ref="G35:R35" ca="1" si="4">G30/G31</f>
        <v>0.7605011145990086</v>
      </c>
      <c r="H35" s="487">
        <f t="shared" ca="1" si="4"/>
        <v>0.75369504650015262</v>
      </c>
      <c r="I35" s="488">
        <f t="shared" ca="1" si="4"/>
        <v>0.74676429339557948</v>
      </c>
      <c r="J35" s="486">
        <f t="shared" ca="1" si="4"/>
        <v>0.77916195661461407</v>
      </c>
      <c r="K35" s="487">
        <f t="shared" ca="1" si="4"/>
        <v>0.77272771283801367</v>
      </c>
      <c r="L35" s="488">
        <f t="shared" ca="1" si="4"/>
        <v>0.76616636138578609</v>
      </c>
      <c r="M35" s="486">
        <f t="shared" ca="1" si="4"/>
        <v>0.79512503451173322</v>
      </c>
      <c r="N35" s="487">
        <f t="shared" ca="1" si="4"/>
        <v>0.78902995302559931</v>
      </c>
      <c r="O35" s="488">
        <f t="shared" ca="1" si="4"/>
        <v>0.78280696139631689</v>
      </c>
      <c r="P35" s="487">
        <f t="shared" ca="1" si="4"/>
        <v>0.80893592787045621</v>
      </c>
      <c r="Q35" s="487">
        <f t="shared" ca="1" si="4"/>
        <v>0.80315000250526825</v>
      </c>
      <c r="R35" s="488">
        <f t="shared" ca="1" si="4"/>
        <v>0.79723647917954243</v>
      </c>
      <c r="S35" s="14"/>
      <c r="T35" s="14"/>
      <c r="U35" s="14"/>
      <c r="V35" s="14"/>
    </row>
    <row r="36" spans="1:22" s="4" customFormat="1" ht="12.75" customHeight="1">
      <c r="A36" s="3"/>
      <c r="B36" s="3" t="s">
        <v>334</v>
      </c>
      <c r="C36" s="3"/>
      <c r="D36" s="3"/>
      <c r="E36" s="3"/>
      <c r="F36" s="3"/>
      <c r="G36" s="489">
        <f ca="1">($N$10*G27*G28-$N$19)/($N$19+$N$10*G27)</f>
        <v>1.8237554897773546E-2</v>
      </c>
      <c r="H36" s="490">
        <f ca="1">($N$10*H27*H28-$N$19)/($N$19+$N$10*H27)</f>
        <v>3.7093805914398995E-2</v>
      </c>
      <c r="I36" s="491">
        <f ca="1">($N$10*I27*I28-$N$19)/($N$19+$N$10*I27)</f>
        <v>5.5950056931024429E-2</v>
      </c>
      <c r="J36" s="489">
        <f ca="1">($N$10*J27*J28-$N$19)/($N$19+$N$10*J27)</f>
        <v>2.409408775653071E-2</v>
      </c>
      <c r="K36" s="490">
        <f ca="1">($N$10*K27*K28-$N$19)/($N$19+$N$10*K27)</f>
        <v>4.305879308535536E-2</v>
      </c>
      <c r="L36" s="491">
        <f ca="1">($N$10*L27*L28-$N$19)/($N$19+$N$10*L27)</f>
        <v>6.2023498414179999E-2</v>
      </c>
      <c r="M36" s="489">
        <f ca="1">($N$10*M27*M28-$N$19)/($N$19+$N$10*M27)</f>
        <v>2.8936142781994013E-2</v>
      </c>
      <c r="N36" s="490">
        <f ca="1">($N$10*N27*N28-$N$19)/($N$19+$N$10*N27)</f>
        <v>4.799051579647539E-2</v>
      </c>
      <c r="O36" s="491">
        <f ca="1">($N$10*O27*O28-$N$19)/($N$19+$N$10*O27)</f>
        <v>6.7044888810956771E-2</v>
      </c>
      <c r="P36" s="490">
        <f ca="1">($N$10*P27*P28-$N$19)/($N$19+$N$10*P27)</f>
        <v>3.3006303769725291E-2</v>
      </c>
      <c r="Q36" s="490">
        <f ca="1">($N$10*Q27*Q28-$N$19)/($N$19+$N$10*Q27)</f>
        <v>5.2136050135831308E-2</v>
      </c>
      <c r="R36" s="491">
        <f ca="1">($N$10*R27*R28-$N$19)/($N$19+$N$10*R27)</f>
        <v>7.1265796501937345E-2</v>
      </c>
      <c r="S36" s="14"/>
      <c r="T36" s="14"/>
      <c r="U36" s="14"/>
      <c r="V36" s="14"/>
    </row>
    <row r="37" spans="1:22" s="4" customFormat="1" ht="12.75" customHeight="1">
      <c r="A37" s="3"/>
      <c r="B37" s="3"/>
      <c r="C37" s="3"/>
      <c r="D37" s="3"/>
      <c r="E37" s="3"/>
      <c r="F37" s="3"/>
      <c r="G37" s="49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32"/>
      <c r="S37" s="14"/>
      <c r="T37" s="14"/>
      <c r="U37" s="14"/>
      <c r="V37" s="14"/>
    </row>
    <row r="38" spans="1:22" s="4" customFormat="1" ht="12.75" hidden="1" customHeight="1" outlineLevel="1">
      <c r="A38" s="3"/>
      <c r="B38" s="3"/>
      <c r="C38" s="3"/>
      <c r="D38" s="3"/>
      <c r="E38" s="3"/>
      <c r="F38" s="3"/>
      <c r="G38" s="49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32"/>
      <c r="S38" s="14"/>
      <c r="T38" s="14"/>
      <c r="U38" s="14"/>
      <c r="V38" s="14"/>
    </row>
    <row r="39" spans="1:22" s="157" customFormat="1" ht="12.75" hidden="1" customHeight="1" outlineLevel="1">
      <c r="A39" s="155"/>
      <c r="B39" s="155" t="s">
        <v>333</v>
      </c>
      <c r="C39" s="155"/>
      <c r="D39" s="155"/>
      <c r="E39" s="155"/>
      <c r="F39" s="155"/>
      <c r="G39" s="493">
        <f ca="1">+H39</f>
        <v>2.5000000000000001E-2</v>
      </c>
      <c r="H39" s="494">
        <f ca="1">Q20</f>
        <v>2.5000000000000001E-2</v>
      </c>
      <c r="I39" s="493">
        <f ca="1">+H39</f>
        <v>2.5000000000000001E-2</v>
      </c>
      <c r="J39" s="493">
        <f ca="1">+K39</f>
        <v>3.0000000000000002E-2</v>
      </c>
      <c r="K39" s="494">
        <f ca="1">H39+$R$20</f>
        <v>3.0000000000000002E-2</v>
      </c>
      <c r="L39" s="493">
        <f ca="1">+K39</f>
        <v>3.0000000000000002E-2</v>
      </c>
      <c r="M39" s="493">
        <f ca="1">+N39</f>
        <v>3.5000000000000003E-2</v>
      </c>
      <c r="N39" s="494">
        <f ca="1">K39+$R$20</f>
        <v>3.5000000000000003E-2</v>
      </c>
      <c r="O39" s="493">
        <f ca="1">+N39</f>
        <v>3.5000000000000003E-2</v>
      </c>
      <c r="P39" s="493">
        <f ca="1">+Q39</f>
        <v>0.04</v>
      </c>
      <c r="Q39" s="494">
        <f ca="1">N39+$R$20</f>
        <v>0.04</v>
      </c>
      <c r="R39" s="493">
        <f ca="1">+Q39</f>
        <v>0.04</v>
      </c>
      <c r="S39" s="254"/>
      <c r="T39" s="254"/>
      <c r="U39" s="254"/>
      <c r="V39" s="254"/>
    </row>
    <row r="40" spans="1:22" s="4" customFormat="1" ht="12.75" hidden="1" customHeight="1" outlineLevel="1">
      <c r="A40" s="3"/>
      <c r="B40" s="3" t="s">
        <v>332</v>
      </c>
      <c r="C40" s="3"/>
      <c r="D40" s="3"/>
      <c r="E40" s="3"/>
      <c r="F40" s="3"/>
      <c r="G40" s="475">
        <f t="shared" ref="G40:R40" ca="1" si="5">G28</f>
        <v>0.08</v>
      </c>
      <c r="H40" s="476">
        <f t="shared" ca="1" si="5"/>
        <v>0.1</v>
      </c>
      <c r="I40" s="477">
        <f t="shared" ca="1" si="5"/>
        <v>0.12000000000000001</v>
      </c>
      <c r="J40" s="475">
        <f t="shared" ca="1" si="5"/>
        <v>0.08</v>
      </c>
      <c r="K40" s="476">
        <f t="shared" ca="1" si="5"/>
        <v>0.1</v>
      </c>
      <c r="L40" s="477">
        <f t="shared" ca="1" si="5"/>
        <v>0.12000000000000001</v>
      </c>
      <c r="M40" s="475">
        <f t="shared" ca="1" si="5"/>
        <v>0.08</v>
      </c>
      <c r="N40" s="476">
        <f t="shared" ca="1" si="5"/>
        <v>0.1</v>
      </c>
      <c r="O40" s="477">
        <f t="shared" ca="1" si="5"/>
        <v>0.12000000000000001</v>
      </c>
      <c r="P40" s="476">
        <f t="shared" ca="1" si="5"/>
        <v>0.08</v>
      </c>
      <c r="Q40" s="476">
        <f t="shared" ca="1" si="5"/>
        <v>0.1</v>
      </c>
      <c r="R40" s="477">
        <f t="shared" ca="1" si="5"/>
        <v>0.12000000000000001</v>
      </c>
      <c r="S40" s="14"/>
      <c r="T40" s="14"/>
      <c r="U40" s="14"/>
      <c r="V40" s="14"/>
    </row>
    <row r="41" spans="1:22" s="4" customFormat="1" ht="12.75" hidden="1" customHeight="1" outlineLevel="1">
      <c r="A41" s="3" t="s">
        <v>325</v>
      </c>
      <c r="B41" s="3" t="s">
        <v>331</v>
      </c>
      <c r="C41" s="3"/>
      <c r="D41" s="3"/>
      <c r="E41" s="3"/>
      <c r="F41" s="3"/>
      <c r="G41" s="478">
        <f ca="1">XNPV(G40,$J$19:$N$19,$J$58:$N$58)/(1+G40)^$R$59</f>
        <v>6814.1210477820059</v>
      </c>
      <c r="H41" s="106">
        <f ca="1">XNPV(H40,$J$19:$N$19,$J$58:$N$58)/(1+H40)^$R$59</f>
        <v>6450.5296222022116</v>
      </c>
      <c r="I41" s="479">
        <f ca="1">XNPV(I40,$J$19:$N$19,$J$58:$N$58)/(1+I40)^$R$59</f>
        <v>6116.3132588500321</v>
      </c>
      <c r="J41" s="478">
        <f ca="1">XNPV(J40,$J$19:$N$19,$J$58:$N$58)/(1+J40)^$R$59</f>
        <v>6814.1210477820059</v>
      </c>
      <c r="K41" s="106">
        <f ca="1">XNPV(K40,$J$19:$N$19,$J$58:$N$58)/(1+K40)^$R$59</f>
        <v>6450.5296222022116</v>
      </c>
      <c r="L41" s="479">
        <f ca="1">XNPV(L40,$J$19:$N$19,$J$58:$N$58)/(1+L40)^$R$59</f>
        <v>6116.3132588500321</v>
      </c>
      <c r="M41" s="478">
        <f ca="1">XNPV(M40,$J$19:$N$19,$J$58:$N$58)/(1+M40)^$R$59</f>
        <v>6814.1210477820059</v>
      </c>
      <c r="N41" s="106">
        <f ca="1">XNPV(N40,$J$19:$N$19,$J$58:$N$58)/(1+N40)^$R$59</f>
        <v>6450.5296222022116</v>
      </c>
      <c r="O41" s="479">
        <f ca="1">XNPV(O40,$J$19:$N$19,$J$58:$N$58)/(1+O40)^$R$59</f>
        <v>6116.3132588500321</v>
      </c>
      <c r="P41" s="106">
        <f ca="1">XNPV(P40,$J$19:$N$19,$J$58:$N$58)/(1+P40)^$R$59</f>
        <v>6814.1210477820059</v>
      </c>
      <c r="Q41" s="106">
        <f ca="1">XNPV(Q40,$J$19:$N$19,$J$58:$N$58)/(1+Q40)^$R$59</f>
        <v>6450.5296222022116</v>
      </c>
      <c r="R41" s="479">
        <f ca="1">XNPV(R40,$J$19:$N$19,$J$58:$N$58)/(1+R40)^$R$59</f>
        <v>6116.3132588500321</v>
      </c>
      <c r="S41" s="14"/>
      <c r="T41" s="14"/>
      <c r="U41" s="14"/>
      <c r="V41" s="14"/>
    </row>
    <row r="42" spans="1:22" s="4" customFormat="1" ht="12.75" hidden="1" customHeight="1" outlineLevel="1">
      <c r="A42" s="3" t="s">
        <v>325</v>
      </c>
      <c r="B42" s="3" t="s">
        <v>330</v>
      </c>
      <c r="C42" s="3"/>
      <c r="D42" s="3"/>
      <c r="E42" s="3"/>
      <c r="F42" s="3"/>
      <c r="G42" s="480">
        <f ca="1">(($N$19*(1+G39))/(G40-G39))/(1+G40)^($R$60)</f>
        <v>24459.228176303772</v>
      </c>
      <c r="H42" s="481">
        <f ca="1">(($N$19*(1+H39))/(H40-H39))/(1+H40)^($R$60)</f>
        <v>16362.733643918824</v>
      </c>
      <c r="I42" s="482">
        <f ca="1">(($N$19*(1+I39))/(I40-I39))/(1+I40)^($R$60)</f>
        <v>11803.857363330735</v>
      </c>
      <c r="J42" s="480">
        <f ca="1">(($N$19*(1+J39))/(J40-J39))/(1+J40)^($R$60)</f>
        <v>27036.39563292895</v>
      </c>
      <c r="K42" s="481">
        <f ca="1">(($N$19*(1+K39))/(K40-K39))/(1+K40)^($R$60)</f>
        <v>17617.019846588562</v>
      </c>
      <c r="L42" s="482">
        <f ca="1">(($N$19*(1+L39))/(L40-L39))/(1+L40)^($R$60)</f>
        <v>12520.405886199593</v>
      </c>
      <c r="M42" s="480">
        <f ca="1">(($N$19*(1+M39))/(M40-M39))/(1+M40)^($R$60)</f>
        <v>30186.266968804164</v>
      </c>
      <c r="N42" s="481">
        <f ca="1">(($N$19*(1+N39))/(N40-N39))/(1+N40)^($R$60)</f>
        <v>19064.273157361335</v>
      </c>
      <c r="O42" s="482">
        <f ca="1">(($N$19*(1+O39))/(O40-O39))/(1+O40)^($R$60)</f>
        <v>13321.254235288314</v>
      </c>
      <c r="P42" s="481">
        <f ca="1">(($N$19*(1+P39))/(P40-P39))/(1+P40)^($R$60)</f>
        <v>34123.606138648189</v>
      </c>
      <c r="Q42" s="481">
        <f ca="1">(($N$19*(1+Q39))/(Q40-Q39))/(1+Q40)^($R$60)</f>
        <v>20752.735353262899</v>
      </c>
      <c r="R42" s="482">
        <f ca="1">(($N$19*(1+R39))/(R40-R39))/(1+R40)^($R$60)</f>
        <v>14222.208628013128</v>
      </c>
      <c r="S42" s="14"/>
      <c r="T42" s="14"/>
      <c r="U42" s="14"/>
      <c r="V42" s="14"/>
    </row>
    <row r="43" spans="1:22" s="4" customFormat="1" ht="12.75" hidden="1" customHeight="1" outlineLevel="1">
      <c r="A43" s="3"/>
      <c r="B43" s="3" t="s">
        <v>329</v>
      </c>
      <c r="C43" s="3"/>
      <c r="D43" s="3"/>
      <c r="E43" s="3"/>
      <c r="F43" s="3"/>
      <c r="G43" s="478">
        <f t="shared" ref="G43:R43" ca="1" si="6">SUM(G41:G42)</f>
        <v>31273.349224085778</v>
      </c>
      <c r="H43" s="106">
        <f t="shared" ca="1" si="6"/>
        <v>22813.263266121037</v>
      </c>
      <c r="I43" s="479">
        <f t="shared" ca="1" si="6"/>
        <v>17920.170622180769</v>
      </c>
      <c r="J43" s="478">
        <f t="shared" ca="1" si="6"/>
        <v>33850.516680710956</v>
      </c>
      <c r="K43" s="106">
        <f t="shared" ca="1" si="6"/>
        <v>24067.549468790774</v>
      </c>
      <c r="L43" s="479">
        <f t="shared" ca="1" si="6"/>
        <v>18636.719145049625</v>
      </c>
      <c r="M43" s="478">
        <f t="shared" ca="1" si="6"/>
        <v>37000.38801658617</v>
      </c>
      <c r="N43" s="106">
        <f t="shared" ca="1" si="6"/>
        <v>25514.802779563546</v>
      </c>
      <c r="O43" s="479">
        <f t="shared" ca="1" si="6"/>
        <v>19437.567494138348</v>
      </c>
      <c r="P43" s="106">
        <f t="shared" ca="1" si="6"/>
        <v>40937.727186430195</v>
      </c>
      <c r="Q43" s="106">
        <f t="shared" ca="1" si="6"/>
        <v>27203.26497546511</v>
      </c>
      <c r="R43" s="479">
        <f t="shared" ca="1" si="6"/>
        <v>20338.52188686316</v>
      </c>
      <c r="S43" s="14"/>
      <c r="T43" s="14"/>
      <c r="U43" s="14"/>
      <c r="V43" s="14"/>
    </row>
    <row r="44" spans="1:22" s="4" customFormat="1" ht="12.75" hidden="1" customHeight="1" outlineLevel="1">
      <c r="A44" s="3"/>
      <c r="B44" s="3" t="str">
        <f ca="1">+B32</f>
        <v>Less: Net Debt (a)</v>
      </c>
      <c r="C44" s="3"/>
      <c r="D44" s="3"/>
      <c r="E44" s="3"/>
      <c r="F44" s="3"/>
      <c r="G44" s="480">
        <f t="shared" ref="G44:R44" ca="1" si="7">G32</f>
        <v>-1110</v>
      </c>
      <c r="H44" s="481">
        <f t="shared" ca="1" si="7"/>
        <v>-1110</v>
      </c>
      <c r="I44" s="482">
        <f t="shared" ca="1" si="7"/>
        <v>-1110</v>
      </c>
      <c r="J44" s="480">
        <f t="shared" ca="1" si="7"/>
        <v>-1110</v>
      </c>
      <c r="K44" s="481">
        <f t="shared" ca="1" si="7"/>
        <v>-1110</v>
      </c>
      <c r="L44" s="482">
        <f t="shared" ca="1" si="7"/>
        <v>-1110</v>
      </c>
      <c r="M44" s="480">
        <f t="shared" ca="1" si="7"/>
        <v>-1110</v>
      </c>
      <c r="N44" s="481">
        <f t="shared" ca="1" si="7"/>
        <v>-1110</v>
      </c>
      <c r="O44" s="482">
        <f t="shared" ca="1" si="7"/>
        <v>-1110</v>
      </c>
      <c r="P44" s="481">
        <f t="shared" ca="1" si="7"/>
        <v>-1110</v>
      </c>
      <c r="Q44" s="481">
        <f t="shared" ca="1" si="7"/>
        <v>-1110</v>
      </c>
      <c r="R44" s="482">
        <f t="shared" ca="1" si="7"/>
        <v>-1110</v>
      </c>
      <c r="S44" s="14"/>
      <c r="T44" s="14"/>
      <c r="U44" s="14"/>
      <c r="V44" s="14"/>
    </row>
    <row r="45" spans="1:22" s="4" customFormat="1" ht="12.75" hidden="1" customHeight="1" outlineLevel="1">
      <c r="A45" s="3"/>
      <c r="B45" s="3" t="s">
        <v>328</v>
      </c>
      <c r="C45" s="3"/>
      <c r="D45" s="3"/>
      <c r="E45" s="3"/>
      <c r="F45" s="3"/>
      <c r="G45" s="478">
        <f t="shared" ref="G45:R45" ca="1" si="8">SUM(G43:G44)</f>
        <v>30163.349224085778</v>
      </c>
      <c r="H45" s="106">
        <f t="shared" ca="1" si="8"/>
        <v>21703.263266121037</v>
      </c>
      <c r="I45" s="479">
        <f t="shared" ca="1" si="8"/>
        <v>16810.170622180769</v>
      </c>
      <c r="J45" s="478">
        <f t="shared" ca="1" si="8"/>
        <v>32740.516680710956</v>
      </c>
      <c r="K45" s="106">
        <f t="shared" ca="1" si="8"/>
        <v>22957.549468790774</v>
      </c>
      <c r="L45" s="479">
        <f t="shared" ca="1" si="8"/>
        <v>17526.719145049625</v>
      </c>
      <c r="M45" s="478">
        <f t="shared" ca="1" si="8"/>
        <v>35890.38801658617</v>
      </c>
      <c r="N45" s="106">
        <f t="shared" ca="1" si="8"/>
        <v>24404.802779563546</v>
      </c>
      <c r="O45" s="479">
        <f t="shared" ca="1" si="8"/>
        <v>18327.567494138348</v>
      </c>
      <c r="P45" s="106">
        <f t="shared" ca="1" si="8"/>
        <v>39827.727186430195</v>
      </c>
      <c r="Q45" s="106">
        <f t="shared" ca="1" si="8"/>
        <v>26093.26497546511</v>
      </c>
      <c r="R45" s="479">
        <f t="shared" ca="1" si="8"/>
        <v>19228.52188686316</v>
      </c>
      <c r="S45" s="14"/>
      <c r="T45" s="14"/>
      <c r="U45" s="14"/>
      <c r="V45" s="14"/>
    </row>
    <row r="46" spans="1:22" s="157" customFormat="1" ht="18" hidden="1" customHeight="1" outlineLevel="1">
      <c r="A46" s="155"/>
      <c r="B46" s="155" t="s">
        <v>327</v>
      </c>
      <c r="C46" s="155"/>
      <c r="D46" s="155"/>
      <c r="E46" s="155"/>
      <c r="F46" s="155"/>
      <c r="G46" s="484">
        <f t="shared" ref="G46:R46" ca="1" si="9">G45/G54</f>
        <v>220.14695619991923</v>
      </c>
      <c r="H46" s="317">
        <f t="shared" ca="1" si="9"/>
        <v>158.40108842511594</v>
      </c>
      <c r="I46" s="485">
        <f t="shared" ca="1" si="9"/>
        <v>122.68889201200977</v>
      </c>
      <c r="J46" s="484">
        <f t="shared" ca="1" si="9"/>
        <v>238.95639168331311</v>
      </c>
      <c r="K46" s="317">
        <f t="shared" ca="1" si="9"/>
        <v>167.55548595802674</v>
      </c>
      <c r="L46" s="485">
        <f t="shared" ca="1" si="9"/>
        <v>127.91861551211647</v>
      </c>
      <c r="M46" s="484">
        <f t="shared" ca="1" si="9"/>
        <v>261.94570171857225</v>
      </c>
      <c r="N46" s="317">
        <f t="shared" ca="1" si="9"/>
        <v>178.11825234215459</v>
      </c>
      <c r="O46" s="485">
        <f t="shared" ca="1" si="9"/>
        <v>133.76360060047105</v>
      </c>
      <c r="P46" s="317">
        <f t="shared" ca="1" si="9"/>
        <v>290.68233926264628</v>
      </c>
      <c r="Q46" s="317">
        <f t="shared" ca="1" si="9"/>
        <v>190.4414797903037</v>
      </c>
      <c r="R46" s="485">
        <f t="shared" ca="1" si="9"/>
        <v>140.33920882486993</v>
      </c>
      <c r="S46" s="254"/>
      <c r="T46" s="254"/>
      <c r="U46" s="254"/>
      <c r="V46" s="254"/>
    </row>
    <row r="47" spans="1:22" s="4" customFormat="1" ht="18" hidden="1" customHeight="1" outlineLevel="1">
      <c r="A47" s="3"/>
      <c r="B47" s="3" t="s">
        <v>326</v>
      </c>
      <c r="C47" s="3"/>
      <c r="D47" s="3"/>
      <c r="E47" s="3"/>
      <c r="F47" s="3"/>
      <c r="G47" s="486">
        <f t="shared" ref="G47:R47" ca="1" si="10">G42/G43</f>
        <v>0.78211092777571845</v>
      </c>
      <c r="H47" s="487">
        <f t="shared" ca="1" si="10"/>
        <v>0.71724651809100859</v>
      </c>
      <c r="I47" s="488">
        <f t="shared" ca="1" si="10"/>
        <v>0.65869112589365975</v>
      </c>
      <c r="J47" s="486">
        <f t="shared" ca="1" si="10"/>
        <v>0.79869964431990792</v>
      </c>
      <c r="K47" s="487">
        <f t="shared" ca="1" si="10"/>
        <v>0.73198228467061688</v>
      </c>
      <c r="L47" s="488">
        <f t="shared" ca="1" si="10"/>
        <v>0.67181384173647984</v>
      </c>
      <c r="M47" s="486">
        <f t="shared" ca="1" si="10"/>
        <v>0.81583649758679722</v>
      </c>
      <c r="N47" s="487">
        <f t="shared" ca="1" si="10"/>
        <v>0.74718481354012822</v>
      </c>
      <c r="O47" s="488">
        <f t="shared" ca="1" si="10"/>
        <v>0.68533545873502499</v>
      </c>
      <c r="P47" s="487">
        <f t="shared" ca="1" si="10"/>
        <v>0.83354911188033143</v>
      </c>
      <c r="Q47" s="487">
        <f t="shared" ca="1" si="10"/>
        <v>0.76287663896153612</v>
      </c>
      <c r="R47" s="488">
        <f t="shared" ca="1" si="10"/>
        <v>0.69927444615330603</v>
      </c>
      <c r="S47" s="14"/>
      <c r="T47" s="14"/>
      <c r="U47" s="14"/>
      <c r="V47" s="14"/>
    </row>
    <row r="48" spans="1:22" s="4" customFormat="1" ht="12.75" hidden="1" customHeight="1" outlineLevel="1">
      <c r="A48" s="3" t="s">
        <v>325</v>
      </c>
      <c r="B48" s="3" t="s">
        <v>324</v>
      </c>
      <c r="C48" s="3"/>
      <c r="D48" s="3"/>
      <c r="E48" s="3"/>
      <c r="F48" s="3"/>
      <c r="G48" s="495">
        <f ca="1">(G42*((1+G40)^($R$60)))/$N$10</f>
        <v>10.173703006863038</v>
      </c>
      <c r="H48" s="496">
        <f ca="1">(H42*((1+H40)^($R$60)))/$N$10</f>
        <v>7.4607155383662267</v>
      </c>
      <c r="I48" s="497">
        <f ca="1">(I42*((1+I40)^($R$60)))/$N$10</f>
        <v>5.890038582920706</v>
      </c>
      <c r="J48" s="495">
        <f ca="1">(J42*((1+J40)^($R$60)))/$N$10</f>
        <v>11.245663909049584</v>
      </c>
      <c r="K48" s="496">
        <f ca="1">(K42*((1+K40)^($R$60)))/$N$10</f>
        <v>8.0326170778925583</v>
      </c>
      <c r="L48" s="497">
        <f ca="1">(L42*((1+L40)^($R$60)))/$N$10</f>
        <v>6.2475910605831011</v>
      </c>
      <c r="M48" s="495">
        <f ca="1">(M42*((1+M40)^($R$60)))/$N$10</f>
        <v>12.555838345055358</v>
      </c>
      <c r="N48" s="496">
        <f ca="1">(N42*((1+N40)^($R$60)))/$N$10</f>
        <v>8.69250346965371</v>
      </c>
      <c r="O48" s="497">
        <f ca="1">(O42*((1+O40)^($R$60)))/$N$10</f>
        <v>6.6472085356175423</v>
      </c>
      <c r="P48" s="496">
        <f ca="1">(P42*((1+P40)^($R$60)))/$N$10</f>
        <v>14.193556390062579</v>
      </c>
      <c r="Q48" s="496">
        <f ca="1">(Q42*((1+Q40)^($R$60)))/$N$10</f>
        <v>9.4623709267083864</v>
      </c>
      <c r="R48" s="497">
        <f ca="1">(R42*((1+R40)^($R$60)))/$N$10</f>
        <v>7.0967781950312885</v>
      </c>
      <c r="S48" s="14"/>
      <c r="T48" s="14"/>
      <c r="U48" s="14"/>
      <c r="V48" s="14"/>
    </row>
    <row r="49" spans="1:22" s="4" customFormat="1" ht="12.75" customHeight="1" collapsed="1">
      <c r="A49" s="3"/>
      <c r="B49" s="3"/>
      <c r="C49" s="3"/>
      <c r="D49" s="3"/>
      <c r="E49" s="3"/>
      <c r="F49" s="3"/>
      <c r="G49" s="49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32"/>
      <c r="S49" s="14"/>
      <c r="T49" s="14"/>
      <c r="U49" s="14"/>
      <c r="V49" s="14"/>
    </row>
    <row r="50" spans="1:22" s="4" customFormat="1" ht="12.75" customHeight="1">
      <c r="B50" s="498" t="str">
        <f ca="1">"Note: Present values as of "&amp;TEXT($C$58,"mmmm d, yyyy.")</f>
        <v>Note: Present values as of December 31, 2019.</v>
      </c>
      <c r="C50" s="230"/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186"/>
      <c r="Q50" s="186"/>
      <c r="R50" s="186"/>
      <c r="S50" s="14"/>
      <c r="T50" s="14"/>
      <c r="U50" s="14"/>
      <c r="V50" s="14"/>
    </row>
    <row r="51" spans="1:22" s="4" customFormat="1" ht="12.75" customHeight="1">
      <c r="B51" s="499" t="s">
        <v>350</v>
      </c>
      <c r="C51" s="500"/>
      <c r="D51" s="500"/>
      <c r="E51" s="500"/>
      <c r="F51" s="500"/>
      <c r="G51" s="500"/>
      <c r="H51" s="500"/>
      <c r="I51" s="500"/>
      <c r="J51" s="500"/>
      <c r="K51" s="500"/>
      <c r="L51" s="500"/>
      <c r="M51" s="500"/>
      <c r="N51" s="500"/>
      <c r="O51" s="500"/>
      <c r="S51" s="14"/>
      <c r="T51" s="14"/>
      <c r="U51" s="14"/>
      <c r="V51" s="14"/>
    </row>
    <row r="52" spans="1:22" s="4" customFormat="1" ht="12.75" customHeight="1">
      <c r="A52" s="3"/>
      <c r="B52" s="3"/>
      <c r="C52" s="3"/>
      <c r="D52" s="3"/>
      <c r="E52" s="3"/>
      <c r="F52" s="3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4"/>
      <c r="T52" s="14"/>
      <c r="U52" s="14"/>
      <c r="V52" s="14"/>
    </row>
    <row r="53" spans="1:22" s="4" customFormat="1" ht="12.75" customHeight="1">
      <c r="B53" s="4" t="s">
        <v>323</v>
      </c>
      <c r="G53" s="100">
        <f ca="1">+adshares</f>
        <v>137.01460944431102</v>
      </c>
      <c r="H53" s="100">
        <f ca="1">+G53</f>
        <v>137.01460944431102</v>
      </c>
      <c r="I53" s="100">
        <f t="shared" ref="I53:R53" ca="1" si="11">+H53</f>
        <v>137.01460944431102</v>
      </c>
      <c r="J53" s="100">
        <f t="shared" ca="1" si="11"/>
        <v>137.01460944431102</v>
      </c>
      <c r="K53" s="100">
        <f t="shared" ca="1" si="11"/>
        <v>137.01460944431102</v>
      </c>
      <c r="L53" s="100">
        <f t="shared" ca="1" si="11"/>
        <v>137.01460944431102</v>
      </c>
      <c r="M53" s="100">
        <f t="shared" ca="1" si="11"/>
        <v>137.01460944431102</v>
      </c>
      <c r="N53" s="100">
        <f t="shared" ca="1" si="11"/>
        <v>137.01460944431102</v>
      </c>
      <c r="O53" s="100">
        <f t="shared" ca="1" si="11"/>
        <v>137.01460944431102</v>
      </c>
      <c r="P53" s="100">
        <f t="shared" ca="1" si="11"/>
        <v>137.01460944431102</v>
      </c>
      <c r="Q53" s="100">
        <f t="shared" ca="1" si="11"/>
        <v>137.01460944431102</v>
      </c>
      <c r="R53" s="100">
        <f t="shared" ca="1" si="11"/>
        <v>137.01460944431102</v>
      </c>
      <c r="S53" s="14"/>
      <c r="T53" s="14"/>
      <c r="U53" s="14"/>
      <c r="V53" s="14"/>
    </row>
    <row r="54" spans="1:22" s="4" customFormat="1" ht="12.75" customHeight="1">
      <c r="B54" s="4" t="s">
        <v>322</v>
      </c>
      <c r="G54" s="100">
        <f ca="1">+G53</f>
        <v>137.01460944431102</v>
      </c>
      <c r="H54" s="100">
        <f t="shared" ref="H54:R54" ca="1" si="12">+G54</f>
        <v>137.01460944431102</v>
      </c>
      <c r="I54" s="100">
        <f t="shared" ca="1" si="12"/>
        <v>137.01460944431102</v>
      </c>
      <c r="J54" s="100">
        <f t="shared" ca="1" si="12"/>
        <v>137.01460944431102</v>
      </c>
      <c r="K54" s="100">
        <f t="shared" ca="1" si="12"/>
        <v>137.01460944431102</v>
      </c>
      <c r="L54" s="100">
        <f t="shared" ca="1" si="12"/>
        <v>137.01460944431102</v>
      </c>
      <c r="M54" s="100">
        <f t="shared" ca="1" si="12"/>
        <v>137.01460944431102</v>
      </c>
      <c r="N54" s="100">
        <f t="shared" ca="1" si="12"/>
        <v>137.01460944431102</v>
      </c>
      <c r="O54" s="100">
        <f t="shared" ca="1" si="12"/>
        <v>137.01460944431102</v>
      </c>
      <c r="P54" s="100">
        <f t="shared" ca="1" si="12"/>
        <v>137.01460944431102</v>
      </c>
      <c r="Q54" s="100">
        <f t="shared" ca="1" si="12"/>
        <v>137.01460944431102</v>
      </c>
      <c r="R54" s="100">
        <f t="shared" ca="1" si="12"/>
        <v>137.01460944431102</v>
      </c>
      <c r="S54" s="14"/>
      <c r="T54" s="14"/>
      <c r="U54" s="14"/>
      <c r="V54" s="14"/>
    </row>
    <row r="55" spans="1:22" s="4" customFormat="1" ht="12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14"/>
      <c r="T55" s="14"/>
      <c r="U55" s="14"/>
      <c r="V55" s="14"/>
    </row>
    <row r="56" spans="1:22" s="4" customFormat="1" ht="15.65" customHeight="1">
      <c r="B56" s="545" t="s">
        <v>321</v>
      </c>
      <c r="C56" s="544"/>
      <c r="D56" s="544"/>
      <c r="E56" s="544"/>
      <c r="F56" s="544"/>
      <c r="G56" s="544"/>
      <c r="H56" s="544"/>
      <c r="I56" s="544"/>
      <c r="J56" s="544"/>
      <c r="K56" s="544"/>
      <c r="L56" s="544"/>
      <c r="M56" s="544"/>
      <c r="N56" s="544"/>
      <c r="O56" s="544"/>
      <c r="P56" s="544"/>
      <c r="Q56" s="544"/>
      <c r="R56" s="544"/>
      <c r="S56" s="14"/>
      <c r="T56" s="14"/>
      <c r="U56" s="14"/>
      <c r="V56" s="14"/>
    </row>
    <row r="57" spans="1:22" s="4" customFormat="1" ht="12.75" customHeight="1">
      <c r="B57" s="370"/>
      <c r="S57" s="14"/>
      <c r="T57" s="14"/>
      <c r="U57" s="14"/>
      <c r="V57" s="14"/>
    </row>
    <row r="58" spans="1:22" s="4" customFormat="1" ht="12.75" customHeight="1">
      <c r="B58" s="501" t="s">
        <v>320</v>
      </c>
      <c r="C58" s="502">
        <v>43830</v>
      </c>
      <c r="E58" s="503">
        <v>1</v>
      </c>
      <c r="F58" s="501" t="str">
        <f ca="1">INDEX(F59:F60,adiscconvention)</f>
        <v>End-of-Year Convention</v>
      </c>
      <c r="G58" s="504"/>
      <c r="H58" s="505"/>
      <c r="J58" s="506">
        <f ca="1">INDEX(J59:J60,adiscconvention)</f>
        <v>44196</v>
      </c>
      <c r="K58" s="507">
        <f ca="1">INDEX(K59:K60,adiscconvention)</f>
        <v>44561</v>
      </c>
      <c r="L58" s="507">
        <f ca="1">INDEX(L59:L60,adiscconvention)</f>
        <v>44926</v>
      </c>
      <c r="M58" s="507">
        <f ca="1">INDEX(M59:M60,adiscconvention)</f>
        <v>45291</v>
      </c>
      <c r="N58" s="508">
        <f ca="1">INDEX(N59:N60,adiscconvention)</f>
        <v>45657</v>
      </c>
      <c r="O58" s="59"/>
      <c r="P58" s="509" t="s">
        <v>319</v>
      </c>
      <c r="Q58" s="186"/>
      <c r="R58" s="510"/>
      <c r="S58" s="14"/>
      <c r="T58" s="14"/>
      <c r="U58" s="14"/>
      <c r="V58" s="14"/>
    </row>
    <row r="59" spans="1:22" s="4" customFormat="1" ht="12.75" customHeight="1">
      <c r="E59" s="266">
        <v>1</v>
      </c>
      <c r="F59" s="4" t="s">
        <v>318</v>
      </c>
      <c r="J59" s="511">
        <v>44196</v>
      </c>
      <c r="K59" s="512">
        <f t="shared" ref="K59:N60" ca="1" si="13">DATE(YEAR(J59)+1,MONTH(J59),DAY(J59))</f>
        <v>44561</v>
      </c>
      <c r="L59" s="512">
        <f t="shared" ca="1" si="13"/>
        <v>44926</v>
      </c>
      <c r="M59" s="512">
        <f t="shared" ca="1" si="13"/>
        <v>45291</v>
      </c>
      <c r="N59" s="512">
        <f t="shared" ca="1" si="13"/>
        <v>45657</v>
      </c>
      <c r="P59" s="513" t="s">
        <v>317</v>
      </c>
      <c r="R59" s="514">
        <f ca="1">+(J58-C58)/365</f>
        <v>1.0027397260273974</v>
      </c>
      <c r="S59" s="14"/>
      <c r="T59" s="14"/>
      <c r="U59" s="14"/>
      <c r="V59" s="14"/>
    </row>
    <row r="60" spans="1:22" s="4" customFormat="1" ht="12.75" customHeight="1">
      <c r="E60" s="266">
        <v>2</v>
      </c>
      <c r="F60" s="4" t="s">
        <v>316</v>
      </c>
      <c r="J60" s="511">
        <v>44013</v>
      </c>
      <c r="K60" s="512">
        <f t="shared" ca="1" si="13"/>
        <v>44378</v>
      </c>
      <c r="L60" s="512">
        <f t="shared" ca="1" si="13"/>
        <v>44743</v>
      </c>
      <c r="M60" s="512">
        <f t="shared" ca="1" si="13"/>
        <v>45108</v>
      </c>
      <c r="N60" s="512">
        <f t="shared" ca="1" si="13"/>
        <v>45474</v>
      </c>
      <c r="P60" s="515" t="s">
        <v>315</v>
      </c>
      <c r="Q60" s="425"/>
      <c r="R60" s="516">
        <f ca="1">+(MAX(J58:N58)-C58)/365</f>
        <v>5.0054794520547947</v>
      </c>
      <c r="S60" s="14"/>
      <c r="T60" s="14"/>
      <c r="U60" s="14"/>
      <c r="V60" s="14"/>
    </row>
    <row r="61" spans="1:22" s="4" customFormat="1" ht="12.75" customHeight="1">
      <c r="B61" s="500"/>
      <c r="C61" s="517"/>
      <c r="D61" s="517"/>
      <c r="E61" s="517"/>
      <c r="F61" s="517"/>
      <c r="P61" s="3"/>
      <c r="R61" s="518"/>
      <c r="S61" s="14"/>
      <c r="T61" s="14"/>
      <c r="U61" s="14"/>
      <c r="V61" s="14"/>
    </row>
    <row r="62" spans="1:22" s="4" customFormat="1" ht="12.75" customHeight="1">
      <c r="A62" s="3"/>
      <c r="S62" s="14"/>
      <c r="T62" s="14"/>
      <c r="U62" s="14"/>
      <c r="V62" s="14"/>
    </row>
    <row r="63" spans="1:22" s="4" customFormat="1" ht="15.65" customHeight="1">
      <c r="B63" s="545" t="s">
        <v>358</v>
      </c>
      <c r="C63" s="526"/>
      <c r="D63" s="526"/>
      <c r="E63" s="526"/>
      <c r="F63" s="526"/>
      <c r="G63" s="526"/>
      <c r="H63" s="526"/>
      <c r="I63" s="526"/>
      <c r="J63" s="526"/>
      <c r="K63" s="526"/>
      <c r="L63" s="526"/>
      <c r="M63" s="526"/>
      <c r="N63" s="526"/>
      <c r="O63" s="526"/>
      <c r="P63" s="526"/>
      <c r="Q63" s="526"/>
      <c r="R63" s="526"/>
      <c r="S63" s="14"/>
      <c r="T63" s="14"/>
      <c r="U63" s="14"/>
      <c r="V63" s="14"/>
    </row>
    <row r="64" spans="1:22" s="4" customFormat="1" ht="18" customHeight="1">
      <c r="B64" s="547" t="s">
        <v>314</v>
      </c>
      <c r="C64" s="548"/>
      <c r="D64" s="550"/>
      <c r="E64" s="550"/>
      <c r="F64" s="550"/>
      <c r="G64" s="546" t="s">
        <v>313</v>
      </c>
      <c r="H64" s="549"/>
      <c r="I64" s="548"/>
      <c r="J64" s="548"/>
      <c r="K64" s="548"/>
      <c r="L64" s="548"/>
      <c r="M64" s="548"/>
      <c r="N64" s="548"/>
      <c r="O64" s="548"/>
      <c r="P64" s="548"/>
      <c r="Q64" s="548"/>
      <c r="R64" s="548"/>
      <c r="S64" s="14"/>
      <c r="T64" s="14"/>
      <c r="U64" s="14"/>
      <c r="V64" s="14"/>
    </row>
    <row r="65" spans="1:22" s="4" customFormat="1" ht="12.75" customHeight="1">
      <c r="B65" s="551" t="s">
        <v>55</v>
      </c>
      <c r="C65" s="551" t="s">
        <v>105</v>
      </c>
      <c r="D65" s="550"/>
      <c r="E65" s="550"/>
      <c r="F65" s="550"/>
      <c r="G65" s="552">
        <f t="shared" ref="G65:R65" ca="1" si="14">G34</f>
        <v>199.55227691709786</v>
      </c>
      <c r="H65" s="552">
        <f t="shared" ca="1" si="14"/>
        <v>183.04033295258998</v>
      </c>
      <c r="I65" s="552">
        <f t="shared" ca="1" si="14"/>
        <v>168.17658773057121</v>
      </c>
      <c r="J65" s="552">
        <f t="shared" ca="1" si="14"/>
        <v>217.09903206929334</v>
      </c>
      <c r="K65" s="552">
        <f t="shared" ca="1" si="14"/>
        <v>199.04727977859918</v>
      </c>
      <c r="L65" s="552">
        <f t="shared" ca="1" si="14"/>
        <v>182.80303790733296</v>
      </c>
      <c r="M65" s="552">
        <f t="shared" ca="1" si="14"/>
        <v>234.64578722148886</v>
      </c>
      <c r="N65" s="552">
        <f t="shared" ca="1" si="14"/>
        <v>215.0542266046084</v>
      </c>
      <c r="O65" s="552">
        <f t="shared" ca="1" si="14"/>
        <v>197.42948808409463</v>
      </c>
      <c r="P65" s="552">
        <f t="shared" ca="1" si="14"/>
        <v>252.19254237368435</v>
      </c>
      <c r="Q65" s="552">
        <f t="shared" ca="1" si="14"/>
        <v>231.0611734306176</v>
      </c>
      <c r="R65" s="552">
        <f t="shared" ca="1" si="14"/>
        <v>212.05593826085629</v>
      </c>
      <c r="S65" s="14"/>
      <c r="T65" s="535"/>
      <c r="U65" s="14"/>
      <c r="V65" s="14"/>
    </row>
    <row r="66" spans="1:22" s="4" customFormat="1" ht="12.75" customHeight="1">
      <c r="B66" s="553">
        <f ca="1">+Inputs!D25</f>
        <v>1.2170000000000001</v>
      </c>
      <c r="C66" s="554">
        <f ca="1">+Inputs!E25</f>
        <v>23</v>
      </c>
      <c r="D66" s="550"/>
      <c r="E66" s="550"/>
      <c r="F66" s="555"/>
      <c r="G66" s="556">
        <f t="shared" ref="G66:R71" ca="1" si="15">IF($C66&lt;G$65,(G$65-$C66)*$B66/G$65,0)</f>
        <v>1.0767309916356975</v>
      </c>
      <c r="H66" s="556">
        <f t="shared" ca="1" si="15"/>
        <v>1.0640774197769294</v>
      </c>
      <c r="I66" s="556">
        <f t="shared" ca="1" si="15"/>
        <v>1.0505618508038514</v>
      </c>
      <c r="J66" s="556">
        <f t="shared" ca="1" si="15"/>
        <v>1.0880680571294954</v>
      </c>
      <c r="K66" s="556">
        <f t="shared" ca="1" si="15"/>
        <v>1.0763751191619677</v>
      </c>
      <c r="L66" s="556">
        <f t="shared" ca="1" si="15"/>
        <v>1.0638789122958161</v>
      </c>
      <c r="M66" s="556">
        <f t="shared" ca="1" si="15"/>
        <v>1.0977095565982675</v>
      </c>
      <c r="N66" s="556">
        <f t="shared" ca="1" si="15"/>
        <v>1.0868421303224916</v>
      </c>
      <c r="O66" s="556">
        <f t="shared" ca="1" si="15"/>
        <v>1.0752228000911532</v>
      </c>
      <c r="P66" s="556">
        <f t="shared" ca="1" si="15"/>
        <v>1.1060094063189048</v>
      </c>
      <c r="Q66" s="556">
        <f t="shared" ca="1" si="15"/>
        <v>1.0958589204131042</v>
      </c>
      <c r="R66" s="556">
        <f t="shared" ca="1" si="15"/>
        <v>1.0850018101376278</v>
      </c>
      <c r="S66" s="14"/>
      <c r="T66" s="536"/>
      <c r="U66" s="9"/>
      <c r="V66" s="14"/>
    </row>
    <row r="67" spans="1:22" s="4" customFormat="1" ht="12.75" customHeight="1">
      <c r="B67" s="557">
        <v>0</v>
      </c>
      <c r="C67" s="558">
        <v>0</v>
      </c>
      <c r="D67" s="550"/>
      <c r="E67" s="550"/>
      <c r="F67" s="555"/>
      <c r="G67" s="559">
        <f t="shared" ca="1" si="15"/>
        <v>0</v>
      </c>
      <c r="H67" s="559">
        <f t="shared" ca="1" si="15"/>
        <v>0</v>
      </c>
      <c r="I67" s="559">
        <f t="shared" ca="1" si="15"/>
        <v>0</v>
      </c>
      <c r="J67" s="559">
        <f t="shared" ca="1" si="15"/>
        <v>0</v>
      </c>
      <c r="K67" s="559">
        <f t="shared" ca="1" si="15"/>
        <v>0</v>
      </c>
      <c r="L67" s="559">
        <f t="shared" ca="1" si="15"/>
        <v>0</v>
      </c>
      <c r="M67" s="559">
        <f t="shared" ca="1" si="15"/>
        <v>0</v>
      </c>
      <c r="N67" s="559">
        <f t="shared" ca="1" si="15"/>
        <v>0</v>
      </c>
      <c r="O67" s="559">
        <f t="shared" ca="1" si="15"/>
        <v>0</v>
      </c>
      <c r="P67" s="559">
        <f t="shared" ca="1" si="15"/>
        <v>0</v>
      </c>
      <c r="Q67" s="559">
        <f t="shared" ca="1" si="15"/>
        <v>0</v>
      </c>
      <c r="R67" s="559">
        <f t="shared" ca="1" si="15"/>
        <v>0</v>
      </c>
      <c r="S67" s="14"/>
      <c r="T67" s="536"/>
      <c r="U67" s="9"/>
      <c r="V67" s="14"/>
    </row>
    <row r="68" spans="1:22" s="4" customFormat="1" ht="12.75" customHeight="1">
      <c r="B68" s="557">
        <v>0</v>
      </c>
      <c r="C68" s="558">
        <v>0</v>
      </c>
      <c r="D68" s="550"/>
      <c r="E68" s="550"/>
      <c r="F68" s="555"/>
      <c r="G68" s="559">
        <f t="shared" ca="1" si="15"/>
        <v>0</v>
      </c>
      <c r="H68" s="559">
        <f t="shared" ca="1" si="15"/>
        <v>0</v>
      </c>
      <c r="I68" s="559">
        <f t="shared" ca="1" si="15"/>
        <v>0</v>
      </c>
      <c r="J68" s="559">
        <f t="shared" ca="1" si="15"/>
        <v>0</v>
      </c>
      <c r="K68" s="559">
        <f t="shared" ca="1" si="15"/>
        <v>0</v>
      </c>
      <c r="L68" s="559">
        <f t="shared" ca="1" si="15"/>
        <v>0</v>
      </c>
      <c r="M68" s="559">
        <f t="shared" ca="1" si="15"/>
        <v>0</v>
      </c>
      <c r="N68" s="559">
        <f t="shared" ca="1" si="15"/>
        <v>0</v>
      </c>
      <c r="O68" s="559">
        <f t="shared" ca="1" si="15"/>
        <v>0</v>
      </c>
      <c r="P68" s="559">
        <f t="shared" ca="1" si="15"/>
        <v>0</v>
      </c>
      <c r="Q68" s="559">
        <f t="shared" ca="1" si="15"/>
        <v>0</v>
      </c>
      <c r="R68" s="559">
        <f t="shared" ca="1" si="15"/>
        <v>0</v>
      </c>
      <c r="S68" s="14"/>
      <c r="T68" s="536"/>
      <c r="U68" s="9"/>
      <c r="V68" s="14"/>
    </row>
    <row r="69" spans="1:22" s="4" customFormat="1" ht="12.75" customHeight="1">
      <c r="B69" s="557">
        <v>0</v>
      </c>
      <c r="C69" s="558">
        <v>0</v>
      </c>
      <c r="D69" s="550"/>
      <c r="E69" s="550"/>
      <c r="F69" s="555"/>
      <c r="G69" s="559">
        <f t="shared" ca="1" si="15"/>
        <v>0</v>
      </c>
      <c r="H69" s="559">
        <f t="shared" ca="1" si="15"/>
        <v>0</v>
      </c>
      <c r="I69" s="559">
        <f t="shared" ca="1" si="15"/>
        <v>0</v>
      </c>
      <c r="J69" s="559">
        <f t="shared" ca="1" si="15"/>
        <v>0</v>
      </c>
      <c r="K69" s="559">
        <f t="shared" ca="1" si="15"/>
        <v>0</v>
      </c>
      <c r="L69" s="559">
        <f t="shared" ca="1" si="15"/>
        <v>0</v>
      </c>
      <c r="M69" s="559">
        <f t="shared" ca="1" si="15"/>
        <v>0</v>
      </c>
      <c r="N69" s="559">
        <f t="shared" ca="1" si="15"/>
        <v>0</v>
      </c>
      <c r="O69" s="559">
        <f t="shared" ca="1" si="15"/>
        <v>0</v>
      </c>
      <c r="P69" s="559">
        <f t="shared" ca="1" si="15"/>
        <v>0</v>
      </c>
      <c r="Q69" s="559">
        <f t="shared" ca="1" si="15"/>
        <v>0</v>
      </c>
      <c r="R69" s="559">
        <f t="shared" ca="1" si="15"/>
        <v>0</v>
      </c>
      <c r="S69" s="14"/>
      <c r="T69" s="536"/>
      <c r="U69" s="9"/>
      <c r="V69" s="14"/>
    </row>
    <row r="70" spans="1:22" s="4" customFormat="1" ht="12.75" customHeight="1">
      <c r="B70" s="557">
        <v>0</v>
      </c>
      <c r="C70" s="558">
        <v>0</v>
      </c>
      <c r="D70" s="550"/>
      <c r="E70" s="550"/>
      <c r="F70" s="555"/>
      <c r="G70" s="559">
        <f t="shared" ca="1" si="15"/>
        <v>0</v>
      </c>
      <c r="H70" s="559">
        <f t="shared" ca="1" si="15"/>
        <v>0</v>
      </c>
      <c r="I70" s="559">
        <f t="shared" ca="1" si="15"/>
        <v>0</v>
      </c>
      <c r="J70" s="559">
        <f t="shared" ca="1" si="15"/>
        <v>0</v>
      </c>
      <c r="K70" s="559">
        <f t="shared" ca="1" si="15"/>
        <v>0</v>
      </c>
      <c r="L70" s="559">
        <f t="shared" ca="1" si="15"/>
        <v>0</v>
      </c>
      <c r="M70" s="559">
        <f t="shared" ca="1" si="15"/>
        <v>0</v>
      </c>
      <c r="N70" s="559">
        <f t="shared" ca="1" si="15"/>
        <v>0</v>
      </c>
      <c r="O70" s="559">
        <f t="shared" ca="1" si="15"/>
        <v>0</v>
      </c>
      <c r="P70" s="559">
        <f t="shared" ca="1" si="15"/>
        <v>0</v>
      </c>
      <c r="Q70" s="559">
        <f t="shared" ca="1" si="15"/>
        <v>0</v>
      </c>
      <c r="R70" s="559">
        <f t="shared" ca="1" si="15"/>
        <v>0</v>
      </c>
      <c r="S70" s="14"/>
      <c r="T70" s="536"/>
      <c r="U70" s="9"/>
      <c r="V70" s="14"/>
    </row>
    <row r="71" spans="1:22" s="4" customFormat="1" ht="12.75" customHeight="1">
      <c r="B71" s="557">
        <v>0</v>
      </c>
      <c r="C71" s="558">
        <v>0</v>
      </c>
      <c r="D71" s="550"/>
      <c r="E71" s="550"/>
      <c r="F71" s="555"/>
      <c r="G71" s="559">
        <f t="shared" ca="1" si="15"/>
        <v>0</v>
      </c>
      <c r="H71" s="559">
        <f t="shared" ca="1" si="15"/>
        <v>0</v>
      </c>
      <c r="I71" s="559">
        <f t="shared" ca="1" si="15"/>
        <v>0</v>
      </c>
      <c r="J71" s="559">
        <f t="shared" ca="1" si="15"/>
        <v>0</v>
      </c>
      <c r="K71" s="559">
        <f t="shared" ca="1" si="15"/>
        <v>0</v>
      </c>
      <c r="L71" s="559">
        <f t="shared" ca="1" si="15"/>
        <v>0</v>
      </c>
      <c r="M71" s="559">
        <f t="shared" ca="1" si="15"/>
        <v>0</v>
      </c>
      <c r="N71" s="559">
        <f t="shared" ca="1" si="15"/>
        <v>0</v>
      </c>
      <c r="O71" s="559">
        <f t="shared" ca="1" si="15"/>
        <v>0</v>
      </c>
      <c r="P71" s="559">
        <f t="shared" ca="1" si="15"/>
        <v>0</v>
      </c>
      <c r="Q71" s="559">
        <f t="shared" ca="1" si="15"/>
        <v>0</v>
      </c>
      <c r="R71" s="559">
        <f t="shared" ca="1" si="15"/>
        <v>0</v>
      </c>
      <c r="S71" s="14"/>
      <c r="T71" s="536"/>
      <c r="U71" s="9"/>
      <c r="V71" s="14"/>
    </row>
    <row r="72" spans="1:22" s="4" customFormat="1" ht="12.75" customHeight="1">
      <c r="B72" s="556">
        <f ca="1">SUM(B66:B71)</f>
        <v>1.2170000000000001</v>
      </c>
      <c r="C72" s="560">
        <f ca="1">SUMPRODUCT(B66:B71,C66:C71)/B72</f>
        <v>23</v>
      </c>
      <c r="D72" s="550"/>
      <c r="E72" s="550"/>
      <c r="F72" s="550"/>
      <c r="G72" s="556">
        <f t="shared" ref="G72:R72" ca="1" si="16">SUM(G66:G71)</f>
        <v>1.0767309916356975</v>
      </c>
      <c r="H72" s="556">
        <f t="shared" ca="1" si="16"/>
        <v>1.0640774197769294</v>
      </c>
      <c r="I72" s="556">
        <f t="shared" ca="1" si="16"/>
        <v>1.0505618508038514</v>
      </c>
      <c r="J72" s="556">
        <f t="shared" ca="1" si="16"/>
        <v>1.0880680571294954</v>
      </c>
      <c r="K72" s="556">
        <f t="shared" ca="1" si="16"/>
        <v>1.0763751191619677</v>
      </c>
      <c r="L72" s="556">
        <f t="shared" ca="1" si="16"/>
        <v>1.0638789122958161</v>
      </c>
      <c r="M72" s="556">
        <f t="shared" ca="1" si="16"/>
        <v>1.0977095565982675</v>
      </c>
      <c r="N72" s="556">
        <f t="shared" ca="1" si="16"/>
        <v>1.0868421303224916</v>
      </c>
      <c r="O72" s="556">
        <f t="shared" ca="1" si="16"/>
        <v>1.0752228000911532</v>
      </c>
      <c r="P72" s="556">
        <f t="shared" ca="1" si="16"/>
        <v>1.1060094063189048</v>
      </c>
      <c r="Q72" s="556">
        <f t="shared" ca="1" si="16"/>
        <v>1.0958589204131042</v>
      </c>
      <c r="R72" s="556">
        <f t="shared" ca="1" si="16"/>
        <v>1.0850018101376278</v>
      </c>
      <c r="S72" s="14"/>
      <c r="T72" s="536"/>
      <c r="U72" s="9"/>
      <c r="V72" s="14"/>
    </row>
    <row r="73" spans="1:22" s="4" customFormat="1" ht="12.75" customHeight="1">
      <c r="A73" s="3"/>
      <c r="B73" s="3"/>
      <c r="C73" s="3"/>
      <c r="D73" s="3"/>
      <c r="E73" s="3"/>
      <c r="F73" s="3"/>
      <c r="G73" s="521"/>
      <c r="H73" s="521"/>
      <c r="I73" s="521"/>
      <c r="J73" s="521"/>
      <c r="K73" s="521"/>
      <c r="L73" s="521"/>
      <c r="M73" s="521"/>
      <c r="N73" s="521"/>
      <c r="O73" s="521"/>
      <c r="P73" s="521"/>
      <c r="Q73" s="521"/>
      <c r="R73" s="521"/>
      <c r="S73" s="14"/>
      <c r="T73" s="14"/>
      <c r="U73" s="14"/>
      <c r="V73" s="14"/>
    </row>
    <row r="74" spans="1:22" s="4" customFormat="1" ht="12.75" customHeight="1">
      <c r="A74" s="3"/>
      <c r="B74" s="3"/>
      <c r="C74" s="3"/>
      <c r="D74" s="3"/>
      <c r="E74" s="3"/>
      <c r="F74" s="3"/>
      <c r="G74" s="521"/>
      <c r="H74" s="521"/>
      <c r="I74" s="521"/>
      <c r="J74" s="521"/>
      <c r="K74" s="521"/>
      <c r="L74" s="521"/>
      <c r="M74" s="521"/>
      <c r="N74" s="521"/>
      <c r="O74" s="521"/>
      <c r="P74" s="521"/>
      <c r="Q74" s="521"/>
      <c r="R74" s="521"/>
      <c r="S74" s="14"/>
      <c r="T74" s="14"/>
      <c r="U74" s="14"/>
      <c r="V74" s="14"/>
    </row>
    <row r="75" spans="1:22" s="4" customFormat="1" ht="15.65" customHeight="1">
      <c r="B75" s="545" t="s">
        <v>359</v>
      </c>
      <c r="C75" s="526"/>
      <c r="D75" s="526"/>
      <c r="E75" s="526"/>
      <c r="F75" s="526"/>
      <c r="G75" s="526"/>
      <c r="H75" s="526"/>
      <c r="I75" s="526"/>
      <c r="J75" s="526"/>
      <c r="K75" s="526"/>
      <c r="L75" s="526"/>
      <c r="M75" s="526"/>
      <c r="N75" s="526"/>
      <c r="O75" s="526"/>
      <c r="P75" s="526"/>
      <c r="Q75" s="526"/>
      <c r="R75" s="526"/>
      <c r="S75" s="14"/>
      <c r="T75" s="14"/>
      <c r="U75" s="14"/>
      <c r="V75" s="14"/>
    </row>
    <row r="76" spans="1:22" s="4" customFormat="1" ht="18" customHeight="1">
      <c r="B76" s="547" t="s">
        <v>314</v>
      </c>
      <c r="C76" s="519"/>
      <c r="D76" s="517"/>
      <c r="E76" s="517"/>
      <c r="F76" s="517"/>
      <c r="G76" s="546" t="s">
        <v>313</v>
      </c>
      <c r="H76" s="520"/>
      <c r="I76" s="425"/>
      <c r="J76" s="425"/>
      <c r="K76" s="425"/>
      <c r="L76" s="425"/>
      <c r="M76" s="425"/>
      <c r="N76" s="425"/>
      <c r="O76" s="425"/>
      <c r="P76" s="425"/>
      <c r="Q76" s="425"/>
      <c r="R76" s="425"/>
      <c r="S76" s="14"/>
      <c r="T76" s="14"/>
      <c r="U76" s="14"/>
      <c r="V76" s="14"/>
    </row>
    <row r="77" spans="1:22" s="4" customFormat="1" ht="12.75" customHeight="1">
      <c r="B77" s="551" t="s">
        <v>55</v>
      </c>
      <c r="C77" s="551" t="s">
        <v>105</v>
      </c>
      <c r="D77" s="550"/>
      <c r="E77" s="550"/>
      <c r="F77" s="550"/>
      <c r="G77" s="552">
        <f t="shared" ref="G77:R77" ca="1" si="17">G46</f>
        <v>220.14695619991923</v>
      </c>
      <c r="H77" s="552">
        <f t="shared" ca="1" si="17"/>
        <v>158.40108842511594</v>
      </c>
      <c r="I77" s="552">
        <f t="shared" ca="1" si="17"/>
        <v>122.68889201200977</v>
      </c>
      <c r="J77" s="552">
        <f t="shared" ca="1" si="17"/>
        <v>238.95639168331311</v>
      </c>
      <c r="K77" s="552">
        <f t="shared" ca="1" si="17"/>
        <v>167.55548595802674</v>
      </c>
      <c r="L77" s="552">
        <f t="shared" ca="1" si="17"/>
        <v>127.91861551211647</v>
      </c>
      <c r="M77" s="552">
        <f t="shared" ca="1" si="17"/>
        <v>261.94570171857225</v>
      </c>
      <c r="N77" s="552">
        <f t="shared" ca="1" si="17"/>
        <v>178.11825234215459</v>
      </c>
      <c r="O77" s="552">
        <f t="shared" ca="1" si="17"/>
        <v>133.76360060047105</v>
      </c>
      <c r="P77" s="552">
        <f t="shared" ca="1" si="17"/>
        <v>290.68233926264628</v>
      </c>
      <c r="Q77" s="552">
        <f t="shared" ca="1" si="17"/>
        <v>190.4414797903037</v>
      </c>
      <c r="R77" s="552">
        <f t="shared" ca="1" si="17"/>
        <v>140.33920882486993</v>
      </c>
      <c r="S77" s="14"/>
      <c r="T77" s="535"/>
      <c r="U77" s="14"/>
      <c r="V77" s="14"/>
    </row>
    <row r="78" spans="1:22" s="4" customFormat="1" ht="12.75" customHeight="1">
      <c r="B78" s="556">
        <f t="shared" ref="B78:C83" ca="1" si="18">B66</f>
        <v>1.2170000000000001</v>
      </c>
      <c r="C78" s="560">
        <f t="shared" ca="1" si="18"/>
        <v>23</v>
      </c>
      <c r="D78" s="550"/>
      <c r="E78" s="550"/>
      <c r="F78" s="555"/>
      <c r="G78" s="556">
        <f t="shared" ref="G78:R83" ca="1" si="19">IF($C78&lt;G$77,(G$77-$C78)*$B78/G$77,0)</f>
        <v>1.089853113741982</v>
      </c>
      <c r="H78" s="556">
        <f t="shared" ca="1" si="19"/>
        <v>1.0402903556516108</v>
      </c>
      <c r="I78" s="556">
        <f t="shared" ca="1" si="19"/>
        <v>0.98885383663534909</v>
      </c>
      <c r="J78" s="556">
        <f t="shared" ca="1" si="19"/>
        <v>1.0998614719078275</v>
      </c>
      <c r="K78" s="556">
        <f t="shared" ca="1" si="19"/>
        <v>1.0499448908225431</v>
      </c>
      <c r="L78" s="556">
        <f t="shared" ca="1" si="19"/>
        <v>0.99818118392745825</v>
      </c>
      <c r="M78" s="556">
        <f t="shared" ca="1" si="19"/>
        <v>1.1101419763089955</v>
      </c>
      <c r="N78" s="556">
        <f t="shared" ca="1" si="19"/>
        <v>1.0598515908283732</v>
      </c>
      <c r="O78" s="556">
        <f t="shared" ca="1" si="19"/>
        <v>1.0077427740106646</v>
      </c>
      <c r="P78" s="556">
        <f t="shared" ca="1" si="19"/>
        <v>1.1207058802024135</v>
      </c>
      <c r="Q78" s="556">
        <f t="shared" ca="1" si="19"/>
        <v>1.0700204657576644</v>
      </c>
      <c r="R78" s="556">
        <f t="shared" ca="1" si="19"/>
        <v>1.0175475430965972</v>
      </c>
      <c r="S78" s="14"/>
      <c r="T78" s="536"/>
      <c r="U78" s="9"/>
      <c r="V78" s="14"/>
    </row>
    <row r="79" spans="1:22" s="4" customFormat="1" ht="12.75" customHeight="1">
      <c r="B79" s="559">
        <f t="shared" ca="1" si="18"/>
        <v>0</v>
      </c>
      <c r="C79" s="561">
        <f t="shared" ca="1" si="18"/>
        <v>0</v>
      </c>
      <c r="D79" s="550"/>
      <c r="E79" s="550"/>
      <c r="F79" s="555"/>
      <c r="G79" s="559">
        <f t="shared" ca="1" si="19"/>
        <v>0</v>
      </c>
      <c r="H79" s="559">
        <f t="shared" ca="1" si="19"/>
        <v>0</v>
      </c>
      <c r="I79" s="559">
        <f t="shared" ca="1" si="19"/>
        <v>0</v>
      </c>
      <c r="J79" s="559">
        <f t="shared" ca="1" si="19"/>
        <v>0</v>
      </c>
      <c r="K79" s="559">
        <f t="shared" ca="1" si="19"/>
        <v>0</v>
      </c>
      <c r="L79" s="559">
        <f t="shared" ca="1" si="19"/>
        <v>0</v>
      </c>
      <c r="M79" s="559">
        <f t="shared" ca="1" si="19"/>
        <v>0</v>
      </c>
      <c r="N79" s="559">
        <f t="shared" ca="1" si="19"/>
        <v>0</v>
      </c>
      <c r="O79" s="559">
        <f t="shared" ca="1" si="19"/>
        <v>0</v>
      </c>
      <c r="P79" s="559">
        <f t="shared" ca="1" si="19"/>
        <v>0</v>
      </c>
      <c r="Q79" s="559">
        <f t="shared" ca="1" si="19"/>
        <v>0</v>
      </c>
      <c r="R79" s="559">
        <f t="shared" ca="1" si="19"/>
        <v>0</v>
      </c>
      <c r="S79" s="14"/>
      <c r="T79" s="536"/>
      <c r="U79" s="9"/>
      <c r="V79" s="14"/>
    </row>
    <row r="80" spans="1:22" s="4" customFormat="1" ht="12.75" customHeight="1">
      <c r="B80" s="559">
        <f t="shared" ca="1" si="18"/>
        <v>0</v>
      </c>
      <c r="C80" s="561">
        <f t="shared" ca="1" si="18"/>
        <v>0</v>
      </c>
      <c r="D80" s="550"/>
      <c r="E80" s="550"/>
      <c r="F80" s="555"/>
      <c r="G80" s="559">
        <f t="shared" ca="1" si="19"/>
        <v>0</v>
      </c>
      <c r="H80" s="559">
        <f t="shared" ca="1" si="19"/>
        <v>0</v>
      </c>
      <c r="I80" s="559">
        <f t="shared" ca="1" si="19"/>
        <v>0</v>
      </c>
      <c r="J80" s="559">
        <f t="shared" ca="1" si="19"/>
        <v>0</v>
      </c>
      <c r="K80" s="559">
        <f t="shared" ca="1" si="19"/>
        <v>0</v>
      </c>
      <c r="L80" s="559">
        <f t="shared" ca="1" si="19"/>
        <v>0</v>
      </c>
      <c r="M80" s="559">
        <f t="shared" ca="1" si="19"/>
        <v>0</v>
      </c>
      <c r="N80" s="559">
        <f t="shared" ca="1" si="19"/>
        <v>0</v>
      </c>
      <c r="O80" s="559">
        <f t="shared" ca="1" si="19"/>
        <v>0</v>
      </c>
      <c r="P80" s="559">
        <f t="shared" ca="1" si="19"/>
        <v>0</v>
      </c>
      <c r="Q80" s="559">
        <f t="shared" ca="1" si="19"/>
        <v>0</v>
      </c>
      <c r="R80" s="559">
        <f t="shared" ca="1" si="19"/>
        <v>0</v>
      </c>
      <c r="S80" s="14"/>
      <c r="T80" s="536"/>
      <c r="U80" s="9"/>
      <c r="V80" s="14"/>
    </row>
    <row r="81" spans="1:22" s="4" customFormat="1" ht="12.75" customHeight="1">
      <c r="B81" s="559">
        <f t="shared" ca="1" si="18"/>
        <v>0</v>
      </c>
      <c r="C81" s="561">
        <f t="shared" ca="1" si="18"/>
        <v>0</v>
      </c>
      <c r="D81" s="550"/>
      <c r="E81" s="550"/>
      <c r="F81" s="555"/>
      <c r="G81" s="559">
        <f t="shared" ca="1" si="19"/>
        <v>0</v>
      </c>
      <c r="H81" s="559">
        <f t="shared" ca="1" si="19"/>
        <v>0</v>
      </c>
      <c r="I81" s="559">
        <f t="shared" ca="1" si="19"/>
        <v>0</v>
      </c>
      <c r="J81" s="559">
        <f t="shared" ca="1" si="19"/>
        <v>0</v>
      </c>
      <c r="K81" s="559">
        <f t="shared" ca="1" si="19"/>
        <v>0</v>
      </c>
      <c r="L81" s="559">
        <f t="shared" ca="1" si="19"/>
        <v>0</v>
      </c>
      <c r="M81" s="559">
        <f t="shared" ca="1" si="19"/>
        <v>0</v>
      </c>
      <c r="N81" s="559">
        <f t="shared" ca="1" si="19"/>
        <v>0</v>
      </c>
      <c r="O81" s="559">
        <f t="shared" ca="1" si="19"/>
        <v>0</v>
      </c>
      <c r="P81" s="559">
        <f t="shared" ca="1" si="19"/>
        <v>0</v>
      </c>
      <c r="Q81" s="559">
        <f t="shared" ca="1" si="19"/>
        <v>0</v>
      </c>
      <c r="R81" s="559">
        <f t="shared" ca="1" si="19"/>
        <v>0</v>
      </c>
      <c r="S81" s="14"/>
      <c r="T81" s="536"/>
      <c r="U81" s="9"/>
      <c r="V81" s="14"/>
    </row>
    <row r="82" spans="1:22" s="4" customFormat="1" ht="12.75" customHeight="1">
      <c r="B82" s="559">
        <f t="shared" ca="1" si="18"/>
        <v>0</v>
      </c>
      <c r="C82" s="561">
        <f t="shared" ca="1" si="18"/>
        <v>0</v>
      </c>
      <c r="D82" s="550"/>
      <c r="E82" s="550"/>
      <c r="F82" s="555"/>
      <c r="G82" s="559">
        <f t="shared" ca="1" si="19"/>
        <v>0</v>
      </c>
      <c r="H82" s="559">
        <f t="shared" ca="1" si="19"/>
        <v>0</v>
      </c>
      <c r="I82" s="559">
        <f t="shared" ca="1" si="19"/>
        <v>0</v>
      </c>
      <c r="J82" s="559">
        <f t="shared" ca="1" si="19"/>
        <v>0</v>
      </c>
      <c r="K82" s="559">
        <f t="shared" ca="1" si="19"/>
        <v>0</v>
      </c>
      <c r="L82" s="559">
        <f t="shared" ca="1" si="19"/>
        <v>0</v>
      </c>
      <c r="M82" s="559">
        <f t="shared" ca="1" si="19"/>
        <v>0</v>
      </c>
      <c r="N82" s="559">
        <f t="shared" ca="1" si="19"/>
        <v>0</v>
      </c>
      <c r="O82" s="559">
        <f t="shared" ca="1" si="19"/>
        <v>0</v>
      </c>
      <c r="P82" s="559">
        <f t="shared" ca="1" si="19"/>
        <v>0</v>
      </c>
      <c r="Q82" s="559">
        <f t="shared" ca="1" si="19"/>
        <v>0</v>
      </c>
      <c r="R82" s="559">
        <f t="shared" ca="1" si="19"/>
        <v>0</v>
      </c>
      <c r="S82" s="14"/>
      <c r="T82" s="536"/>
      <c r="U82" s="9"/>
      <c r="V82" s="14"/>
    </row>
    <row r="83" spans="1:22" s="4" customFormat="1" ht="12.75" customHeight="1">
      <c r="B83" s="559">
        <f t="shared" ca="1" si="18"/>
        <v>0</v>
      </c>
      <c r="C83" s="561">
        <f t="shared" ca="1" si="18"/>
        <v>0</v>
      </c>
      <c r="D83" s="550"/>
      <c r="E83" s="550"/>
      <c r="F83" s="555"/>
      <c r="G83" s="559">
        <f t="shared" ca="1" si="19"/>
        <v>0</v>
      </c>
      <c r="H83" s="559">
        <f t="shared" ca="1" si="19"/>
        <v>0</v>
      </c>
      <c r="I83" s="559">
        <f t="shared" ca="1" si="19"/>
        <v>0</v>
      </c>
      <c r="J83" s="559">
        <f t="shared" ca="1" si="19"/>
        <v>0</v>
      </c>
      <c r="K83" s="559">
        <f t="shared" ca="1" si="19"/>
        <v>0</v>
      </c>
      <c r="L83" s="559">
        <f t="shared" ca="1" si="19"/>
        <v>0</v>
      </c>
      <c r="M83" s="559">
        <f t="shared" ca="1" si="19"/>
        <v>0</v>
      </c>
      <c r="N83" s="559">
        <f t="shared" ca="1" si="19"/>
        <v>0</v>
      </c>
      <c r="O83" s="559">
        <f t="shared" ca="1" si="19"/>
        <v>0</v>
      </c>
      <c r="P83" s="559">
        <f t="shared" ca="1" si="19"/>
        <v>0</v>
      </c>
      <c r="Q83" s="559">
        <f t="shared" ca="1" si="19"/>
        <v>0</v>
      </c>
      <c r="R83" s="559">
        <f t="shared" ca="1" si="19"/>
        <v>0</v>
      </c>
      <c r="S83" s="14"/>
      <c r="T83" s="536"/>
      <c r="U83" s="9"/>
      <c r="V83" s="14"/>
    </row>
    <row r="84" spans="1:22" s="4" customFormat="1" ht="12.75" customHeight="1">
      <c r="B84" s="556">
        <f ca="1">SUM(B78:B83)</f>
        <v>1.2170000000000001</v>
      </c>
      <c r="C84" s="560">
        <f ca="1">SUMPRODUCT(B78:B83,C78:C83)/B84</f>
        <v>23</v>
      </c>
      <c r="D84" s="550"/>
      <c r="E84" s="550"/>
      <c r="F84" s="550"/>
      <c r="G84" s="556">
        <f t="shared" ref="G84:R84" ca="1" si="20">SUM(G78:G83)</f>
        <v>1.089853113741982</v>
      </c>
      <c r="H84" s="556">
        <f t="shared" ca="1" si="20"/>
        <v>1.0402903556516108</v>
      </c>
      <c r="I84" s="556">
        <f t="shared" ca="1" si="20"/>
        <v>0.98885383663534909</v>
      </c>
      <c r="J84" s="556">
        <f t="shared" ca="1" si="20"/>
        <v>1.0998614719078275</v>
      </c>
      <c r="K84" s="556">
        <f t="shared" ca="1" si="20"/>
        <v>1.0499448908225431</v>
      </c>
      <c r="L84" s="556">
        <f t="shared" ca="1" si="20"/>
        <v>0.99818118392745825</v>
      </c>
      <c r="M84" s="556">
        <f t="shared" ca="1" si="20"/>
        <v>1.1101419763089955</v>
      </c>
      <c r="N84" s="556">
        <f t="shared" ca="1" si="20"/>
        <v>1.0598515908283732</v>
      </c>
      <c r="O84" s="556">
        <f t="shared" ca="1" si="20"/>
        <v>1.0077427740106646</v>
      </c>
      <c r="P84" s="556">
        <f t="shared" ca="1" si="20"/>
        <v>1.1207058802024135</v>
      </c>
      <c r="Q84" s="556">
        <f t="shared" ca="1" si="20"/>
        <v>1.0700204657576644</v>
      </c>
      <c r="R84" s="556">
        <f t="shared" ca="1" si="20"/>
        <v>1.0175475430965972</v>
      </c>
      <c r="S84" s="14"/>
      <c r="T84" s="536"/>
      <c r="U84" s="9"/>
      <c r="V84" s="14"/>
    </row>
    <row r="85" spans="1:22" s="4" customFormat="1" ht="12.75" customHeight="1">
      <c r="A85" s="3"/>
      <c r="B85" s="3"/>
      <c r="C85" s="3"/>
      <c r="D85" s="3"/>
      <c r="E85" s="3"/>
      <c r="F85" s="3"/>
      <c r="G85" s="521"/>
      <c r="H85" s="521"/>
      <c r="I85" s="521"/>
      <c r="J85" s="521"/>
      <c r="K85" s="521"/>
      <c r="L85" s="521"/>
      <c r="M85" s="521"/>
      <c r="N85" s="521"/>
      <c r="O85" s="521"/>
      <c r="P85" s="521"/>
      <c r="Q85" s="521"/>
      <c r="R85" s="521"/>
      <c r="S85" s="14"/>
      <c r="T85" s="14"/>
      <c r="U85" s="14"/>
      <c r="V85" s="14"/>
    </row>
    <row r="86" spans="1:22" s="4" customFormat="1" ht="12.75" customHeight="1">
      <c r="A86" s="3"/>
      <c r="B86" s="3"/>
      <c r="C86" s="3"/>
      <c r="D86" s="3"/>
      <c r="E86" s="3"/>
      <c r="F86" s="3"/>
      <c r="G86" s="521"/>
      <c r="H86" s="521"/>
      <c r="I86" s="521"/>
      <c r="J86" s="521"/>
      <c r="K86" s="521"/>
      <c r="L86" s="521"/>
      <c r="M86" s="521"/>
      <c r="N86" s="521"/>
      <c r="O86" s="521"/>
      <c r="P86" s="521"/>
      <c r="Q86" s="521"/>
      <c r="R86" s="521"/>
      <c r="S86" s="14"/>
      <c r="T86" s="14"/>
      <c r="U86" s="14"/>
      <c r="V86" s="14"/>
    </row>
    <row r="87" spans="1:22" s="4" customFormat="1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14"/>
      <c r="T87" s="14"/>
      <c r="U87" s="14"/>
      <c r="V87" s="14"/>
    </row>
    <row r="88" spans="1:22" s="4" customFormat="1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14"/>
      <c r="T88" s="14"/>
      <c r="U88" s="14"/>
      <c r="V88" s="14"/>
    </row>
    <row r="89" spans="1:22" s="4" customFormat="1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14"/>
      <c r="T89" s="14"/>
      <c r="U89" s="14"/>
      <c r="V89" s="14"/>
    </row>
    <row r="90" spans="1:22" s="4" customFormat="1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14"/>
      <c r="T90" s="14"/>
      <c r="U90" s="14"/>
      <c r="V90" s="14"/>
    </row>
    <row r="91" spans="1:22" s="4" customFormat="1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14"/>
      <c r="T91" s="14"/>
      <c r="U91" s="14"/>
      <c r="V91" s="14"/>
    </row>
    <row r="92" spans="1:22" s="4" customFormat="1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14"/>
      <c r="T92" s="14"/>
      <c r="U92" s="14"/>
      <c r="V92" s="14"/>
    </row>
    <row r="93" spans="1:22" s="4" customFormat="1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14"/>
      <c r="T93" s="14"/>
      <c r="U93" s="14"/>
      <c r="V93" s="14"/>
    </row>
    <row r="94" spans="1:22" s="4" customFormat="1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14"/>
      <c r="T94" s="14"/>
      <c r="U94" s="14"/>
      <c r="V94" s="14"/>
    </row>
    <row r="95" spans="1:22" s="4" customFormat="1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14"/>
      <c r="T95" s="14"/>
      <c r="U95" s="14"/>
      <c r="V95" s="14"/>
    </row>
    <row r="96" spans="1:22" s="4" customFormat="1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14"/>
      <c r="T96" s="14"/>
      <c r="U96" s="14"/>
      <c r="V96" s="14"/>
    </row>
    <row r="97" spans="1:22" s="4" customFormat="1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14"/>
      <c r="T97" s="14"/>
      <c r="U97" s="14"/>
      <c r="V97" s="14"/>
    </row>
    <row r="98" spans="1:22" s="4" customFormat="1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14"/>
      <c r="T98" s="14"/>
      <c r="U98" s="14"/>
      <c r="V98" s="14"/>
    </row>
    <row r="99" spans="1:22" s="4" customFormat="1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14"/>
      <c r="T99" s="14"/>
      <c r="U99" s="14"/>
      <c r="V99" s="14"/>
    </row>
    <row r="100" spans="1:22" s="4" customFormat="1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14"/>
      <c r="T100" s="14"/>
      <c r="U100" s="14"/>
      <c r="V100" s="14"/>
    </row>
    <row r="101" spans="1:22" s="4" customFormat="1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14"/>
      <c r="T101" s="14"/>
      <c r="U101" s="14"/>
      <c r="V101" s="14"/>
    </row>
  </sheetData>
  <printOptions horizontalCentered="1"/>
  <pageMargins left="0.35" right="0.35" top="0.35" bottom="0.35" header="0.15" footer="0.15"/>
  <pageSetup scale="1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44</vt:i4>
      </vt:variant>
    </vt:vector>
  </HeadingPairs>
  <TitlesOfParts>
    <vt:vector size="52" baseType="lpstr">
      <vt:lpstr>Cover Page</vt:lpstr>
      <vt:lpstr>Inputs</vt:lpstr>
      <vt:lpstr>Spread Cover</vt:lpstr>
      <vt:lpstr>Income Statement</vt:lpstr>
      <vt:lpstr>Balance Sheet</vt:lpstr>
      <vt:lpstr>Cash Flow</vt:lpstr>
      <vt:lpstr>Proj</vt:lpstr>
      <vt:lpstr>DCF</vt:lpstr>
      <vt:lpstr>a</vt:lpstr>
      <vt:lpstr>abs</vt:lpstr>
      <vt:lpstr>acase</vt:lpstr>
      <vt:lpstr>acfs</vt:lpstr>
      <vt:lpstr>acname</vt:lpstr>
      <vt:lpstr>acq</vt:lpstr>
      <vt:lpstr>acqnetdebt</vt:lpstr>
      <vt:lpstr>acqnetdebtfn</vt:lpstr>
      <vt:lpstr>DCF!adcf</vt:lpstr>
      <vt:lpstr>DCF!adiscconvention</vt:lpstr>
      <vt:lpstr>adshares</vt:lpstr>
      <vt:lpstr>aexercise</vt:lpstr>
      <vt:lpstr>afy</vt:lpstr>
      <vt:lpstr>afye</vt:lpstr>
      <vt:lpstr>afyshares</vt:lpstr>
      <vt:lpstr>ais</vt:lpstr>
      <vt:lpstr>altg</vt:lpstr>
      <vt:lpstr>altmdate</vt:lpstr>
      <vt:lpstr>aoptions</vt:lpstr>
      <vt:lpstr>aprice</vt:lpstr>
      <vt:lpstr>aquarter</vt:lpstr>
      <vt:lpstr>arsu</vt:lpstr>
      <vt:lpstr>ashares</vt:lpstr>
      <vt:lpstr>aspread</vt:lpstr>
      <vt:lpstr>atax</vt:lpstr>
      <vt:lpstr>aticker</vt:lpstr>
      <vt:lpstr>edate</vt:lpstr>
      <vt:lpstr>FY</vt:lpstr>
      <vt:lpstr>FYx</vt:lpstr>
      <vt:lpstr>FYz</vt:lpstr>
      <vt:lpstr>inputs</vt:lpstr>
      <vt:lpstr>netdebt</vt:lpstr>
      <vt:lpstr>'Balance Sheet'!Print_Area</vt:lpstr>
      <vt:lpstr>'Cash Flow'!Print_Area</vt:lpstr>
      <vt:lpstr>'Cover Page'!Print_Area</vt:lpstr>
      <vt:lpstr>DCF!Print_Area</vt:lpstr>
      <vt:lpstr>'Income Statement'!Print_Area</vt:lpstr>
      <vt:lpstr>Inputs!Print_Area</vt:lpstr>
      <vt:lpstr>Proj!Print_Area</vt:lpstr>
      <vt:lpstr>'Spread Cover'!Print_Area</vt:lpstr>
      <vt:lpstr>Proj!Print_Titles</vt:lpstr>
      <vt:lpstr>proj</vt:lpstr>
      <vt:lpstr>tdate</vt:lpstr>
      <vt:lpstr>tquarter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Finance Institute® (CFI)</dc:creator>
  <cp:lastModifiedBy>Victor Ho</cp:lastModifiedBy>
  <cp:lastPrinted>2019-06-27T20:00:51Z</cp:lastPrinted>
  <dcterms:created xsi:type="dcterms:W3CDTF">1998-04-16T15:37:21Z</dcterms:created>
  <dcterms:modified xsi:type="dcterms:W3CDTF">2019-07-31T20:23:00Z</dcterms:modified>
</cp:coreProperties>
</file>